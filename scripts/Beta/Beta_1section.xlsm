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09D3F640-F336-4597-9015-7B870ABFB5FE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<sst xmlns="http://schemas.openxmlformats.org/spreadsheetml/2006/main" count="1355" uniqueCount="479">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</sst>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69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8" xfId="0" applyBorder="1"/>
    <xf numFmtId="0" fontId="0" fillId="0" borderId="39" xfId="0" applyBorder="1"/>
    <xf numFmtId="0" fontId="0" fillId="2" borderId="40" xfId="0" applyFill="1" applyBorder="1"/>
    <xf numFmtId="0" fontId="2" fillId="6" borderId="81" xfId="0" applyFont="1" applyFill="1" applyBorder="1" applyAlignment="1">
      <alignment horizontal="center" vertical="center"/>
    </xf>
    <xf numFmtId="0" fontId="27" fillId="11" borderId="81" xfId="0" applyFont="1" applyFill="1" applyBorder="1" applyAlignment="1">
      <alignment horizontal="center" vertical="center"/>
    </xf>
    <xf numFmtId="0" fontId="0" fillId="2" borderId="81" xfId="0" applyFill="1" applyBorder="1"/>
    <xf numFmtId="0" fontId="2" fillId="6" borderId="24" xfId="0" applyFont="1" applyFill="1" applyBorder="1" applyAlignment="1">
      <alignment horizontal="center" vertical="center"/>
    </xf>
    <xf numFmtId="0" fontId="0" fillId="2" borderId="24" xfId="0" applyFill="1" applyBorder="1"/>
    <xf numFmtId="0" fontId="0" fillId="14" borderId="58" xfId="0" applyFill="1" applyBorder="1"/>
    <xf numFmtId="0" fontId="0" fillId="14" borderId="52" xfId="0" applyFill="1" applyBorder="1"/>
    <xf numFmtId="0" fontId="0" fillId="2" borderId="27" xfId="0" applyFill="1" applyBorder="1"/>
    <xf numFmtId="0" fontId="0" fillId="0" borderId="41" xfId="0" applyBorder="1"/>
    <xf numFmtId="0" fontId="0" fillId="2" borderId="29" xfId="0" applyFill="1" applyBorder="1"/>
    <xf numFmtId="0" fontId="0" fillId="2" borderId="48" xfId="0" applyFill="1" applyBorder="1"/>
    <xf numFmtId="0" fontId="0" fillId="2" borderId="32" xfId="0" applyFill="1" applyBorder="1"/>
    <xf numFmtId="0" fontId="0" fillId="2" borderId="67" xfId="0" applyFill="1" applyBorder="1"/>
    <xf numFmtId="0" fontId="2" fillId="2" borderId="72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6" borderId="24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2" borderId="1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 wrapText="1"/>
      <protection locked="0"/>
    </xf>
    <xf numFmtId="0" fontId="0" fillId="11" borderId="24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7" fillId="0" borderId="24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25" fillId="0" borderId="57" xfId="0" applyFont="1" applyBorder="1" applyAlignment="1">
      <alignment horizontal="center" vertical="center"/>
    </xf>
    <xf numFmtId="11" fontId="25" fillId="0" borderId="67" xfId="0" applyNumberFormat="1" applyFont="1" applyBorder="1" applyAlignment="1">
      <alignment vertical="center"/>
    </xf>
    <xf numFmtId="0" fontId="25" fillId="2" borderId="81" xfId="0" applyFont="1" applyFill="1" applyBorder="1" applyAlignment="1">
      <alignment horizontal="center" vertical="center"/>
    </xf>
    <xf numFmtId="0" fontId="25" fillId="0" borderId="81" xfId="0" applyFont="1" applyBorder="1" applyAlignment="1">
      <alignment horizontal="center" vertical="center" wrapText="1"/>
    </xf>
    <xf numFmtId="0" fontId="25" fillId="2" borderId="67" xfId="0" applyFont="1" applyFill="1" applyBorder="1" applyAlignment="1">
      <alignment horizontal="center" vertic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1" borderId="69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49" xfId="0" applyFont="1" applyFill="1" applyBorder="1" applyAlignment="1">
      <alignment horizontal="center"/>
    </xf>
    <xf numFmtId="0" fontId="2" fillId="13" borderId="78" xfId="0" applyFont="1" applyFill="1" applyBorder="1" applyAlignment="1">
      <alignment horizontal="center"/>
    </xf>
    <xf numFmtId="0" fontId="2" fillId="13" borderId="59" xfId="0" applyFont="1" applyFill="1" applyBorder="1" applyAlignment="1">
      <alignment horizontal="center"/>
    </xf>
    <xf numFmtId="0" fontId="25" fillId="22" borderId="52" xfId="0" applyFont="1" applyFill="1" applyBorder="1" applyAlignment="1">
      <alignment horizontal="center" vertical="center"/>
    </xf>
    <xf numFmtId="0" fontId="25" fillId="22" borderId="42" xfId="0" applyFont="1" applyFill="1" applyBorder="1" applyAlignment="1">
      <alignment horizontal="center" vertical="center"/>
    </xf>
    <xf numFmtId="0" fontId="25" fillId="22" borderId="55" xfId="0" applyFont="1" applyFill="1" applyBorder="1" applyAlignment="1">
      <alignment horizontal="center" vertic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75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  <c:pt idx="4">
                  <c:v>0.84289141253880151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  <c:pt idx="4">
                  <c:v>205.78568605746906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109519</xdr:colOff>
      <xdr:row>3</xdr:row>
      <xdr:rowOff>31077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33</xdr:row>
          <xdr:rowOff>95250</xdr:rowOff>
        </xdr:from>
        <xdr:to>
          <xdr:col>8</xdr:col>
          <xdr:colOff>716280</xdr:colOff>
          <xdr:row>35</xdr:row>
          <xdr:rowOff>182880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11430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topLeftCell="A12" zoomScale="85" zoomScaleNormal="85" workbookViewId="0">
      <selection activeCell="AN20" sqref="AN20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548" t="s">
        <v>431</v>
      </c>
      <c r="B3" s="549"/>
      <c r="C3" s="549"/>
      <c r="D3" s="547"/>
      <c r="E3" s="547"/>
      <c r="F3" s="547"/>
      <c r="G3" s="547"/>
      <c r="H3" s="547"/>
      <c r="I3" s="547"/>
      <c r="J3" s="547"/>
      <c r="K3" s="547"/>
      <c r="L3" s="54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73" t="s">
        <v>5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469"/>
      <c r="AE4" s="469"/>
      <c r="AF4" s="469"/>
      <c r="AG4" s="469"/>
      <c r="AH4" s="469"/>
      <c r="AI4" s="469"/>
      <c r="AJ4" s="469"/>
      <c r="AK4" s="46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475" t="s">
        <v>8</v>
      </c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77" t="s">
        <v>287</v>
      </c>
      <c r="B6" s="478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70"/>
      <c r="R8" s="470"/>
      <c r="S8" s="470"/>
      <c r="T8" s="47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69"/>
      <c r="R9" s="469"/>
      <c r="S9" s="469"/>
      <c r="T9" s="46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69"/>
      <c r="R10" s="469"/>
      <c r="S10" s="469"/>
      <c r="T10" s="46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466" t="s">
        <v>31</v>
      </c>
      <c r="C15" s="467"/>
      <c r="D15" s="467"/>
      <c r="E15" s="467"/>
      <c r="F15" s="467"/>
      <c r="G15" s="467"/>
      <c r="H15" s="467"/>
      <c r="I15" s="467"/>
      <c r="J15" s="467"/>
      <c r="K15" s="467"/>
      <c r="L15" s="467"/>
      <c r="M15" s="467"/>
      <c r="N15" s="467"/>
      <c r="O15" s="467"/>
      <c r="P15" s="467"/>
      <c r="Q15" s="467"/>
      <c r="R15" s="467"/>
      <c r="S15" s="467"/>
      <c r="T15" s="467"/>
      <c r="U15" s="467"/>
      <c r="V15" s="467"/>
      <c r="W15" s="467"/>
      <c r="X15" s="46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471" t="s">
        <v>32</v>
      </c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472"/>
      <c r="N16" s="472"/>
      <c r="O16" s="472"/>
      <c r="P16" s="472"/>
      <c r="Q16" s="472"/>
      <c r="R16" s="472"/>
      <c r="S16" s="13"/>
      <c r="T16" s="466" t="s">
        <v>33</v>
      </c>
      <c r="U16" s="467"/>
      <c r="V16" s="467"/>
      <c r="W16" s="467"/>
      <c r="X16" s="467"/>
      <c r="Y16" s="468"/>
      <c r="Z16" s="466" t="s">
        <v>34</v>
      </c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466" t="s">
        <v>35</v>
      </c>
      <c r="U17" s="467"/>
      <c r="V17" s="468"/>
      <c r="W17" s="466" t="s">
        <v>36</v>
      </c>
      <c r="X17" s="467"/>
      <c r="Y17" s="468"/>
      <c r="Z17" s="466" t="s">
        <v>35</v>
      </c>
      <c r="AA17" s="467"/>
      <c r="AB17" s="468"/>
      <c r="AC17" s="466" t="s">
        <v>36</v>
      </c>
      <c r="AD17" s="467"/>
      <c r="AE17" s="468"/>
      <c r="AF17" s="466" t="s">
        <v>35</v>
      </c>
      <c r="AG17" s="467"/>
      <c r="AH17" s="468"/>
      <c r="AI17" s="466" t="s">
        <v>36</v>
      </c>
      <c r="AJ17" s="467"/>
      <c r="AK17" s="467"/>
      <c r="AL17" s="467"/>
      <c r="AM17" s="46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63"/>
      <c r="U18" s="464"/>
      <c r="V18" s="465"/>
      <c r="W18" s="463"/>
      <c r="X18" s="464"/>
      <c r="Y18" s="465"/>
      <c r="Z18" s="463"/>
      <c r="AA18" s="464"/>
      <c r="AB18" s="465"/>
      <c r="AC18" s="463"/>
      <c r="AD18" s="464"/>
      <c r="AE18" s="465"/>
      <c r="AF18" s="463"/>
      <c r="AG18" s="464"/>
      <c r="AH18" s="465"/>
      <c r="AI18" s="463"/>
      <c r="AJ18" s="464"/>
      <c r="AK18" s="464"/>
      <c r="AL18" s="464"/>
      <c r="AM18" s="465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63"/>
      <c r="U19" s="464"/>
      <c r="V19" s="465"/>
      <c r="W19" s="463"/>
      <c r="X19" s="464"/>
      <c r="Y19" s="465"/>
      <c r="Z19" s="463"/>
      <c r="AA19" s="464"/>
      <c r="AB19" s="465"/>
      <c r="AC19" s="463"/>
      <c r="AD19" s="464"/>
      <c r="AE19" s="465"/>
      <c r="AF19" s="463"/>
      <c r="AG19" s="464"/>
      <c r="AH19" s="465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79">
        <v>223763</v>
      </c>
      <c r="U21" s="480"/>
      <c r="V21" s="481"/>
      <c r="W21" s="482">
        <v>327439.09999999998</v>
      </c>
      <c r="X21" s="483"/>
      <c r="Y21" s="484"/>
      <c r="Z21" s="485"/>
      <c r="AA21" s="486"/>
      <c r="AB21" s="487"/>
      <c r="AC21" s="488"/>
      <c r="AD21" s="489"/>
      <c r="AE21" s="490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91">
        <v>26.18</v>
      </c>
      <c r="U23" s="492"/>
      <c r="V23" s="493"/>
      <c r="W23" s="482">
        <v>499.4</v>
      </c>
      <c r="X23" s="483"/>
      <c r="Y23" s="484"/>
      <c r="Z23" s="494"/>
      <c r="AA23" s="495"/>
      <c r="AB23" s="496"/>
      <c r="AC23" s="497"/>
      <c r="AD23" s="498"/>
      <c r="AE23" s="499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91">
        <v>20.56</v>
      </c>
      <c r="U24" s="492"/>
      <c r="V24" s="493"/>
      <c r="W24" s="482">
        <v>84.8</v>
      </c>
      <c r="X24" s="483"/>
      <c r="Y24" s="484"/>
      <c r="Z24" s="494"/>
      <c r="AA24" s="495"/>
      <c r="AB24" s="496"/>
      <c r="AC24" s="497"/>
      <c r="AD24" s="498"/>
      <c r="AE24" s="499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39" t="s">
        <v>314</v>
      </c>
      <c r="AR24" s="440"/>
      <c r="AS24" s="441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50" t="s">
        <v>315</v>
      </c>
      <c r="AR25" s="551"/>
      <c r="AS25" s="255">
        <v>0.55924644749270003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52" t="s">
        <v>316</v>
      </c>
      <c r="AR26" s="461"/>
      <c r="AS26" s="346">
        <v>11571935.651680361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00"/>
      <c r="AD27" s="501"/>
      <c r="AE27" s="502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53" t="s">
        <v>317</v>
      </c>
      <c r="AR27" s="554"/>
      <c r="AS27" s="342">
        <v>2.7877223340368245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557" t="s">
        <v>393</v>
      </c>
      <c r="AQ28" s="555" t="s">
        <v>389</v>
      </c>
      <c r="AR28" s="556"/>
      <c r="AS28" s="345">
        <v>206254.42486862824</v>
      </c>
      <c r="AT28" s="59" t="s">
        <v>392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79">
        <v>10407</v>
      </c>
      <c r="U29" s="480"/>
      <c r="V29" s="481"/>
      <c r="W29" s="482">
        <v>0</v>
      </c>
      <c r="X29" s="483"/>
      <c r="Y29" s="484"/>
      <c r="Z29" s="494"/>
      <c r="AA29" s="495"/>
      <c r="AB29" s="496"/>
      <c r="AC29" s="497"/>
      <c r="AD29" s="498"/>
      <c r="AE29" s="499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558"/>
      <c r="AQ29" s="454" t="s">
        <v>388</v>
      </c>
      <c r="AR29" s="455"/>
      <c r="AS29" s="347">
        <v>144.38354455254387</v>
      </c>
      <c r="AT29" s="59" t="s">
        <v>151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559"/>
      <c r="AQ30" s="456" t="s">
        <v>390</v>
      </c>
      <c r="AR30" s="457"/>
      <c r="AS30" s="341">
        <v>15408.690194938188</v>
      </c>
      <c r="AT30" s="59" t="s">
        <v>319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91">
        <v>105.923</v>
      </c>
      <c r="U31" s="492"/>
      <c r="V31" s="493"/>
      <c r="W31" s="482">
        <v>499.5</v>
      </c>
      <c r="X31" s="483"/>
      <c r="Y31" s="484"/>
      <c r="Z31" s="494"/>
      <c r="AA31" s="495"/>
      <c r="AB31" s="496"/>
      <c r="AC31" s="497"/>
      <c r="AD31" s="498"/>
      <c r="AE31" s="499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557" t="s">
        <v>394</v>
      </c>
      <c r="AQ31" s="458" t="s">
        <v>389</v>
      </c>
      <c r="AR31" s="459"/>
      <c r="AS31" s="344">
        <v>205785.37918281925</v>
      </c>
      <c r="AT31" s="59" t="s">
        <v>392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91">
        <v>143.01</v>
      </c>
      <c r="U32" s="492"/>
      <c r="V32" s="493"/>
      <c r="W32" s="482">
        <v>84.899999999999991</v>
      </c>
      <c r="X32" s="483"/>
      <c r="Y32" s="484"/>
      <c r="Z32" s="494"/>
      <c r="AA32" s="495"/>
      <c r="AB32" s="496"/>
      <c r="AC32" s="497"/>
      <c r="AD32" s="498"/>
      <c r="AE32" s="499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558"/>
      <c r="AQ32" s="460" t="s">
        <v>318</v>
      </c>
      <c r="AR32" s="461"/>
      <c r="AS32" s="348">
        <v>0.8428948812880096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559"/>
      <c r="AQ33" s="462" t="s">
        <v>391</v>
      </c>
      <c r="AR33" s="453"/>
      <c r="AS33" s="343">
        <v>15174.936211012826</v>
      </c>
      <c r="AT33" s="9" t="s">
        <v>319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52" t="s">
        <v>351</v>
      </c>
      <c r="AR34" s="453"/>
      <c r="AS34" s="343">
        <v>10418.636490360632</v>
      </c>
      <c r="AT34" s="59" t="s">
        <v>323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91">
        <v>15500</v>
      </c>
      <c r="U35" s="492"/>
      <c r="V35" s="493"/>
      <c r="W35" s="482">
        <v>0.1</v>
      </c>
      <c r="X35" s="483"/>
      <c r="Y35" s="484"/>
      <c r="Z35" s="494"/>
      <c r="AA35" s="495"/>
      <c r="AB35" s="496"/>
      <c r="AC35" s="497"/>
      <c r="AD35" s="498"/>
      <c r="AE35" s="499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3">
        <v>15610</v>
      </c>
      <c r="U36" s="504"/>
      <c r="V36" s="504"/>
      <c r="W36" s="504"/>
      <c r="X36" s="504"/>
      <c r="Y36" s="505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42" t="s">
        <v>359</v>
      </c>
      <c r="AQ36" s="443"/>
      <c r="AR36" s="443"/>
      <c r="AS36" s="444"/>
      <c r="AT36" s="445" t="s">
        <v>360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361</v>
      </c>
      <c r="AQ37" s="446" t="s">
        <v>362</v>
      </c>
      <c r="AR37" s="446"/>
      <c r="AS37" s="266" t="s">
        <v>363</v>
      </c>
      <c r="AT37" s="445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91">
        <v>9394</v>
      </c>
      <c r="U38" s="492"/>
      <c r="V38" s="492"/>
      <c r="W38" s="492"/>
      <c r="X38" s="492"/>
      <c r="Y38" s="493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323</v>
      </c>
      <c r="AQ38" s="447" t="s">
        <v>364</v>
      </c>
      <c r="AR38" s="447"/>
      <c r="AS38" s="268" t="s">
        <v>67</v>
      </c>
      <c r="AT38" s="445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448">
        <v>230</v>
      </c>
      <c r="AR39" s="449"/>
      <c r="AS39" s="269">
        <v>0.8</v>
      </c>
      <c r="AT39" s="445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91">
        <v>205580</v>
      </c>
      <c r="U40" s="492"/>
      <c r="V40" s="493"/>
      <c r="W40" s="488">
        <v>0</v>
      </c>
      <c r="X40" s="489"/>
      <c r="Y40" s="490"/>
      <c r="Z40" s="512"/>
      <c r="AA40" s="513"/>
      <c r="AB40" s="514"/>
      <c r="AC40" s="497"/>
      <c r="AD40" s="498"/>
      <c r="AE40" s="499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448">
        <v>220</v>
      </c>
      <c r="AR40" s="449"/>
      <c r="AS40" s="269">
        <v>0.83</v>
      </c>
      <c r="AT40" s="445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15">
        <v>0.83199999999999996</v>
      </c>
      <c r="U41" s="516"/>
      <c r="V41" s="517"/>
      <c r="W41" s="488">
        <v>0</v>
      </c>
      <c r="X41" s="489"/>
      <c r="Y41" s="490"/>
      <c r="Z41" s="518"/>
      <c r="AA41" s="519"/>
      <c r="AB41" s="520"/>
      <c r="AC41" s="497"/>
      <c r="AD41" s="498"/>
      <c r="AE41" s="499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448">
        <v>205.78537918281884</v>
      </c>
      <c r="AR41" s="449"/>
      <c r="AS41" s="269">
        <v>0.84299999999999997</v>
      </c>
      <c r="AT41" s="445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10418.636490360632</v>
      </c>
      <c r="AQ42" s="450">
        <v>205.78537918281924</v>
      </c>
      <c r="AR42" s="450"/>
      <c r="AS42" s="269">
        <v>0.8428948812880096</v>
      </c>
      <c r="AT42" s="445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>
        <v>10418.639615772432</v>
      </c>
      <c r="AQ43" s="450">
        <v>205.78568605746906</v>
      </c>
      <c r="AR43" s="450"/>
      <c r="AS43" s="269">
        <v>0.84289141253880151</v>
      </c>
      <c r="AT43" s="445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450"/>
      <c r="AR44" s="450"/>
      <c r="AS44" s="269"/>
      <c r="AT44" s="445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450"/>
      <c r="AR45" s="450"/>
      <c r="AS45" s="269"/>
      <c r="AT45" s="445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451"/>
      <c r="AR46" s="451"/>
      <c r="AS46" s="293"/>
      <c r="AT46" s="445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294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506">
        <v>0</v>
      </c>
      <c r="X61" s="506"/>
      <c r="Y61" s="506"/>
      <c r="Z61" s="506"/>
      <c r="AA61" s="506"/>
      <c r="AB61" s="91" t="s">
        <v>2</v>
      </c>
      <c r="AC61" s="91"/>
      <c r="AD61" s="91"/>
      <c r="AE61" s="506" t="s">
        <v>84</v>
      </c>
      <c r="AF61" s="506"/>
      <c r="AG61" s="506"/>
      <c r="AH61" s="506"/>
      <c r="AI61" s="506"/>
      <c r="AJ61" s="506"/>
      <c r="AK61" s="506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507" t="s">
        <v>84</v>
      </c>
      <c r="Y62" s="507"/>
      <c r="Z62" s="507"/>
      <c r="AA62" s="507"/>
      <c r="AB62" s="96" t="s">
        <v>7</v>
      </c>
      <c r="AC62" s="96"/>
      <c r="AD62" s="506" t="s">
        <v>84</v>
      </c>
      <c r="AE62" s="506"/>
      <c r="AF62" s="506"/>
      <c r="AG62" s="506"/>
      <c r="AH62" s="506"/>
      <c r="AI62" s="506"/>
      <c r="AJ62" s="506"/>
      <c r="AK62" s="506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287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508" t="s">
        <v>89</v>
      </c>
      <c r="L66" s="509"/>
      <c r="M66" s="509"/>
      <c r="N66" s="509"/>
      <c r="O66" s="509"/>
      <c r="P66" s="509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510" t="s">
        <v>96</v>
      </c>
      <c r="AE67" s="511"/>
      <c r="AF67" s="511"/>
      <c r="AG67" s="511"/>
      <c r="AH67" s="511"/>
      <c r="AI67" s="511"/>
      <c r="AJ67" s="511"/>
      <c r="AK67" s="511"/>
      <c r="AL67" s="511"/>
      <c r="AM67" s="11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5">
        <f t="shared" si="1"/>
        <v>5</v>
      </c>
      <c r="B69" s="521" t="s">
        <v>300</v>
      </c>
      <c r="C69" s="522"/>
      <c r="D69" s="522"/>
      <c r="E69" s="522"/>
      <c r="F69" s="522"/>
      <c r="G69" s="523"/>
      <c r="H69" s="231"/>
      <c r="I69" s="232"/>
      <c r="J69" s="227"/>
      <c r="K69" s="524">
        <v>0.85729999999999995</v>
      </c>
      <c r="L69" s="525"/>
      <c r="M69" s="526"/>
      <c r="N69" s="527">
        <v>0.73660000000000003</v>
      </c>
      <c r="O69" s="528"/>
      <c r="P69" s="529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5">
        <f t="shared" si="1"/>
        <v>6</v>
      </c>
      <c r="B70" s="521" t="s">
        <v>98</v>
      </c>
      <c r="C70" s="522"/>
      <c r="D70" s="522"/>
      <c r="E70" s="522"/>
      <c r="F70" s="522"/>
      <c r="G70" s="523"/>
      <c r="H70" s="231"/>
      <c r="I70" s="232"/>
      <c r="J70" s="227"/>
      <c r="K70" s="524">
        <v>0.1057</v>
      </c>
      <c r="L70" s="525"/>
      <c r="M70" s="526"/>
      <c r="N70" s="527">
        <v>0.11527</v>
      </c>
      <c r="O70" s="528"/>
      <c r="P70" s="529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5">
        <f t="shared" si="1"/>
        <v>7</v>
      </c>
      <c r="B71" s="521" t="s">
        <v>99</v>
      </c>
      <c r="C71" s="522"/>
      <c r="D71" s="522"/>
      <c r="E71" s="522"/>
      <c r="F71" s="522"/>
      <c r="G71" s="523"/>
      <c r="H71" s="231"/>
      <c r="I71" s="232"/>
      <c r="J71" s="227"/>
      <c r="K71" s="524">
        <v>2.7000000000000001E-3</v>
      </c>
      <c r="L71" s="525"/>
      <c r="M71" s="526"/>
      <c r="N71" s="527">
        <v>7.3779999999999998E-2</v>
      </c>
      <c r="O71" s="528"/>
      <c r="P71" s="529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125"/>
      <c r="AP71" s="126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5">
        <f t="shared" si="1"/>
        <v>8</v>
      </c>
      <c r="B72" s="521" t="s">
        <v>101</v>
      </c>
      <c r="C72" s="522"/>
      <c r="D72" s="522"/>
      <c r="E72" s="522"/>
      <c r="F72" s="522"/>
      <c r="G72" s="523"/>
      <c r="H72" s="231"/>
      <c r="I72" s="232"/>
      <c r="J72" s="227"/>
      <c r="K72" s="524">
        <v>5.0000000000000001E-4</v>
      </c>
      <c r="L72" s="525"/>
      <c r="M72" s="526"/>
      <c r="N72" s="527">
        <v>1.8689999999999998E-2</v>
      </c>
      <c r="O72" s="528"/>
      <c r="P72" s="529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125"/>
      <c r="AP72" s="126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5">
        <f t="shared" si="1"/>
        <v>9</v>
      </c>
      <c r="B73" s="521" t="s">
        <v>100</v>
      </c>
      <c r="C73" s="522"/>
      <c r="D73" s="522"/>
      <c r="E73" s="522"/>
      <c r="F73" s="522"/>
      <c r="G73" s="523"/>
      <c r="H73" s="231"/>
      <c r="I73" s="232"/>
      <c r="J73" s="227"/>
      <c r="K73" s="524">
        <v>3.5000000000000001E-3</v>
      </c>
      <c r="L73" s="525"/>
      <c r="M73" s="526"/>
      <c r="N73" s="527">
        <v>1.0999999999999999E-2</v>
      </c>
      <c r="O73" s="528"/>
      <c r="P73" s="529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125"/>
      <c r="AP73" s="126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5">
        <f t="shared" si="1"/>
        <v>10</v>
      </c>
      <c r="B74" s="521" t="s">
        <v>103</v>
      </c>
      <c r="C74" s="522"/>
      <c r="D74" s="522"/>
      <c r="E74" s="522"/>
      <c r="F74" s="522"/>
      <c r="G74" s="523"/>
      <c r="H74" s="231"/>
      <c r="I74" s="232"/>
      <c r="J74" s="227"/>
      <c r="K74" s="524">
        <v>3.0999999999999999E-3</v>
      </c>
      <c r="L74" s="525"/>
      <c r="M74" s="526"/>
      <c r="N74" s="527">
        <v>3.3E-3</v>
      </c>
      <c r="O74" s="528"/>
      <c r="P74" s="529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125"/>
      <c r="AP74" s="126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5">
        <f t="shared" si="1"/>
        <v>11</v>
      </c>
      <c r="B75" s="521" t="s">
        <v>102</v>
      </c>
      <c r="C75" s="522"/>
      <c r="D75" s="522"/>
      <c r="E75" s="522"/>
      <c r="F75" s="522"/>
      <c r="G75" s="523"/>
      <c r="H75" s="231"/>
      <c r="I75" s="232"/>
      <c r="J75" s="227"/>
      <c r="K75" s="524">
        <v>3.5000000000000001E-3</v>
      </c>
      <c r="L75" s="525"/>
      <c r="M75" s="526"/>
      <c r="N75" s="527">
        <v>3.0000000000000001E-3</v>
      </c>
      <c r="O75" s="528"/>
      <c r="P75" s="529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125"/>
      <c r="AP75" s="126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5">
        <f t="shared" si="1"/>
        <v>12</v>
      </c>
      <c r="B76" s="521" t="s">
        <v>105</v>
      </c>
      <c r="C76" s="522"/>
      <c r="D76" s="522"/>
      <c r="E76" s="522"/>
      <c r="F76" s="522"/>
      <c r="G76" s="523"/>
      <c r="H76" s="231"/>
      <c r="I76" s="232"/>
      <c r="J76" s="227"/>
      <c r="K76" s="524">
        <v>5.0000000000000001E-4</v>
      </c>
      <c r="L76" s="525"/>
      <c r="M76" s="526"/>
      <c r="N76" s="527">
        <v>5.9999999999999995E-4</v>
      </c>
      <c r="O76" s="528"/>
      <c r="P76" s="529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125"/>
      <c r="AP76" s="126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5">
        <f t="shared" si="1"/>
        <v>13</v>
      </c>
      <c r="B77" s="521" t="s">
        <v>298</v>
      </c>
      <c r="C77" s="522"/>
      <c r="D77" s="522"/>
      <c r="E77" s="522"/>
      <c r="F77" s="522"/>
      <c r="G77" s="523"/>
      <c r="H77" s="231"/>
      <c r="I77" s="232"/>
      <c r="J77" s="227"/>
      <c r="K77" s="524">
        <v>1.7500000000000002E-2</v>
      </c>
      <c r="L77" s="525"/>
      <c r="M77" s="526"/>
      <c r="N77" s="527">
        <v>0</v>
      </c>
      <c r="O77" s="528"/>
      <c r="P77" s="529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125"/>
      <c r="AP77" s="126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5">
        <f t="shared" si="1"/>
        <v>14</v>
      </c>
      <c r="B78" s="521" t="s">
        <v>107</v>
      </c>
      <c r="C78" s="522"/>
      <c r="D78" s="522"/>
      <c r="E78" s="522"/>
      <c r="F78" s="522"/>
      <c r="G78" s="523"/>
      <c r="H78" s="231"/>
      <c r="I78" s="232"/>
      <c r="J78" s="227"/>
      <c r="K78" s="524">
        <v>0</v>
      </c>
      <c r="L78" s="525"/>
      <c r="M78" s="526"/>
      <c r="N78" s="527">
        <v>0</v>
      </c>
      <c r="O78" s="528"/>
      <c r="P78" s="529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125"/>
      <c r="AP78" s="126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5">
        <f t="shared" si="1"/>
        <v>15</v>
      </c>
      <c r="B79" s="521" t="s">
        <v>108</v>
      </c>
      <c r="C79" s="522"/>
      <c r="D79" s="522"/>
      <c r="E79" s="522"/>
      <c r="F79" s="522"/>
      <c r="G79" s="523"/>
      <c r="H79" s="231"/>
      <c r="I79" s="232"/>
      <c r="J79" s="227"/>
      <c r="K79" s="524">
        <v>0</v>
      </c>
      <c r="L79" s="525"/>
      <c r="M79" s="526"/>
      <c r="N79" s="527">
        <v>0</v>
      </c>
      <c r="O79" s="528"/>
      <c r="P79" s="529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125"/>
      <c r="AP79" s="126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5">
        <f t="shared" si="1"/>
        <v>16</v>
      </c>
      <c r="B80" s="521" t="s">
        <v>109</v>
      </c>
      <c r="C80" s="522"/>
      <c r="D80" s="522"/>
      <c r="E80" s="522"/>
      <c r="F80" s="522"/>
      <c r="G80" s="523"/>
      <c r="H80" s="231"/>
      <c r="I80" s="232"/>
      <c r="J80" s="227"/>
      <c r="K80" s="524">
        <v>0</v>
      </c>
      <c r="L80" s="525"/>
      <c r="M80" s="526"/>
      <c r="N80" s="527">
        <v>0</v>
      </c>
      <c r="O80" s="528"/>
      <c r="P80" s="529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125"/>
      <c r="AP80" s="126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5">
        <f>A80+1</f>
        <v>17</v>
      </c>
      <c r="B81" s="521" t="s">
        <v>110</v>
      </c>
      <c r="C81" s="522"/>
      <c r="D81" s="522"/>
      <c r="E81" s="522"/>
      <c r="F81" s="522"/>
      <c r="G81" s="523"/>
      <c r="H81" s="231"/>
      <c r="I81" s="232"/>
      <c r="J81" s="227"/>
      <c r="K81" s="524">
        <v>1E-4</v>
      </c>
      <c r="L81" s="525"/>
      <c r="M81" s="526"/>
      <c r="N81" s="527">
        <v>0</v>
      </c>
      <c r="O81" s="528"/>
      <c r="P81" s="529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125"/>
      <c r="AP81" s="126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5">
        <f t="shared" si="1"/>
        <v>18</v>
      </c>
      <c r="B82" s="521" t="s">
        <v>111</v>
      </c>
      <c r="C82" s="522"/>
      <c r="D82" s="522"/>
      <c r="E82" s="522"/>
      <c r="F82" s="522"/>
      <c r="G82" s="523"/>
      <c r="H82" s="231"/>
      <c r="I82" s="232"/>
      <c r="J82" s="227"/>
      <c r="K82" s="524">
        <v>0</v>
      </c>
      <c r="L82" s="525"/>
      <c r="M82" s="526"/>
      <c r="N82" s="527">
        <v>0</v>
      </c>
      <c r="O82" s="528"/>
      <c r="P82" s="529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125"/>
      <c r="AP82" s="126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5">
        <f>A82+1</f>
        <v>19</v>
      </c>
      <c r="B83" s="521" t="s">
        <v>112</v>
      </c>
      <c r="C83" s="522"/>
      <c r="D83" s="522"/>
      <c r="E83" s="522"/>
      <c r="F83" s="522"/>
      <c r="G83" s="523"/>
      <c r="H83" s="231"/>
      <c r="I83" s="232"/>
      <c r="J83" s="227"/>
      <c r="K83" s="524">
        <v>5.5999999999999999E-3</v>
      </c>
      <c r="L83" s="525"/>
      <c r="M83" s="526"/>
      <c r="N83" s="527">
        <v>7.6E-3</v>
      </c>
      <c r="O83" s="528"/>
      <c r="P83" s="529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125"/>
      <c r="AP83" s="126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5">
        <f t="shared" si="1"/>
        <v>20</v>
      </c>
      <c r="B84" s="521" t="s">
        <v>113</v>
      </c>
      <c r="C84" s="522"/>
      <c r="D84" s="522"/>
      <c r="E84" s="522"/>
      <c r="F84" s="522"/>
      <c r="G84" s="523"/>
      <c r="H84" s="231"/>
      <c r="I84" s="232"/>
      <c r="J84" s="227"/>
      <c r="K84" s="524">
        <v>0</v>
      </c>
      <c r="L84" s="525"/>
      <c r="M84" s="526"/>
      <c r="N84" s="527">
        <v>1.7000000000000001E-4</v>
      </c>
      <c r="O84" s="528"/>
      <c r="P84" s="529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125"/>
      <c r="AP84" s="126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5">
        <f t="shared" si="1"/>
        <v>21</v>
      </c>
      <c r="B85" s="521" t="s">
        <v>301</v>
      </c>
      <c r="C85" s="522"/>
      <c r="D85" s="522"/>
      <c r="E85" s="522"/>
      <c r="F85" s="522"/>
      <c r="G85" s="523"/>
      <c r="H85" s="231"/>
      <c r="I85" s="232"/>
      <c r="J85" s="227"/>
      <c r="K85" s="524">
        <v>0</v>
      </c>
      <c r="L85" s="525"/>
      <c r="M85" s="526"/>
      <c r="N85" s="527">
        <v>2.9989999999999999E-2</v>
      </c>
      <c r="O85" s="528"/>
      <c r="P85" s="529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125"/>
      <c r="AP85" s="126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27">
        <v>0</v>
      </c>
      <c r="O86" s="528"/>
      <c r="P86" s="529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125"/>
      <c r="AP86" s="126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27">
        <v>0</v>
      </c>
      <c r="O87" s="528"/>
      <c r="P87" s="529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114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27">
        <v>0</v>
      </c>
      <c r="O88" s="528"/>
      <c r="P88" s="529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5">
        <f t="shared" si="1"/>
        <v>25</v>
      </c>
      <c r="B89" s="111" t="s">
        <v>115</v>
      </c>
      <c r="C89" s="129"/>
      <c r="D89" s="111"/>
      <c r="E89" s="111"/>
      <c r="F89" s="111"/>
      <c r="G89" s="111"/>
      <c r="H89" s="117"/>
      <c r="I89" s="111"/>
      <c r="J89" s="116"/>
      <c r="K89" s="535">
        <f>IF(SUM(K69:M88)=0,"",SUM(K69:M85))</f>
        <v>0.99999999999999978</v>
      </c>
      <c r="L89" s="536"/>
      <c r="M89" s="537"/>
      <c r="N89" s="538">
        <f>IF(SUM(N69:P88)=0,"",SUM(N69:P88))</f>
        <v>1</v>
      </c>
      <c r="O89" s="539"/>
      <c r="P89" s="540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5">
        <f t="shared" si="1"/>
        <v>26</v>
      </c>
      <c r="B90" s="111" t="s">
        <v>116</v>
      </c>
      <c r="C90" s="129"/>
      <c r="D90" s="111"/>
      <c r="E90" s="111"/>
      <c r="F90" s="111"/>
      <c r="G90" s="111"/>
      <c r="H90" s="117"/>
      <c r="I90" s="111"/>
      <c r="J90" s="116"/>
      <c r="K90" s="541">
        <v>18.73145508479999</v>
      </c>
      <c r="L90" s="542"/>
      <c r="M90" s="543"/>
      <c r="N90" s="544" t="str">
        <f>IF(SUMPRODUCT(H69:H88,N69:N88)=0,"",SUMPRODUCT(H69:H88,N69:N88))</f>
        <v/>
      </c>
      <c r="O90" s="545"/>
      <c r="P90" s="546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5">
        <f t="shared" si="1"/>
        <v>27</v>
      </c>
      <c r="B91" s="130" t="s">
        <v>117</v>
      </c>
      <c r="C91" s="131"/>
      <c r="D91" s="131"/>
      <c r="E91" s="131"/>
      <c r="F91" s="131" t="s">
        <v>118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119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5">
        <f t="shared" si="1"/>
        <v>28</v>
      </c>
      <c r="B92" s="135"/>
      <c r="C92" s="136" t="s">
        <v>120</v>
      </c>
      <c r="D92" s="136"/>
      <c r="E92" s="136"/>
      <c r="F92" s="136"/>
      <c r="G92" s="135"/>
      <c r="H92" s="90" t="s">
        <v>121</v>
      </c>
      <c r="I92" s="136"/>
      <c r="J92" s="135"/>
      <c r="K92" s="136"/>
      <c r="L92" s="136"/>
      <c r="M92" s="135"/>
      <c r="N92" s="90" t="s">
        <v>122</v>
      </c>
      <c r="O92" s="136"/>
      <c r="P92" s="136"/>
      <c r="Q92" s="136"/>
      <c r="R92" s="136"/>
      <c r="S92" s="137"/>
      <c r="T92" s="135"/>
      <c r="U92" s="90" t="s">
        <v>123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5">
        <f t="shared" si="1"/>
        <v>29</v>
      </c>
      <c r="B93" s="90"/>
      <c r="C93" s="135"/>
      <c r="D93" s="136" t="s">
        <v>124</v>
      </c>
      <c r="E93" s="90"/>
      <c r="F93" s="90"/>
      <c r="G93" s="90"/>
      <c r="H93" s="135"/>
      <c r="I93" s="136" t="s">
        <v>125</v>
      </c>
      <c r="J93" s="90"/>
      <c r="K93" s="90"/>
      <c r="L93" s="90"/>
      <c r="M93" s="90"/>
      <c r="N93" s="135"/>
      <c r="O93" s="90" t="s">
        <v>126</v>
      </c>
      <c r="P93" s="90"/>
      <c r="Q93" s="90"/>
      <c r="R93" s="90"/>
      <c r="S93" s="134"/>
      <c r="T93" s="136"/>
      <c r="U93" s="136" t="s">
        <v>127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5">
        <f t="shared" si="1"/>
        <v>30</v>
      </c>
      <c r="B94" s="90"/>
      <c r="C94" s="135"/>
      <c r="D94" s="90" t="s">
        <v>128</v>
      </c>
      <c r="E94" s="90"/>
      <c r="F94" s="90"/>
      <c r="G94" s="90"/>
      <c r="H94" s="135"/>
      <c r="I94" s="90" t="s">
        <v>129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130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5">
        <f t="shared" si="1"/>
        <v>31</v>
      </c>
      <c r="B95" s="135"/>
      <c r="C95" s="91" t="s">
        <v>131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132</v>
      </c>
      <c r="N95" s="99"/>
      <c r="O95" s="90" t="s">
        <v>133</v>
      </c>
      <c r="P95" s="99"/>
      <c r="Q95" s="90" t="s">
        <v>134</v>
      </c>
      <c r="R95" s="99"/>
      <c r="S95" s="134"/>
      <c r="T95" s="131"/>
      <c r="U95" s="90" t="s">
        <v>135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5">
        <f t="shared" si="1"/>
        <v>32</v>
      </c>
      <c r="B96" s="130" t="s">
        <v>136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137</v>
      </c>
      <c r="U96" s="90"/>
      <c r="V96" s="90"/>
      <c r="W96" s="90"/>
      <c r="X96" s="90"/>
      <c r="Y96" s="90"/>
      <c r="Z96" s="90"/>
      <c r="AA96" s="90"/>
      <c r="AB96" s="135"/>
      <c r="AC96" s="90" t="s">
        <v>138</v>
      </c>
      <c r="AD96" s="90"/>
      <c r="AE96" s="90"/>
      <c r="AF96" s="135"/>
      <c r="AG96" s="90" t="s">
        <v>139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140</v>
      </c>
      <c r="D97" s="90"/>
      <c r="E97" s="91"/>
      <c r="F97" s="99"/>
      <c r="G97" s="99"/>
      <c r="H97" s="99"/>
      <c r="I97" s="91" t="s">
        <v>141</v>
      </c>
      <c r="J97" s="91"/>
      <c r="K97" s="91" t="s">
        <v>142</v>
      </c>
      <c r="L97" s="91"/>
      <c r="M97" s="91"/>
      <c r="N97" s="91"/>
      <c r="O97" s="99"/>
      <c r="P97" s="99"/>
      <c r="Q97" s="91" t="s">
        <v>143</v>
      </c>
      <c r="R97" s="91"/>
      <c r="S97" s="138"/>
      <c r="T97" s="130" t="s">
        <v>144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145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146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147</v>
      </c>
      <c r="K99" s="91"/>
      <c r="L99" s="91"/>
      <c r="M99" s="91"/>
      <c r="N99" s="91"/>
      <c r="O99" s="91" t="s">
        <v>148</v>
      </c>
      <c r="P99" s="91"/>
      <c r="Q99" s="91"/>
      <c r="R99" s="91"/>
      <c r="S99" s="138"/>
      <c r="T99" s="135"/>
      <c r="U99" s="91" t="s">
        <v>149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150</v>
      </c>
      <c r="D100" s="91"/>
      <c r="E100" s="91"/>
      <c r="F100" s="91"/>
      <c r="G100" s="91" t="s">
        <v>151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152</v>
      </c>
      <c r="D101" s="90"/>
      <c r="E101" s="90"/>
      <c r="F101" s="90"/>
      <c r="G101" s="91" t="s">
        <v>151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153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154</v>
      </c>
      <c r="D102" s="90"/>
      <c r="E102" s="90"/>
      <c r="F102" s="91"/>
      <c r="G102" s="91" t="s">
        <v>151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151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155</v>
      </c>
      <c r="C104" s="90"/>
      <c r="D104" s="90"/>
      <c r="E104" s="91"/>
      <c r="F104" s="91"/>
      <c r="G104" s="91"/>
      <c r="H104" s="91"/>
      <c r="I104" s="91"/>
      <c r="J104" s="135"/>
      <c r="K104" s="91" t="s">
        <v>156</v>
      </c>
      <c r="L104" s="91"/>
      <c r="M104" s="91"/>
      <c r="N104" s="135"/>
      <c r="O104" s="91" t="s">
        <v>157</v>
      </c>
      <c r="P104" s="91"/>
      <c r="Q104" s="91"/>
      <c r="R104" s="91"/>
      <c r="S104" s="138"/>
      <c r="T104" s="130" t="s">
        <v>158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151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159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160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161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162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163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164</v>
      </c>
      <c r="V109" s="91"/>
      <c r="W109" s="91"/>
      <c r="X109" s="91"/>
      <c r="Y109" s="135"/>
      <c r="Z109" s="91" t="s">
        <v>165</v>
      </c>
      <c r="AA109" s="91"/>
      <c r="AB109" s="91"/>
      <c r="AC109" s="135"/>
      <c r="AD109" s="91" t="s">
        <v>166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167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168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169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170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171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172</v>
      </c>
      <c r="W112" s="91"/>
      <c r="X112" s="91"/>
      <c r="Y112" s="91"/>
      <c r="Z112" s="91"/>
      <c r="AA112" s="91"/>
      <c r="AB112" s="91"/>
      <c r="AC112" s="135"/>
      <c r="AD112" s="91" t="s">
        <v>173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174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31" t="s">
        <v>1</v>
      </c>
      <c r="X118" s="531"/>
      <c r="Y118" s="531"/>
      <c r="Z118" s="531"/>
      <c r="AA118" s="531"/>
      <c r="AB118" s="150" t="s">
        <v>2</v>
      </c>
      <c r="AC118" s="150"/>
      <c r="AD118" s="150"/>
      <c r="AE118" s="531" t="e">
        <v>#REF!</v>
      </c>
      <c r="AF118" s="531"/>
      <c r="AG118" s="531"/>
      <c r="AH118" s="531"/>
      <c r="AI118" s="531"/>
      <c r="AJ118" s="531"/>
      <c r="AK118" s="531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30" t="e">
        <v>#REF!</v>
      </c>
      <c r="Y119" s="530"/>
      <c r="Z119" s="530"/>
      <c r="AA119" s="530"/>
      <c r="AB119" s="162" t="s">
        <v>7</v>
      </c>
      <c r="AC119" s="162"/>
      <c r="AD119" s="531" t="e">
        <v>#REF!</v>
      </c>
      <c r="AE119" s="531"/>
      <c r="AF119" s="531"/>
      <c r="AG119" s="531"/>
      <c r="AH119" s="531"/>
      <c r="AI119" s="531"/>
      <c r="AJ119" s="531"/>
      <c r="AK119" s="531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287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175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176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177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178</v>
      </c>
      <c r="D124" s="150"/>
      <c r="E124" s="150"/>
      <c r="F124" s="150"/>
      <c r="G124" s="165"/>
      <c r="H124" s="165"/>
      <c r="I124" s="165"/>
      <c r="J124" s="165"/>
      <c r="K124" s="150" t="s">
        <v>179</v>
      </c>
      <c r="L124" s="150"/>
      <c r="M124" s="150" t="s">
        <v>180</v>
      </c>
      <c r="N124" s="150"/>
      <c r="O124" s="165"/>
      <c r="P124" s="165"/>
      <c r="Q124" s="150" t="s">
        <v>179</v>
      </c>
      <c r="R124" s="150"/>
      <c r="S124" s="174"/>
      <c r="T124" s="172"/>
      <c r="U124" s="150" t="s">
        <v>1</v>
      </c>
      <c r="V124" s="150" t="s">
        <v>181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182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183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184</v>
      </c>
      <c r="W125" s="150"/>
      <c r="X125" s="150"/>
      <c r="Y125" s="150"/>
      <c r="Z125" s="175"/>
      <c r="AA125" s="150" t="s">
        <v>138</v>
      </c>
      <c r="AB125" s="150"/>
      <c r="AC125" s="175"/>
      <c r="AD125" s="150" t="s">
        <v>185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186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187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188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189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179</v>
      </c>
      <c r="M128" s="150"/>
      <c r="N128" s="165"/>
      <c r="O128" s="165"/>
      <c r="P128" s="165"/>
      <c r="Q128" s="150" t="s">
        <v>190</v>
      </c>
      <c r="R128" s="150"/>
      <c r="S128" s="174"/>
      <c r="T128" s="150"/>
      <c r="U128" s="150"/>
      <c r="V128" s="150" t="s">
        <v>191</v>
      </c>
      <c r="W128" s="150"/>
      <c r="X128" s="150"/>
      <c r="Y128" s="150"/>
      <c r="Z128" s="150"/>
      <c r="AA128" s="150"/>
      <c r="AB128" s="150"/>
      <c r="AC128" s="150" t="s">
        <v>192</v>
      </c>
      <c r="AD128" s="165"/>
      <c r="AE128" s="165"/>
      <c r="AF128" s="165"/>
      <c r="AG128" s="150"/>
      <c r="AH128" s="150" t="s">
        <v>193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194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179</v>
      </c>
      <c r="M129" s="150"/>
      <c r="N129" s="165"/>
      <c r="O129" s="165"/>
      <c r="P129" s="165"/>
      <c r="Q129" s="150" t="s">
        <v>190</v>
      </c>
      <c r="R129" s="150"/>
      <c r="S129" s="174"/>
      <c r="T129" s="150"/>
      <c r="U129" s="150"/>
      <c r="V129" s="150" t="s">
        <v>195</v>
      </c>
      <c r="W129" s="150"/>
      <c r="X129" s="150"/>
      <c r="Y129" s="150"/>
      <c r="Z129" s="150"/>
      <c r="AA129" s="150"/>
      <c r="AB129" s="150"/>
      <c r="AC129" s="150" t="s">
        <v>192</v>
      </c>
      <c r="AD129" s="165"/>
      <c r="AE129" s="165"/>
      <c r="AF129" s="165"/>
      <c r="AG129" s="150"/>
      <c r="AH129" s="150" t="s">
        <v>193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196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179</v>
      </c>
      <c r="M130" s="150"/>
      <c r="N130" s="165"/>
      <c r="O130" s="165"/>
      <c r="P130" s="165"/>
      <c r="Q130" s="150" t="s">
        <v>190</v>
      </c>
      <c r="R130" s="150"/>
      <c r="S130" s="174"/>
      <c r="T130" s="154"/>
      <c r="U130" s="154"/>
      <c r="V130" s="150" t="s">
        <v>295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197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179</v>
      </c>
      <c r="M131" s="150"/>
      <c r="N131" s="165"/>
      <c r="O131" s="165"/>
      <c r="P131" s="165"/>
      <c r="Q131" s="150" t="s">
        <v>190</v>
      </c>
      <c r="R131" s="150"/>
      <c r="S131" s="174"/>
      <c r="T131" s="172"/>
      <c r="U131" s="173" t="s">
        <v>198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199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200</v>
      </c>
      <c r="V132" s="150" t="s">
        <v>201</v>
      </c>
      <c r="W132" s="165"/>
      <c r="X132" s="150"/>
      <c r="Y132" s="150"/>
      <c r="Z132" s="150" t="s">
        <v>202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203</v>
      </c>
      <c r="AO132" s="180"/>
      <c r="AP132" s="59"/>
      <c r="AQ132" s="181">
        <v>27.4</v>
      </c>
      <c r="AR132" s="59" t="s">
        <v>204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205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206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203</v>
      </c>
      <c r="AO133" s="180"/>
      <c r="AP133" s="59"/>
      <c r="AQ133" s="184">
        <v>5.35</v>
      </c>
      <c r="AR133" s="59" t="s">
        <v>207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208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209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210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211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189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179</v>
      </c>
      <c r="R136" s="150"/>
      <c r="S136" s="174"/>
      <c r="T136" s="150"/>
      <c r="U136" s="150" t="s">
        <v>181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194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179</v>
      </c>
      <c r="R137" s="150"/>
      <c r="S137" s="174"/>
      <c r="T137" s="150"/>
      <c r="U137" s="150" t="s">
        <v>212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196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179</v>
      </c>
      <c r="R138" s="150"/>
      <c r="S138" s="174"/>
      <c r="T138" s="150"/>
      <c r="U138" s="150" t="s">
        <v>213</v>
      </c>
      <c r="V138" s="150"/>
      <c r="W138" s="150"/>
      <c r="X138" s="150"/>
      <c r="Y138" s="150"/>
      <c r="Z138" s="150"/>
      <c r="AA138" s="150"/>
      <c r="AB138" s="180"/>
      <c r="AC138" s="180" t="s">
        <v>192</v>
      </c>
      <c r="AD138" s="180"/>
      <c r="AE138" s="178"/>
      <c r="AF138" s="178"/>
      <c r="AG138" s="180"/>
      <c r="AH138" s="180" t="s">
        <v>193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197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179</v>
      </c>
      <c r="R139" s="150"/>
      <c r="S139" s="174"/>
      <c r="T139" s="150"/>
      <c r="U139" s="150" t="s">
        <v>214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215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216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217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218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219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296</v>
      </c>
      <c r="R142" s="150"/>
      <c r="S142" s="174"/>
      <c r="T142" s="175"/>
      <c r="U142" s="173" t="s">
        <v>220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221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222</v>
      </c>
      <c r="W143" s="150"/>
      <c r="X143" s="150"/>
      <c r="Y143" s="150"/>
      <c r="Z143" s="175"/>
      <c r="AA143" s="150" t="s">
        <v>223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224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181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225</v>
      </c>
      <c r="E145" s="150"/>
      <c r="F145" s="150"/>
      <c r="G145" s="150"/>
      <c r="H145" s="150"/>
      <c r="I145" s="150"/>
      <c r="J145" s="150"/>
      <c r="K145" s="150" t="s">
        <v>226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227</v>
      </c>
      <c r="V145" s="150"/>
      <c r="W145" s="150"/>
      <c r="X145" s="150"/>
      <c r="Y145" s="150"/>
      <c r="Z145" s="150"/>
      <c r="AA145" s="165"/>
      <c r="AB145" s="178"/>
      <c r="AC145" s="180" t="s">
        <v>228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229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230</v>
      </c>
      <c r="Q146" s="193"/>
      <c r="R146" s="194" t="s">
        <v>231</v>
      </c>
      <c r="S146" s="195"/>
      <c r="T146" s="150"/>
      <c r="U146" s="150" t="s">
        <v>232</v>
      </c>
      <c r="V146" s="150"/>
      <c r="W146" s="150"/>
      <c r="X146" s="150"/>
      <c r="Y146" s="175"/>
      <c r="Z146" s="150" t="s">
        <v>233</v>
      </c>
      <c r="AA146" s="150"/>
      <c r="AB146" s="180"/>
      <c r="AC146" s="180"/>
      <c r="AD146" s="196"/>
      <c r="AE146" s="180" t="s">
        <v>234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235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236</v>
      </c>
      <c r="AA147" s="150"/>
      <c r="AB147" s="180"/>
      <c r="AC147" s="180"/>
      <c r="AD147" s="196"/>
      <c r="AE147" s="180" t="s">
        <v>237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238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212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239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240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241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242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243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244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245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181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246</v>
      </c>
      <c r="AF152" s="180"/>
      <c r="AG152" s="178"/>
      <c r="AH152" s="178"/>
      <c r="AI152" s="178"/>
      <c r="AJ152" s="197" t="s">
        <v>247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248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249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250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251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252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253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532">
        <v>15919</v>
      </c>
      <c r="AI155" s="533"/>
      <c r="AJ155" s="533"/>
      <c r="AK155" s="534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254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255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256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257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258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181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259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260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261</v>
      </c>
      <c r="D160" s="150"/>
      <c r="E160" s="150"/>
      <c r="F160" s="150"/>
      <c r="G160" s="150"/>
      <c r="H160" s="165"/>
      <c r="I160" s="150"/>
      <c r="J160" s="150" t="s">
        <v>262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263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264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265</v>
      </c>
      <c r="Q161" s="150"/>
      <c r="R161" s="150"/>
      <c r="S161" s="174"/>
      <c r="T161" s="175"/>
      <c r="U161" s="150"/>
      <c r="V161" s="150"/>
      <c r="W161" s="150" t="s">
        <v>266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260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267</v>
      </c>
      <c r="D162" s="150"/>
      <c r="E162" s="150"/>
      <c r="F162" s="150"/>
      <c r="G162" s="150"/>
      <c r="H162" s="150"/>
      <c r="I162" s="201"/>
      <c r="J162" s="150" t="s">
        <v>268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269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270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271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272</v>
      </c>
      <c r="D164" s="150"/>
      <c r="E164" s="150"/>
      <c r="F164" s="150"/>
      <c r="G164" s="150"/>
      <c r="H164" s="165"/>
      <c r="I164" s="165"/>
      <c r="J164" s="150" t="s">
        <v>151</v>
      </c>
      <c r="K164" s="150" t="s">
        <v>273</v>
      </c>
      <c r="L164" s="150"/>
      <c r="M164" s="150"/>
      <c r="N164" s="150"/>
      <c r="O164" s="150"/>
      <c r="P164" s="165"/>
      <c r="Q164" s="165"/>
      <c r="R164" s="150" t="s">
        <v>151</v>
      </c>
      <c r="S164" s="174"/>
      <c r="T164" s="175"/>
      <c r="U164" s="150" t="s">
        <v>274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297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275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276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265</v>
      </c>
      <c r="Q166" s="150"/>
      <c r="R166" s="150"/>
      <c r="S166" s="174"/>
      <c r="T166" s="175"/>
      <c r="U166" s="150" t="s">
        <v>277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278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279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280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181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281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282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181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283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284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285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181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286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3">
    <mergeCell ref="D3:L3"/>
    <mergeCell ref="A3:C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A3" zoomScale="90" zoomScaleNormal="90" workbookViewId="0">
      <selection activeCell="K27" sqref="K27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628" t="s">
        <v>299</v>
      </c>
      <c r="C3" s="629"/>
      <c r="D3" s="245" t="s">
        <v>302</v>
      </c>
      <c r="F3" s="616" t="s">
        <v>303</v>
      </c>
      <c r="G3" s="617"/>
      <c r="H3" s="617"/>
      <c r="I3" s="617"/>
      <c r="J3" s="617"/>
      <c r="K3" s="617"/>
      <c r="L3" s="617"/>
      <c r="M3" s="617"/>
      <c r="N3" s="617"/>
      <c r="O3" s="617"/>
      <c r="P3" s="617"/>
      <c r="Q3" s="617"/>
      <c r="R3" s="617"/>
      <c r="S3" s="618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626" t="s">
        <v>320</v>
      </c>
      <c r="C4" s="627"/>
      <c r="D4" s="244">
        <v>0</v>
      </c>
      <c r="F4" s="619" t="s">
        <v>304</v>
      </c>
      <c r="G4" s="620"/>
      <c r="H4" s="624" t="s">
        <v>324</v>
      </c>
      <c r="I4" s="625"/>
      <c r="J4" s="619" t="s">
        <v>310</v>
      </c>
      <c r="K4" s="620"/>
      <c r="L4" s="621" t="s">
        <v>305</v>
      </c>
      <c r="M4" s="622"/>
      <c r="N4" s="622"/>
      <c r="O4" s="623"/>
      <c r="P4" s="621" t="s">
        <v>306</v>
      </c>
      <c r="Q4" s="622"/>
      <c r="R4" s="622"/>
      <c r="S4" s="623"/>
      <c r="T4" s="246"/>
      <c r="U4" s="246"/>
    </row>
    <row r="5" spans="2:27" x14ac:dyDescent="0.55000000000000004">
      <c r="B5" s="626" t="s">
        <v>321</v>
      </c>
      <c r="C5" s="627"/>
      <c r="D5" s="244">
        <v>0</v>
      </c>
      <c r="F5" s="256"/>
      <c r="G5" s="257" t="s">
        <v>307</v>
      </c>
      <c r="H5" s="256"/>
      <c r="I5" s="257" t="s">
        <v>307</v>
      </c>
      <c r="J5" s="256"/>
      <c r="K5" s="257" t="s">
        <v>307</v>
      </c>
      <c r="L5" s="256" t="s">
        <v>308</v>
      </c>
      <c r="M5" s="258" t="s">
        <v>307</v>
      </c>
      <c r="N5" s="258" t="s">
        <v>309</v>
      </c>
      <c r="O5" s="257" t="s">
        <v>307</v>
      </c>
      <c r="P5" s="256" t="s">
        <v>308</v>
      </c>
      <c r="Q5" s="258" t="s">
        <v>307</v>
      </c>
      <c r="R5" s="258" t="s">
        <v>309</v>
      </c>
      <c r="S5" s="257" t="s">
        <v>307</v>
      </c>
      <c r="T5" s="247"/>
      <c r="U5" s="247"/>
    </row>
    <row r="6" spans="2:27" ht="14.7" thickBot="1" x14ac:dyDescent="0.6">
      <c r="B6" s="626" t="s">
        <v>99</v>
      </c>
      <c r="C6" s="627"/>
      <c r="D6" s="244">
        <v>0</v>
      </c>
      <c r="F6" s="250">
        <v>35786.045757990796</v>
      </c>
      <c r="G6" s="251" t="s">
        <v>311</v>
      </c>
      <c r="H6" s="250">
        <v>6967.170000000001</v>
      </c>
      <c r="I6" s="251" t="s">
        <v>323</v>
      </c>
      <c r="J6" s="252">
        <v>6289</v>
      </c>
      <c r="K6" s="251" t="s">
        <v>312</v>
      </c>
      <c r="L6" s="252">
        <v>300</v>
      </c>
      <c r="M6" s="253" t="s">
        <v>344</v>
      </c>
      <c r="N6" s="253">
        <v>40</v>
      </c>
      <c r="O6" s="251" t="s">
        <v>313</v>
      </c>
      <c r="P6" s="252">
        <v>1134.3900000000001</v>
      </c>
      <c r="Q6" s="253" t="s">
        <v>344</v>
      </c>
      <c r="R6" s="254">
        <v>161.60890018661564</v>
      </c>
      <c r="S6" s="251" t="s">
        <v>313</v>
      </c>
      <c r="U6" s="249"/>
    </row>
    <row r="7" spans="2:27" ht="14.7" thickBot="1" x14ac:dyDescent="0.6">
      <c r="B7" s="626" t="s">
        <v>100</v>
      </c>
      <c r="C7" s="627"/>
      <c r="D7" s="244">
        <v>0</v>
      </c>
      <c r="F7" s="630" t="s">
        <v>343</v>
      </c>
      <c r="G7" s="631"/>
      <c r="H7" s="631"/>
      <c r="I7" s="632"/>
    </row>
    <row r="8" spans="2:27" ht="14.7" thickBot="1" x14ac:dyDescent="0.6">
      <c r="B8" s="626" t="s">
        <v>101</v>
      </c>
      <c r="C8" s="627"/>
      <c r="D8" s="244">
        <v>0</v>
      </c>
    </row>
    <row r="9" spans="2:27" ht="14.7" thickBot="1" x14ac:dyDescent="0.6">
      <c r="B9" s="626" t="s">
        <v>102</v>
      </c>
      <c r="C9" s="627"/>
      <c r="D9" s="244">
        <v>0</v>
      </c>
      <c r="F9" s="592" t="s">
        <v>332</v>
      </c>
      <c r="G9" s="600"/>
      <c r="H9" s="600"/>
      <c r="I9" s="593"/>
      <c r="J9" s="592" t="s">
        <v>333</v>
      </c>
      <c r="K9" s="593"/>
    </row>
    <row r="10" spans="2:27" x14ac:dyDescent="0.55000000000000004">
      <c r="B10" s="626" t="s">
        <v>103</v>
      </c>
      <c r="C10" s="627"/>
      <c r="D10" s="244">
        <v>0</v>
      </c>
      <c r="F10" s="588" t="s">
        <v>325</v>
      </c>
      <c r="G10" s="263" t="s">
        <v>317</v>
      </c>
      <c r="H10" s="584" t="s">
        <v>322</v>
      </c>
      <c r="I10" s="585"/>
      <c r="J10" s="594" t="s">
        <v>334</v>
      </c>
      <c r="K10" s="595"/>
    </row>
    <row r="11" spans="2:27" ht="14.7" thickBot="1" x14ac:dyDescent="0.6">
      <c r="B11" s="626" t="s">
        <v>105</v>
      </c>
      <c r="C11" s="627"/>
      <c r="D11" s="244">
        <v>0</v>
      </c>
      <c r="F11" s="589"/>
      <c r="G11" s="259">
        <v>2.7297158756046009</v>
      </c>
      <c r="H11" s="598">
        <v>1.0212499985623507</v>
      </c>
      <c r="I11" s="601"/>
      <c r="J11" s="596"/>
      <c r="K11" s="597"/>
    </row>
    <row r="12" spans="2:27" x14ac:dyDescent="0.55000000000000004">
      <c r="B12" s="626" t="s">
        <v>298</v>
      </c>
      <c r="C12" s="627"/>
      <c r="D12" s="244">
        <v>1</v>
      </c>
      <c r="F12" s="588" t="s">
        <v>315</v>
      </c>
      <c r="G12" s="590">
        <v>0.5420038623301654</v>
      </c>
      <c r="H12" s="584" t="s">
        <v>326</v>
      </c>
      <c r="I12" s="585"/>
      <c r="J12" s="606" t="s">
        <v>340</v>
      </c>
      <c r="K12" s="607"/>
    </row>
    <row r="13" spans="2:27" ht="14.7" thickBot="1" x14ac:dyDescent="0.6">
      <c r="B13" s="626" t="s">
        <v>107</v>
      </c>
      <c r="C13" s="627"/>
      <c r="D13" s="244">
        <v>0</v>
      </c>
      <c r="F13" s="589"/>
      <c r="G13" s="591"/>
      <c r="H13" s="612">
        <v>-1.7242585162534629E-2</v>
      </c>
      <c r="I13" s="613"/>
      <c r="J13" s="608"/>
      <c r="K13" s="609"/>
    </row>
    <row r="14" spans="2:27" x14ac:dyDescent="0.55000000000000004">
      <c r="B14" s="626" t="s">
        <v>108</v>
      </c>
      <c r="C14" s="627"/>
      <c r="D14" s="244">
        <v>0</v>
      </c>
      <c r="F14" s="588" t="s">
        <v>316</v>
      </c>
      <c r="G14" s="633">
        <v>1332369.4081878909</v>
      </c>
      <c r="H14" s="584" t="s">
        <v>328</v>
      </c>
      <c r="I14" s="585"/>
      <c r="J14" s="608"/>
      <c r="K14" s="609"/>
    </row>
    <row r="15" spans="2:27" ht="14.7" thickBot="1" x14ac:dyDescent="0.6">
      <c r="B15" s="626" t="s">
        <v>109</v>
      </c>
      <c r="C15" s="627"/>
      <c r="D15" s="244">
        <v>0</v>
      </c>
      <c r="F15" s="589"/>
      <c r="G15" s="634"/>
      <c r="H15" s="614">
        <v>0.1151379897272776</v>
      </c>
      <c r="I15" s="615"/>
      <c r="J15" s="610"/>
      <c r="K15" s="611"/>
    </row>
    <row r="16" spans="2:27" ht="14.7" x14ac:dyDescent="0.55000000000000004">
      <c r="B16" s="626" t="s">
        <v>110</v>
      </c>
      <c r="C16" s="627"/>
      <c r="D16" s="244">
        <v>0</v>
      </c>
      <c r="F16" s="588" t="s">
        <v>327</v>
      </c>
      <c r="G16" s="590">
        <v>8.2119494439549051E-2</v>
      </c>
      <c r="H16" s="584" t="s">
        <v>341</v>
      </c>
      <c r="I16" s="585"/>
      <c r="J16" s="602" t="s">
        <v>335</v>
      </c>
      <c r="K16" s="603"/>
    </row>
    <row r="17" spans="2:11" ht="14.7" thickBot="1" x14ac:dyDescent="0.6">
      <c r="B17" s="626" t="s">
        <v>111</v>
      </c>
      <c r="C17" s="627"/>
      <c r="D17" s="244">
        <v>0</v>
      </c>
      <c r="F17" s="589"/>
      <c r="G17" s="591"/>
      <c r="H17" s="598">
        <v>0.99888268049569495</v>
      </c>
      <c r="I17" s="601"/>
      <c r="J17" s="604"/>
      <c r="K17" s="605"/>
    </row>
    <row r="18" spans="2:11" ht="15" customHeight="1" x14ac:dyDescent="0.55000000000000004">
      <c r="B18" s="626" t="s">
        <v>112</v>
      </c>
      <c r="C18" s="627"/>
      <c r="D18" s="244">
        <v>0</v>
      </c>
      <c r="F18" s="588" t="s">
        <v>330</v>
      </c>
      <c r="G18" s="633">
        <v>8.3833624635185053</v>
      </c>
      <c r="H18" s="584" t="s">
        <v>342</v>
      </c>
      <c r="I18" s="585"/>
      <c r="J18" s="260"/>
      <c r="K18" s="260"/>
    </row>
    <row r="19" spans="2:11" ht="14.7" thickBot="1" x14ac:dyDescent="0.6">
      <c r="B19" s="626" t="s">
        <v>113</v>
      </c>
      <c r="C19" s="627"/>
      <c r="D19" s="244">
        <v>0</v>
      </c>
      <c r="F19" s="589"/>
      <c r="G19" s="634"/>
      <c r="H19" s="635">
        <v>0.99792319358801485</v>
      </c>
      <c r="I19" s="636"/>
      <c r="J19" s="260"/>
      <c r="K19" s="260"/>
    </row>
    <row r="20" spans="2:11" ht="15" customHeight="1" thickBot="1" x14ac:dyDescent="0.6">
      <c r="B20" s="626" t="s">
        <v>301</v>
      </c>
      <c r="C20" s="627"/>
      <c r="D20" s="244">
        <v>0</v>
      </c>
      <c r="F20" s="588" t="s">
        <v>347</v>
      </c>
      <c r="G20" s="590">
        <v>92.039385344389657</v>
      </c>
      <c r="H20" s="584" t="s">
        <v>349</v>
      </c>
      <c r="I20" s="585"/>
      <c r="J20" s="260"/>
      <c r="K20" s="260"/>
    </row>
    <row r="21" spans="2:11" ht="14.7" thickBot="1" x14ac:dyDescent="0.6">
      <c r="F21" s="589"/>
      <c r="G21" s="591"/>
      <c r="H21" s="598">
        <v>0.44624199167127326</v>
      </c>
      <c r="I21" s="599"/>
      <c r="J21" s="567" t="s">
        <v>385</v>
      </c>
      <c r="K21" s="568"/>
    </row>
    <row r="22" spans="2:11" ht="15" customHeight="1" thickBot="1" x14ac:dyDescent="0.6">
      <c r="B22" s="575" t="s">
        <v>353</v>
      </c>
      <c r="C22" s="576"/>
      <c r="D22" s="577"/>
      <c r="F22" s="588" t="s">
        <v>348</v>
      </c>
      <c r="G22" s="590">
        <v>205.35800278783958</v>
      </c>
      <c r="H22" s="584" t="s">
        <v>350</v>
      </c>
      <c r="I22" s="585"/>
      <c r="J22" s="569"/>
      <c r="K22" s="570"/>
    </row>
    <row r="23" spans="2:11" ht="14.7" thickBot="1" x14ac:dyDescent="0.6">
      <c r="B23" s="578" t="s">
        <v>357</v>
      </c>
      <c r="C23" s="580" t="s">
        <v>387</v>
      </c>
      <c r="D23" s="262" t="s">
        <v>355</v>
      </c>
      <c r="F23" s="589"/>
      <c r="G23" s="591"/>
      <c r="H23" s="586">
        <v>0.99565380436633244</v>
      </c>
      <c r="I23" s="587"/>
      <c r="J23" s="571" t="s">
        <v>432</v>
      </c>
      <c r="K23" s="572"/>
    </row>
    <row r="24" spans="2:11" ht="15" customHeight="1" thickBot="1" x14ac:dyDescent="0.6">
      <c r="B24" s="579"/>
      <c r="C24" s="581"/>
      <c r="D24" s="264">
        <v>0.01</v>
      </c>
      <c r="F24" s="588" t="s">
        <v>329</v>
      </c>
      <c r="G24" s="590">
        <v>1089.0807513469624</v>
      </c>
      <c r="H24" s="584" t="s">
        <v>331</v>
      </c>
      <c r="I24" s="585"/>
      <c r="J24" s="573"/>
      <c r="K24" s="574"/>
    </row>
    <row r="25" spans="2:11" ht="14.7" thickBot="1" x14ac:dyDescent="0.6">
      <c r="B25" s="561" t="s">
        <v>358</v>
      </c>
      <c r="C25" s="564" t="s">
        <v>356</v>
      </c>
      <c r="D25" s="372" t="s">
        <v>423</v>
      </c>
      <c r="F25" s="589"/>
      <c r="G25" s="591"/>
      <c r="H25" s="598">
        <v>7.1768390733437784E-2</v>
      </c>
      <c r="I25" s="599"/>
    </row>
    <row r="26" spans="2:11" ht="15" customHeight="1" x14ac:dyDescent="0.55000000000000004">
      <c r="B26" s="562"/>
      <c r="C26" s="565"/>
      <c r="D26" s="377">
        <v>5</v>
      </c>
      <c r="F26" s="588" t="s">
        <v>345</v>
      </c>
      <c r="G26" s="590">
        <v>15177.039018207079</v>
      </c>
      <c r="H26" s="584" t="s">
        <v>346</v>
      </c>
      <c r="I26" s="585"/>
    </row>
    <row r="27" spans="2:11" ht="26.1" thickBot="1" x14ac:dyDescent="0.6">
      <c r="B27" s="562"/>
      <c r="C27" s="565"/>
      <c r="D27" s="376" t="s">
        <v>422</v>
      </c>
      <c r="F27" s="589"/>
      <c r="G27" s="591"/>
      <c r="H27" s="586">
        <v>1.0001385710730517</v>
      </c>
      <c r="I27" s="587"/>
    </row>
    <row r="28" spans="2:11" ht="15" customHeight="1" x14ac:dyDescent="0.55000000000000004">
      <c r="B28" s="562"/>
      <c r="C28" s="565"/>
      <c r="D28" s="377"/>
      <c r="F28" s="588" t="s">
        <v>352</v>
      </c>
      <c r="G28" s="582">
        <v>0.8400881128924641</v>
      </c>
      <c r="H28" s="584" t="s">
        <v>354</v>
      </c>
      <c r="I28" s="585"/>
    </row>
    <row r="29" spans="2:11" ht="26.1" thickBot="1" x14ac:dyDescent="0.6">
      <c r="B29" s="562"/>
      <c r="C29" s="565"/>
      <c r="D29" s="376" t="s">
        <v>421</v>
      </c>
      <c r="F29" s="589"/>
      <c r="G29" s="583"/>
      <c r="H29" s="586"/>
      <c r="I29" s="587"/>
    </row>
    <row r="30" spans="2:11" x14ac:dyDescent="0.55000000000000004">
      <c r="B30" s="562"/>
      <c r="C30" s="565"/>
      <c r="D30" s="377">
        <v>25</v>
      </c>
    </row>
    <row r="31" spans="2:11" ht="25.8" x14ac:dyDescent="0.55000000000000004">
      <c r="B31" s="562"/>
      <c r="C31" s="565"/>
      <c r="D31" s="376" t="s">
        <v>424</v>
      </c>
    </row>
    <row r="32" spans="2:11" ht="14.7" thickBot="1" x14ac:dyDescent="0.6">
      <c r="B32" s="563"/>
      <c r="C32" s="566"/>
      <c r="D32" s="378">
        <v>13.6</v>
      </c>
    </row>
    <row r="34" spans="2:5" x14ac:dyDescent="0.55000000000000004">
      <c r="B34" s="560" t="s">
        <v>425</v>
      </c>
      <c r="C34" s="560"/>
      <c r="D34" s="560"/>
      <c r="E34" s="560"/>
    </row>
    <row r="35" spans="2:5" x14ac:dyDescent="0.55000000000000004">
      <c r="B35" s="560"/>
      <c r="C35" s="560"/>
      <c r="D35" s="560"/>
      <c r="E35" s="560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74" priority="24" operator="between">
      <formula>1.05</formula>
      <formula>1000</formula>
    </cfRule>
    <cfRule type="cellIs" dxfId="73" priority="25" operator="between">
      <formula>-100</formula>
      <formula>0.95</formula>
    </cfRule>
    <cfRule type="cellIs" dxfId="72" priority="26" operator="between">
      <formula>0.95</formula>
      <formula>1.05</formula>
    </cfRule>
    <cfRule type="cellIs" dxfId="71" priority="27" operator="between">
      <formula>0.95</formula>
      <formula>1.05</formula>
    </cfRule>
  </conditionalFormatting>
  <conditionalFormatting sqref="H17:I17">
    <cfRule type="cellIs" dxfId="70" priority="16" operator="between">
      <formula>1.04</formula>
      <formula>1000</formula>
    </cfRule>
    <cfRule type="cellIs" dxfId="69" priority="17" operator="between">
      <formula>-100</formula>
      <formula>0.96</formula>
    </cfRule>
    <cfRule type="cellIs" dxfId="68" priority="18" operator="between">
      <formula>0.96</formula>
      <formula>1.04</formula>
    </cfRule>
  </conditionalFormatting>
  <conditionalFormatting sqref="G14:G15">
    <cfRule type="cellIs" dxfId="67" priority="15" operator="lessThan">
      <formula>90000</formula>
    </cfRule>
  </conditionalFormatting>
  <conditionalFormatting sqref="D24">
    <cfRule type="expression" dxfId="66" priority="13">
      <formula>IF($C$23="No",TRUE,FALSE)</formula>
    </cfRule>
    <cfRule type="expression" dxfId="65" priority="14">
      <formula>"C23=No"</formula>
    </cfRule>
  </conditionalFormatting>
  <conditionalFormatting sqref="J23:K24">
    <cfRule type="cellIs" dxfId="64" priority="1" operator="equal">
      <formula>"Python não encontrado!"</formula>
    </cfRule>
    <cfRule type="expression" dxfId="63" priority="2">
      <formula>AND(J23="Calculando...",J23="Calculando...")</formula>
    </cfRule>
    <cfRule type="expression" dxfId="62" priority="3">
      <formula>AND(J23="Carregando script...",J23="Carregando script...")</formula>
    </cfRule>
    <cfRule type="cellIs" dxfId="61" priority="4" operator="equal">
      <formula>"Carregando bibliotecas..."</formula>
    </cfRule>
    <cfRule type="cellIs" dxfId="60" priority="5" operator="equal">
      <formula>"ERRO!"</formula>
    </cfRule>
    <cfRule type="expression" dxfId="59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7"/>
  <sheetViews>
    <sheetView showGridLines="0" zoomScale="85" zoomScaleNormal="85" workbookViewId="0">
      <selection activeCell="Q6" sqref="Q6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9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1"/>
    </row>
    <row r="3" spans="2:20" ht="14.7" thickBot="1" x14ac:dyDescent="0.6">
      <c r="B3" s="643"/>
      <c r="C3" s="643"/>
      <c r="D3" s="374"/>
      <c r="F3" s="637" t="s">
        <v>365</v>
      </c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9"/>
      <c r="R3" s="360"/>
      <c r="S3" s="360"/>
      <c r="T3" s="360"/>
    </row>
    <row r="4" spans="2:20" ht="14.7" thickBot="1" x14ac:dyDescent="0.6">
      <c r="B4" s="642"/>
      <c r="C4" s="642"/>
      <c r="D4" s="375"/>
      <c r="F4" s="339"/>
      <c r="G4" s="368"/>
      <c r="H4" s="368"/>
      <c r="I4" s="368"/>
      <c r="J4" s="368"/>
      <c r="K4" s="340"/>
      <c r="L4" s="362"/>
      <c r="M4" s="640" t="s">
        <v>415</v>
      </c>
      <c r="N4" s="407"/>
      <c r="O4" s="408"/>
      <c r="P4" s="408"/>
      <c r="Q4" s="408"/>
      <c r="R4" s="361"/>
      <c r="S4" s="361"/>
      <c r="T4" s="361"/>
    </row>
    <row r="5" spans="2:20" x14ac:dyDescent="0.55000000000000004">
      <c r="B5" s="642"/>
      <c r="C5" s="642"/>
      <c r="D5" s="375"/>
      <c r="F5" s="270"/>
      <c r="G5" s="371" t="s">
        <v>366</v>
      </c>
      <c r="H5" s="275" t="s">
        <v>361</v>
      </c>
      <c r="I5" s="275" t="s">
        <v>368</v>
      </c>
      <c r="J5" s="275" t="s">
        <v>367</v>
      </c>
      <c r="K5" s="275" t="s">
        <v>370</v>
      </c>
      <c r="L5" s="363" t="s">
        <v>369</v>
      </c>
      <c r="M5" s="641"/>
      <c r="N5" s="271" t="s">
        <v>416</v>
      </c>
      <c r="O5" s="369" t="s">
        <v>417</v>
      </c>
      <c r="P5" s="405" t="s">
        <v>420</v>
      </c>
      <c r="Q5" s="402" t="s">
        <v>310</v>
      </c>
      <c r="R5" s="361"/>
      <c r="S5" s="361"/>
      <c r="T5" s="361"/>
    </row>
    <row r="6" spans="2:20" ht="14.7" thickBot="1" x14ac:dyDescent="0.6">
      <c r="B6" s="642"/>
      <c r="C6" s="642"/>
      <c r="D6" s="375"/>
      <c r="F6" s="270"/>
      <c r="G6" s="272" t="s">
        <v>311</v>
      </c>
      <c r="H6" s="273" t="s">
        <v>323</v>
      </c>
      <c r="I6" s="273" t="s">
        <v>344</v>
      </c>
      <c r="J6" s="273" t="s">
        <v>313</v>
      </c>
      <c r="K6" s="273" t="s">
        <v>344</v>
      </c>
      <c r="L6" s="364" t="s">
        <v>313</v>
      </c>
      <c r="M6" s="641"/>
      <c r="N6" s="256" t="s">
        <v>311</v>
      </c>
      <c r="O6" s="366" t="s">
        <v>311</v>
      </c>
      <c r="P6" s="258" t="s">
        <v>313</v>
      </c>
      <c r="Q6" s="403" t="s">
        <v>312</v>
      </c>
    </row>
    <row r="7" spans="2:20" x14ac:dyDescent="0.55000000000000004">
      <c r="B7" s="642"/>
      <c r="C7" s="642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09">
        <v>50</v>
      </c>
      <c r="O7" s="370">
        <v>50</v>
      </c>
      <c r="P7" s="406">
        <v>40</v>
      </c>
      <c r="Q7" s="404">
        <v>6289</v>
      </c>
    </row>
    <row r="8" spans="2:20" x14ac:dyDescent="0.55000000000000004">
      <c r="B8" s="642"/>
      <c r="C8" s="642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1</v>
      </c>
      <c r="N8" s="409">
        <v>50</v>
      </c>
      <c r="O8" s="370">
        <v>50</v>
      </c>
      <c r="P8" s="406">
        <v>40</v>
      </c>
      <c r="Q8" s="404">
        <v>6289</v>
      </c>
    </row>
    <row r="9" spans="2:20" x14ac:dyDescent="0.55000000000000004">
      <c r="B9" s="642"/>
      <c r="C9" s="642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1</v>
      </c>
      <c r="N9" s="409">
        <v>50</v>
      </c>
      <c r="O9" s="370">
        <v>50</v>
      </c>
      <c r="P9" s="406">
        <v>40</v>
      </c>
      <c r="Q9" s="404">
        <v>6289</v>
      </c>
    </row>
    <row r="10" spans="2:20" x14ac:dyDescent="0.55000000000000004">
      <c r="B10" s="642"/>
      <c r="C10" s="642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1</v>
      </c>
      <c r="N10" s="409">
        <v>50</v>
      </c>
      <c r="O10" s="370">
        <v>50</v>
      </c>
      <c r="P10" s="406">
        <v>40</v>
      </c>
      <c r="Q10" s="404">
        <v>6289</v>
      </c>
    </row>
    <row r="11" spans="2:20" x14ac:dyDescent="0.55000000000000004">
      <c r="B11" s="642"/>
      <c r="C11" s="642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1</v>
      </c>
      <c r="N11" s="410">
        <v>50</v>
      </c>
      <c r="O11" s="370">
        <v>50</v>
      </c>
      <c r="P11" s="406">
        <v>40</v>
      </c>
      <c r="Q11" s="404">
        <v>6289</v>
      </c>
    </row>
    <row r="12" spans="2:20" x14ac:dyDescent="0.55000000000000004">
      <c r="B12" s="642"/>
      <c r="C12" s="642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09"/>
      <c r="O12" s="370"/>
      <c r="P12" s="406"/>
      <c r="Q12" s="404"/>
    </row>
    <row r="13" spans="2:20" x14ac:dyDescent="0.55000000000000004">
      <c r="B13" s="642"/>
      <c r="C13" s="642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09"/>
      <c r="O13" s="370"/>
      <c r="P13" s="406"/>
      <c r="Q13" s="404"/>
    </row>
    <row r="14" spans="2:20" x14ac:dyDescent="0.55000000000000004">
      <c r="B14" s="642"/>
      <c r="C14" s="642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09"/>
      <c r="O14" s="370"/>
      <c r="P14" s="406"/>
      <c r="Q14" s="404"/>
    </row>
    <row r="15" spans="2:20" x14ac:dyDescent="0.55000000000000004">
      <c r="B15" s="642"/>
      <c r="C15" s="642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09"/>
      <c r="O15" s="370"/>
      <c r="P15" s="406"/>
      <c r="Q15" s="404"/>
    </row>
    <row r="16" spans="2:20" ht="14.7" thickBot="1" x14ac:dyDescent="0.6">
      <c r="B16" s="642"/>
      <c r="C16" s="642"/>
      <c r="D16" s="375"/>
      <c r="F16" s="373">
        <v>10</v>
      </c>
      <c r="G16" s="357"/>
      <c r="H16" s="357"/>
      <c r="I16" s="274"/>
      <c r="J16" s="274"/>
      <c r="K16" s="274"/>
      <c r="L16" s="365"/>
      <c r="M16" s="415"/>
      <c r="N16" s="411"/>
      <c r="O16" s="412"/>
      <c r="P16" s="413"/>
      <c r="Q16" s="414"/>
    </row>
    <row r="17" spans="2:28" x14ac:dyDescent="0.55000000000000004">
      <c r="B17" s="642"/>
      <c r="C17" s="642"/>
      <c r="D17" s="375"/>
    </row>
    <row r="18" spans="2:28" ht="14.7" thickBot="1" x14ac:dyDescent="0.6">
      <c r="B18" s="642"/>
      <c r="C18" s="642"/>
      <c r="D18" s="375"/>
    </row>
    <row r="19" spans="2:28" ht="14.7" thickBot="1" x14ac:dyDescent="0.6">
      <c r="B19" s="642"/>
      <c r="C19" s="642"/>
      <c r="D19" s="375"/>
      <c r="F19" s="592" t="s">
        <v>371</v>
      </c>
      <c r="G19" s="576"/>
      <c r="H19" s="576"/>
      <c r="I19" s="576"/>
      <c r="J19" s="576"/>
      <c r="K19" s="600"/>
      <c r="L19" s="600"/>
      <c r="M19" s="600"/>
      <c r="N19" s="600"/>
      <c r="O19" s="600"/>
      <c r="P19" s="600"/>
      <c r="Q19" s="600"/>
      <c r="R19" s="600"/>
      <c r="S19" s="600"/>
      <c r="T19" s="600"/>
      <c r="U19" s="600"/>
      <c r="V19" s="600"/>
      <c r="W19" s="600"/>
      <c r="X19" s="600"/>
      <c r="Y19" s="600"/>
      <c r="Z19" s="600"/>
      <c r="AA19" s="600"/>
      <c r="AB19" s="593"/>
    </row>
    <row r="20" spans="2:28" ht="15.75" customHeight="1" thickBot="1" x14ac:dyDescent="0.6">
      <c r="B20" s="642"/>
      <c r="C20" s="642"/>
      <c r="D20" s="375"/>
      <c r="F20" s="286"/>
      <c r="G20" s="644" t="s">
        <v>325</v>
      </c>
      <c r="H20" s="645"/>
      <c r="I20" s="646" t="s">
        <v>315</v>
      </c>
      <c r="J20" s="645"/>
      <c r="K20" s="647" t="s">
        <v>316</v>
      </c>
      <c r="L20" s="648"/>
      <c r="M20" s="647" t="s">
        <v>327</v>
      </c>
      <c r="N20" s="647"/>
      <c r="O20" s="649" t="s">
        <v>395</v>
      </c>
      <c r="P20" s="648"/>
      <c r="Q20" s="647" t="s">
        <v>347</v>
      </c>
      <c r="R20" s="647"/>
      <c r="S20" s="649" t="s">
        <v>348</v>
      </c>
      <c r="T20" s="648"/>
      <c r="U20" s="649" t="s">
        <v>381</v>
      </c>
      <c r="V20" s="648"/>
      <c r="W20" s="647" t="s">
        <v>329</v>
      </c>
      <c r="X20" s="647"/>
      <c r="Y20" s="649" t="s">
        <v>345</v>
      </c>
      <c r="Z20" s="648"/>
      <c r="AA20" s="647" t="s">
        <v>372</v>
      </c>
      <c r="AB20" s="648"/>
    </row>
    <row r="21" spans="2:28" ht="15" thickBot="1" x14ac:dyDescent="0.6">
      <c r="F21" s="287"/>
      <c r="G21" s="277" t="s">
        <v>317</v>
      </c>
      <c r="H21" s="278" t="s">
        <v>322</v>
      </c>
      <c r="I21" s="279" t="s">
        <v>373</v>
      </c>
      <c r="J21" s="278" t="s">
        <v>380</v>
      </c>
      <c r="K21" s="282" t="s">
        <v>374</v>
      </c>
      <c r="L21" s="281" t="s">
        <v>328</v>
      </c>
      <c r="M21" s="277" t="s">
        <v>375</v>
      </c>
      <c r="N21" s="280" t="s">
        <v>341</v>
      </c>
      <c r="O21" s="277" t="s">
        <v>396</v>
      </c>
      <c r="P21" s="284" t="s">
        <v>397</v>
      </c>
      <c r="Q21" s="279" t="s">
        <v>376</v>
      </c>
      <c r="R21" s="280" t="s">
        <v>349</v>
      </c>
      <c r="S21" s="277" t="s">
        <v>377</v>
      </c>
      <c r="T21" s="281" t="s">
        <v>350</v>
      </c>
      <c r="U21" s="277" t="s">
        <v>382</v>
      </c>
      <c r="V21" s="284" t="s">
        <v>383</v>
      </c>
      <c r="W21" s="279" t="s">
        <v>378</v>
      </c>
      <c r="X21" s="283" t="s">
        <v>331</v>
      </c>
      <c r="Y21" s="277" t="s">
        <v>379</v>
      </c>
      <c r="Z21" s="281" t="s">
        <v>346</v>
      </c>
      <c r="AA21" s="285" t="s">
        <v>384</v>
      </c>
      <c r="AB21" s="281" t="s">
        <v>354</v>
      </c>
    </row>
    <row r="22" spans="2:28" ht="14.7" thickBot="1" x14ac:dyDescent="0.6">
      <c r="B22" s="650" t="s">
        <v>353</v>
      </c>
      <c r="C22" s="651"/>
      <c r="D22" s="652"/>
      <c r="F22" s="288">
        <v>1</v>
      </c>
      <c r="G22" s="294">
        <v>3.124390485126705</v>
      </c>
      <c r="H22" s="295">
        <v>1.1207681794486184</v>
      </c>
      <c r="I22" s="296">
        <v>0.54121423114448164</v>
      </c>
      <c r="J22" s="297">
        <v>-1.8032216348218388E-2</v>
      </c>
      <c r="K22" s="298">
        <v>1063595.2484440436</v>
      </c>
      <c r="L22" s="297">
        <v>9.1911611026768786E-2</v>
      </c>
      <c r="M22" s="298">
        <v>4.9207305559842901E-2</v>
      </c>
      <c r="N22" s="349">
        <v>0.59854636969019925</v>
      </c>
      <c r="O22" s="299">
        <v>133.3924547083864</v>
      </c>
      <c r="P22" s="300">
        <v>1.2593341834010214</v>
      </c>
      <c r="Q22" s="298">
        <v>113.66164752592238</v>
      </c>
      <c r="R22" s="392">
        <v>0.55107495317163768</v>
      </c>
      <c r="S22" s="299">
        <v>253.61808786636044</v>
      </c>
      <c r="T22" s="295">
        <v>1.2296370758004345</v>
      </c>
      <c r="U22" s="299">
        <v>6236.8360060225205</v>
      </c>
      <c r="V22" s="301">
        <v>0.59862305511790037</v>
      </c>
      <c r="W22" s="298">
        <v>719.53660327575722</v>
      </c>
      <c r="X22" s="302">
        <v>4.7416120454830755E-2</v>
      </c>
      <c r="Y22" s="299">
        <v>12567.817658472999</v>
      </c>
      <c r="Z22" s="295">
        <v>0.82819574881324531</v>
      </c>
      <c r="AA22" s="303">
        <v>0.75086103394154013</v>
      </c>
      <c r="AB22" s="300"/>
    </row>
    <row r="23" spans="2:28" x14ac:dyDescent="0.55000000000000004">
      <c r="B23" s="562" t="s">
        <v>357</v>
      </c>
      <c r="C23" s="565" t="s">
        <v>387</v>
      </c>
      <c r="D23" s="434" t="s">
        <v>355</v>
      </c>
      <c r="F23" s="289">
        <v>2</v>
      </c>
      <c r="G23" s="304">
        <v>3.0351665794865497</v>
      </c>
      <c r="H23" s="305">
        <v>1.0887621562694905</v>
      </c>
      <c r="I23" s="306">
        <v>0.54147696489852448</v>
      </c>
      <c r="J23" s="307">
        <v>-1.7769482594175545E-2</v>
      </c>
      <c r="K23" s="306">
        <v>1153057.463279262</v>
      </c>
      <c r="L23" s="307">
        <v>9.9642574759031474E-2</v>
      </c>
      <c r="M23" s="306">
        <v>6.5498388421885365E-2</v>
      </c>
      <c r="N23" s="308">
        <v>0.79670736213753435</v>
      </c>
      <c r="O23" s="304">
        <v>123.000060950944</v>
      </c>
      <c r="P23" s="309">
        <v>1.1612214622975559</v>
      </c>
      <c r="Q23" s="306">
        <v>104.80975236063108</v>
      </c>
      <c r="R23" s="393">
        <v>0.50815759432743635</v>
      </c>
      <c r="S23" s="304">
        <v>233.86015086281219</v>
      </c>
      <c r="T23" s="310">
        <v>1.1338430727571889</v>
      </c>
      <c r="U23" s="304">
        <v>8301.268719461108</v>
      </c>
      <c r="V23" s="311">
        <v>0.79677112519872229</v>
      </c>
      <c r="W23" s="306">
        <v>876.87333285028978</v>
      </c>
      <c r="X23" s="312">
        <v>5.778431755211736E-2</v>
      </c>
      <c r="Y23" s="304">
        <v>14124.985516557645</v>
      </c>
      <c r="Z23" s="310">
        <v>0.93081020705093931</v>
      </c>
      <c r="AA23" s="313">
        <v>0.81995038956309452</v>
      </c>
      <c r="AB23" s="314"/>
    </row>
    <row r="24" spans="2:28" ht="14.7" thickBot="1" x14ac:dyDescent="0.6">
      <c r="B24" s="562"/>
      <c r="C24" s="565"/>
      <c r="D24" s="435">
        <v>0.01</v>
      </c>
      <c r="F24" s="289">
        <v>3</v>
      </c>
      <c r="G24" s="304">
        <v>2.8237553922182821</v>
      </c>
      <c r="H24" s="305">
        <v>1.0129256266815063</v>
      </c>
      <c r="I24" s="306">
        <v>0.54189832980440644</v>
      </c>
      <c r="J24" s="307">
        <v>-1.7348117688293585E-2</v>
      </c>
      <c r="K24" s="306">
        <v>1296465.5946095565</v>
      </c>
      <c r="L24" s="307">
        <v>0.11203532698708851</v>
      </c>
      <c r="M24" s="306">
        <v>8.1682601659883433E-2</v>
      </c>
      <c r="N24" s="308">
        <v>0.99356841700905285</v>
      </c>
      <c r="O24" s="304">
        <v>109.18348229468843</v>
      </c>
      <c r="P24" s="309">
        <v>1.0307816271696273</v>
      </c>
      <c r="Q24" s="306">
        <v>94.198347888419804</v>
      </c>
      <c r="R24" s="393">
        <v>0.45670946428625003</v>
      </c>
      <c r="S24" s="304">
        <v>210.17986277861189</v>
      </c>
      <c r="T24" s="310">
        <v>1.0190320179190528</v>
      </c>
      <c r="U24" s="315">
        <v>10352.160643019562</v>
      </c>
      <c r="V24" s="311">
        <v>0.99361952522265529</v>
      </c>
      <c r="W24" s="306">
        <v>1047.4961575104855</v>
      </c>
      <c r="X24" s="312">
        <v>6.9028043541315962E-2</v>
      </c>
      <c r="Y24" s="304">
        <v>15003.138364581275</v>
      </c>
      <c r="Z24" s="310">
        <v>0.98867884226710134</v>
      </c>
      <c r="AA24" s="313">
        <v>0.86519675508754934</v>
      </c>
      <c r="AB24" s="314"/>
    </row>
    <row r="25" spans="2:28" ht="14.5" customHeight="1" x14ac:dyDescent="0.55000000000000004">
      <c r="B25" s="562" t="s">
        <v>358</v>
      </c>
      <c r="C25" s="565" t="s">
        <v>356</v>
      </c>
      <c r="D25" s="434" t="s">
        <v>423</v>
      </c>
      <c r="F25" s="289">
        <v>4</v>
      </c>
      <c r="G25" s="304">
        <v>2.7609946634999742</v>
      </c>
      <c r="H25" s="305">
        <v>0.99041236273407951</v>
      </c>
      <c r="I25" s="306">
        <v>0.5420038623301654</v>
      </c>
      <c r="J25" s="307">
        <v>-1.7242585162534629E-2</v>
      </c>
      <c r="K25" s="306">
        <v>1332369.4081878909</v>
      </c>
      <c r="L25" s="307">
        <v>0.1151379897272776</v>
      </c>
      <c r="M25" s="306">
        <v>8.2591058934768882E-2</v>
      </c>
      <c r="N25" s="308">
        <v>1.0046186827717261</v>
      </c>
      <c r="O25" s="304">
        <v>106.16038051907053</v>
      </c>
      <c r="P25" s="309">
        <v>1.0022410668039097</v>
      </c>
      <c r="Q25" s="306">
        <v>92.068191038421361</v>
      </c>
      <c r="R25" s="393">
        <v>0.44638165264606228</v>
      </c>
      <c r="S25" s="304">
        <v>205.42665782334373</v>
      </c>
      <c r="T25" s="310">
        <v>0.99598667012447495</v>
      </c>
      <c r="U25" s="304">
        <v>10467.266333225836</v>
      </c>
      <c r="V25" s="311">
        <v>1.004667582260903</v>
      </c>
      <c r="W25" s="306">
        <v>1069.1713488807529</v>
      </c>
      <c r="X25" s="312">
        <v>7.0456398235455436E-2</v>
      </c>
      <c r="Y25" s="304">
        <v>14900.022422862938</v>
      </c>
      <c r="Z25" s="310">
        <v>0.98188369398545627</v>
      </c>
      <c r="AA25" s="313">
        <v>0.86095022286999745</v>
      </c>
      <c r="AB25" s="314"/>
    </row>
    <row r="26" spans="2:28" ht="15.75" customHeight="1" x14ac:dyDescent="0.55000000000000004">
      <c r="B26" s="562"/>
      <c r="C26" s="565"/>
      <c r="D26" s="436">
        <v>5</v>
      </c>
      <c r="F26" s="289">
        <v>5</v>
      </c>
      <c r="G26" s="304">
        <v>2.2823487785551775</v>
      </c>
      <c r="H26" s="305">
        <v>0.81871452930901145</v>
      </c>
      <c r="I26" s="306">
        <v>0.54293055937138579</v>
      </c>
      <c r="J26" s="307">
        <v>-1.6315888121314237E-2</v>
      </c>
      <c r="K26" s="306">
        <v>1647415.3592434535</v>
      </c>
      <c r="L26" s="307">
        <v>0.14236298998121652</v>
      </c>
      <c r="M26" s="306">
        <v>9.43296917130408E-2</v>
      </c>
      <c r="N26" s="308">
        <v>1.14740471737824</v>
      </c>
      <c r="O26" s="304">
        <v>85.229040654905617</v>
      </c>
      <c r="P26" s="309">
        <v>0.80463205021483164</v>
      </c>
      <c r="Q26" s="306">
        <v>76.539566273751959</v>
      </c>
      <c r="R26" s="393">
        <v>0.37109296599335068</v>
      </c>
      <c r="S26" s="304">
        <v>170.77700071874068</v>
      </c>
      <c r="T26" s="310">
        <v>0.82799193679124916</v>
      </c>
      <c r="U26" s="304">
        <v>11954.74834693668</v>
      </c>
      <c r="V26" s="311">
        <v>1.1474388570901064</v>
      </c>
      <c r="W26" s="306">
        <v>1391.3281015721484</v>
      </c>
      <c r="X26" s="312">
        <v>9.1685927520566923E-2</v>
      </c>
      <c r="Y26" s="304">
        <v>15673.247382883281</v>
      </c>
      <c r="Z26" s="310">
        <v>1.032837777038484</v>
      </c>
      <c r="AA26" s="313">
        <v>0.77711576892598744</v>
      </c>
      <c r="AB26" s="314"/>
    </row>
    <row r="27" spans="2:28" x14ac:dyDescent="0.55000000000000004">
      <c r="B27" s="562"/>
      <c r="C27" s="565"/>
      <c r="D27" s="437" t="s">
        <v>422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3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562"/>
      <c r="C28" s="565"/>
      <c r="D28" s="436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3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562"/>
      <c r="C29" s="565"/>
      <c r="D29" s="437" t="s">
        <v>421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3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562"/>
      <c r="C30" s="565"/>
      <c r="D30" s="436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3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562"/>
      <c r="C31" s="565"/>
      <c r="D31" s="437" t="s">
        <v>424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4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562"/>
      <c r="C32" s="565"/>
      <c r="D32" s="438">
        <v>13.6</v>
      </c>
      <c r="F32" s="327" t="s">
        <v>386</v>
      </c>
      <c r="G32" s="328">
        <v>2.7872267834053055</v>
      </c>
      <c r="H32" s="329">
        <v>0.9998222381671702</v>
      </c>
      <c r="I32" s="330">
        <v>0.54195975286990006</v>
      </c>
      <c r="J32" s="331">
        <v>-1.7286694622799928E-2</v>
      </c>
      <c r="K32" s="330">
        <v>1317362.6808588821</v>
      </c>
      <c r="L32" s="331">
        <v>0.11384116888582835</v>
      </c>
      <c r="M32" s="330">
        <v>8.2211350785256682E-2</v>
      </c>
      <c r="N32" s="332">
        <v>1</v>
      </c>
      <c r="O32" s="328">
        <v>107.42394724118374</v>
      </c>
      <c r="P32" s="333">
        <v>1.0141701730614101</v>
      </c>
      <c r="Q32" s="330">
        <v>92.958533312124473</v>
      </c>
      <c r="R32" s="395">
        <v>0.45069837105959548</v>
      </c>
      <c r="S32" s="328">
        <v>207.41335627104417</v>
      </c>
      <c r="T32" s="334">
        <v>1.0056189407968052</v>
      </c>
      <c r="U32" s="328">
        <v>10419.155574652123</v>
      </c>
      <c r="V32" s="335">
        <v>1.0000498226703629</v>
      </c>
      <c r="W32" s="330">
        <v>1060.1117628847414</v>
      </c>
      <c r="X32" s="336">
        <v>6.9859388411490794E-2</v>
      </c>
      <c r="Y32" s="328">
        <v>14943.121822798961</v>
      </c>
      <c r="Z32" s="334">
        <v>0.98472386407491896</v>
      </c>
      <c r="AA32" s="337">
        <v>0.86272514716720661</v>
      </c>
      <c r="AB32" s="329"/>
    </row>
    <row r="33" spans="2:31" ht="14.7" thickBot="1" x14ac:dyDescent="0.6">
      <c r="B33" s="562" t="s">
        <v>414</v>
      </c>
      <c r="C33" s="565" t="s">
        <v>387</v>
      </c>
      <c r="D33" s="653"/>
      <c r="T33" s="390"/>
      <c r="U33" s="390"/>
      <c r="V33" s="390"/>
      <c r="W33" s="390"/>
      <c r="X33" s="390"/>
      <c r="Y33" s="390"/>
      <c r="Z33" s="390"/>
      <c r="AA33" s="390"/>
      <c r="AB33" s="390"/>
    </row>
    <row r="34" spans="2:31" x14ac:dyDescent="0.55000000000000004">
      <c r="B34" s="562"/>
      <c r="C34" s="565"/>
      <c r="D34" s="654"/>
      <c r="F34" s="567" t="s">
        <v>385</v>
      </c>
      <c r="G34" s="568"/>
      <c r="O34" s="260"/>
      <c r="P34" s="260"/>
      <c r="Q34" s="260"/>
      <c r="R34" s="260"/>
      <c r="S34" s="260"/>
      <c r="T34" s="391"/>
      <c r="U34" s="391"/>
      <c r="V34" s="391"/>
      <c r="W34" s="391"/>
      <c r="X34" s="391"/>
      <c r="Y34" s="391"/>
      <c r="Z34" s="391"/>
      <c r="AA34" s="396" t="s">
        <v>428</v>
      </c>
      <c r="AB34" s="396"/>
      <c r="AC34" s="397"/>
      <c r="AD34" s="397"/>
      <c r="AE34" s="260"/>
    </row>
    <row r="35" spans="2:31" x14ac:dyDescent="0.55000000000000004">
      <c r="B35" s="562" t="s">
        <v>419</v>
      </c>
      <c r="C35" s="565" t="s">
        <v>356</v>
      </c>
      <c r="D35" s="654"/>
      <c r="F35" s="569"/>
      <c r="G35" s="570"/>
      <c r="O35" s="384"/>
      <c r="P35" s="386"/>
      <c r="Q35" s="384"/>
      <c r="R35" s="384"/>
      <c r="S35" s="384"/>
      <c r="T35" s="385"/>
      <c r="U35" s="384"/>
      <c r="V35" s="386"/>
      <c r="W35" s="384"/>
      <c r="X35" s="387"/>
      <c r="Y35" s="384"/>
      <c r="Z35" s="385"/>
      <c r="AA35" s="398" t="s">
        <v>429</v>
      </c>
      <c r="AB35" s="383"/>
      <c r="AC35" s="383"/>
      <c r="AD35" s="397"/>
      <c r="AE35" s="260"/>
    </row>
    <row r="36" spans="2:31" ht="14.65" customHeight="1" x14ac:dyDescent="0.55000000000000004">
      <c r="B36" s="562"/>
      <c r="C36" s="565"/>
      <c r="D36" s="654"/>
      <c r="F36" s="571" t="s">
        <v>432</v>
      </c>
      <c r="G36" s="572"/>
      <c r="H36" s="338"/>
      <c r="I36" s="338"/>
      <c r="J36" s="338"/>
      <c r="K36" s="338"/>
      <c r="L36" s="338"/>
      <c r="M36" s="338"/>
      <c r="N36" s="389"/>
      <c r="O36" s="384"/>
      <c r="P36" s="386"/>
      <c r="Q36" s="384"/>
      <c r="R36" s="384"/>
      <c r="S36" s="384"/>
      <c r="T36" s="385"/>
      <c r="U36" s="384"/>
      <c r="V36" s="386"/>
      <c r="W36" s="384"/>
      <c r="X36" s="387"/>
      <c r="Y36" s="384"/>
      <c r="Z36" s="385"/>
      <c r="AA36" s="398" t="s">
        <v>430</v>
      </c>
      <c r="AB36" s="388"/>
      <c r="AC36" s="260"/>
      <c r="AD36" s="260"/>
      <c r="AE36" s="260"/>
    </row>
    <row r="37" spans="2:31" ht="14.65" customHeight="1" thickBot="1" x14ac:dyDescent="0.6">
      <c r="B37" s="562" t="s">
        <v>418</v>
      </c>
      <c r="C37" s="565" t="s">
        <v>356</v>
      </c>
      <c r="D37" s="654"/>
      <c r="F37" s="573"/>
      <c r="G37" s="574"/>
      <c r="N37" s="260"/>
      <c r="O37" s="260"/>
      <c r="P37" s="260"/>
      <c r="Q37" s="384"/>
      <c r="R37" s="384"/>
      <c r="S37" s="384"/>
      <c r="T37" s="385"/>
      <c r="U37" s="260"/>
      <c r="V37" s="260"/>
      <c r="W37" s="260"/>
      <c r="X37" s="260"/>
      <c r="Y37" s="260"/>
      <c r="Z37" s="260"/>
      <c r="AA37" s="382"/>
      <c r="AB37" s="260"/>
      <c r="AC37" s="260"/>
      <c r="AD37" s="260"/>
      <c r="AE37" s="260"/>
    </row>
    <row r="38" spans="2:31" x14ac:dyDescent="0.55000000000000004">
      <c r="B38" s="562"/>
      <c r="C38" s="565"/>
      <c r="D38" s="654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3"/>
      <c r="AB38" s="260"/>
      <c r="AC38" s="260"/>
      <c r="AD38" s="260"/>
      <c r="AE38" s="260"/>
    </row>
    <row r="39" spans="2:31" x14ac:dyDescent="0.55000000000000004">
      <c r="B39" s="562" t="s">
        <v>426</v>
      </c>
      <c r="C39" s="565" t="s">
        <v>356</v>
      </c>
      <c r="D39" s="654"/>
      <c r="O39" s="384"/>
      <c r="P39" s="388"/>
      <c r="Q39" s="384"/>
      <c r="R39" s="384"/>
      <c r="S39" s="384"/>
      <c r="T39" s="384"/>
      <c r="U39" s="384"/>
      <c r="V39" s="388"/>
      <c r="W39" s="260"/>
      <c r="X39" s="260"/>
      <c r="Y39" s="260"/>
      <c r="Z39" s="260"/>
      <c r="AA39" s="383"/>
      <c r="AB39" s="260"/>
      <c r="AC39" s="260"/>
    </row>
    <row r="40" spans="2:31" ht="14.5" customHeight="1" thickBot="1" x14ac:dyDescent="0.6">
      <c r="B40" s="563"/>
      <c r="C40" s="566"/>
      <c r="D40" s="655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3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3"/>
      <c r="AB41" s="260"/>
      <c r="AC41" s="260"/>
    </row>
    <row r="42" spans="2:31" x14ac:dyDescent="0.55000000000000004">
      <c r="D42" s="560" t="s">
        <v>425</v>
      </c>
      <c r="E42" s="560"/>
      <c r="F42" s="560"/>
      <c r="G42" s="560"/>
      <c r="O42" s="384"/>
      <c r="P42" s="386"/>
      <c r="Q42" s="384"/>
      <c r="R42" s="384"/>
      <c r="S42" s="384"/>
      <c r="T42" s="385"/>
      <c r="U42" s="384"/>
      <c r="V42" s="386"/>
      <c r="W42" s="384"/>
      <c r="X42" s="387"/>
      <c r="Y42" s="384"/>
      <c r="Z42" s="385"/>
      <c r="AA42" s="388"/>
      <c r="AB42" s="388"/>
      <c r="AC42" s="260"/>
    </row>
    <row r="43" spans="2:31" x14ac:dyDescent="0.55000000000000004">
      <c r="D43" s="560"/>
      <c r="E43" s="560"/>
      <c r="F43" s="560"/>
      <c r="G43" s="560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  <row r="47" spans="2:31" ht="14.7" thickBot="1" x14ac:dyDescent="0.6">
      <c r="H47" s="328">
        <v>2.7872267834053055</v>
      </c>
      <c r="I47" s="329">
        <v>0.9998222381671702</v>
      </c>
      <c r="J47" s="330">
        <v>0.54195975286990006</v>
      </c>
      <c r="K47" s="331">
        <v>-1.7286694622799928E-2</v>
      </c>
      <c r="L47" s="330">
        <v>1317362.6808588821</v>
      </c>
      <c r="M47" s="331">
        <v>0.11384116888582835</v>
      </c>
      <c r="N47" s="330">
        <v>8.2211350785256682E-2</v>
      </c>
      <c r="O47" s="332">
        <v>1</v>
      </c>
      <c r="P47" s="328">
        <v>107.42394724118374</v>
      </c>
      <c r="Q47" s="333">
        <v>1.0141701730614101</v>
      </c>
      <c r="R47" s="330">
        <v>92.958533312124473</v>
      </c>
      <c r="S47" s="395">
        <v>0.45069837105959548</v>
      </c>
      <c r="T47" s="328">
        <v>207.41335627104417</v>
      </c>
      <c r="U47" s="334">
        <v>1.0056189407968052</v>
      </c>
      <c r="V47" s="328">
        <v>10419.155574652123</v>
      </c>
      <c r="W47" s="335">
        <v>1.0000498226703629</v>
      </c>
      <c r="X47" s="330">
        <v>1060.1117628847414</v>
      </c>
      <c r="Y47" s="336">
        <v>6.9859388411490794E-2</v>
      </c>
      <c r="Z47" s="328">
        <v>14943.121822798961</v>
      </c>
      <c r="AA47" s="334">
        <v>0.98472386407491896</v>
      </c>
      <c r="AB47" s="337">
        <v>0.86272514716720661</v>
      </c>
      <c r="AC47" s="329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58" priority="135">
      <formula>IF($C$23="No",TRUE,FALSE)</formula>
    </cfRule>
    <cfRule type="expression" dxfId="57" priority="136">
      <formula>"C23=No"</formula>
    </cfRule>
  </conditionalFormatting>
  <conditionalFormatting sqref="F22:F23 F26:F31">
    <cfRule type="expression" dxfId="56" priority="122">
      <formula>AND(N22&gt;0.94,N22&lt;1.04)</formula>
    </cfRule>
  </conditionalFormatting>
  <conditionalFormatting sqref="F32">
    <cfRule type="expression" dxfId="55" priority="110">
      <formula>AND(N32&gt;0.94,N32&lt;1.04)</formula>
    </cfRule>
  </conditionalFormatting>
  <conditionalFormatting sqref="H32">
    <cfRule type="expression" dxfId="54" priority="92">
      <formula>AND(AND(P32&gt;0.96,P32&lt;1.04),AND(H32&gt;0.95,H32&lt;1.05))</formula>
    </cfRule>
  </conditionalFormatting>
  <conditionalFormatting sqref="N32">
    <cfRule type="expression" dxfId="53" priority="91">
      <formula>AND(V32&gt;0.96,V32&lt;1.04)</formula>
    </cfRule>
  </conditionalFormatting>
  <conditionalFormatting sqref="H32">
    <cfRule type="expression" dxfId="52" priority="89">
      <formula>AND(AND(N32&gt;0.96,N32&lt;1.04),OR(H32&gt;1.05,H32&lt;0.95))</formula>
    </cfRule>
    <cfRule type="expression" dxfId="51" priority="90">
      <formula>AND(AND(N32&gt;0.96,N32&lt;1.04),AND(H32&lt;1.05,H32&gt;0.95))</formula>
    </cfRule>
  </conditionalFormatting>
  <conditionalFormatting sqref="N32">
    <cfRule type="expression" dxfId="50" priority="84">
      <formula>AND(N32=N10010,N32=N10011)</formula>
    </cfRule>
    <cfRule type="expression" dxfId="49" priority="87">
      <formula>OR(N32&lt;0.96,N32&gt;1.04)</formula>
    </cfRule>
    <cfRule type="expression" dxfId="48" priority="88">
      <formula>AND(N32&gt;0.96,N32&lt;1.04)</formula>
    </cfRule>
  </conditionalFormatting>
  <conditionalFormatting sqref="T32">
    <cfRule type="expression" dxfId="47" priority="85">
      <formula>AND(AND(N32&gt;0.96,N32&lt;1.04),IF(C39="Yes",AND(T32&lt;1),OR(T32&gt;1.05,T32&lt;1)))</formula>
    </cfRule>
    <cfRule type="expression" dxfId="46" priority="86">
      <formula>AND(AND(N32&gt;0.96,N32&lt;1.04),IF(C39="Yes",AND(T32&gt;=1),AND(T32&lt;=1.05,T32&gt;=1)))</formula>
    </cfRule>
  </conditionalFormatting>
  <conditionalFormatting sqref="Z32">
    <cfRule type="expression" dxfId="45" priority="82">
      <formula>AND(AND(N32&gt;0.96,N32&lt;1.04),IF(C39="Yes",AND(Z32&gt;1.04),AND(Z32&gt;1.07)))</formula>
    </cfRule>
    <cfRule type="expression" dxfId="44" priority="83">
      <formula>AND(AND(N32&gt;0.96,N32&lt;1.04),IF(C39="Yes",AND(Z32&lt;=1.04),AND(Z32&lt;=1.07)))</formula>
    </cfRule>
  </conditionalFormatting>
  <conditionalFormatting sqref="T37">
    <cfRule type="expression" dxfId="43" priority="72">
      <formula>AND(AND(N37&gt;0.96,N37&lt;1.04),IF(C44="Yes",AND(T37&lt;1),OR(T37&gt;1.05,T37&lt;1)))</formula>
    </cfRule>
    <cfRule type="expression" dxfId="42" priority="73">
      <formula>AND(AND(N37&gt;0.96,N37&lt;1.04),IF(C44="Yes",AND(T37&gt;=1),AND(T37&lt;=1.05,T37&gt;=1)))</formula>
    </cfRule>
  </conditionalFormatting>
  <conditionalFormatting sqref="P39">
    <cfRule type="expression" dxfId="41" priority="67">
      <formula>AND(AND(X39&gt;0.96,X39&lt;1.04),AND(P39&gt;0.95,P39&lt;1.05))</formula>
    </cfRule>
  </conditionalFormatting>
  <conditionalFormatting sqref="V39">
    <cfRule type="expression" dxfId="40" priority="66">
      <formula>AND(AD39&gt;0.96,AD39&lt;1.04)</formula>
    </cfRule>
  </conditionalFormatting>
  <conditionalFormatting sqref="P39">
    <cfRule type="expression" dxfId="39" priority="64">
      <formula>AND(AND(V39&gt;0.96,V39&lt;1.04),OR(P39&gt;1.05,P39&lt;0.95))</formula>
    </cfRule>
    <cfRule type="expression" dxfId="38" priority="65">
      <formula>AND(AND(V39&gt;0.96,V39&lt;1.04),AND(P39&lt;1.05,P39&gt;0.95))</formula>
    </cfRule>
  </conditionalFormatting>
  <conditionalFormatting sqref="V39">
    <cfRule type="expression" dxfId="37" priority="61">
      <formula>AND(V39=V10017,V39=V10018)</formula>
    </cfRule>
    <cfRule type="expression" dxfId="36" priority="62">
      <formula>OR(V39&lt;0.96,V39&gt;1.04)</formula>
    </cfRule>
    <cfRule type="expression" dxfId="35" priority="63">
      <formula>AND(V39&gt;0.96,V39&lt;1.04)</formula>
    </cfRule>
  </conditionalFormatting>
  <conditionalFormatting sqref="T42">
    <cfRule type="expression" dxfId="34" priority="59">
      <formula>AND(AND(N42&gt;0.96,N42&lt;1.04),IF(C49="Yes",AND(T42&lt;1),OR(T42&gt;1.05,T42&lt;1)))</formula>
    </cfRule>
    <cfRule type="expression" dxfId="33" priority="60">
      <formula>AND(AND(N42&gt;0.96,N42&lt;1.04),IF(C49="Yes",AND(T42&gt;=1),AND(T42&lt;=1.05,T42&gt;=1)))</formula>
    </cfRule>
  </conditionalFormatting>
  <conditionalFormatting sqref="Z42">
    <cfRule type="expression" dxfId="32" priority="57">
      <formula>AND(AND(N42&gt;0.96,N42&lt;1.04),IF(C49="Yes",AND(Z42&gt;1.04),AND(Z42&gt;1.07)))</formula>
    </cfRule>
    <cfRule type="expression" dxfId="31" priority="58">
      <formula>AND(AND(N42&gt;0.96,N42&lt;1.04),IF(C49="Yes",AND(Z42&lt;=1.04),AND(Z42&lt;=1.07)))</formula>
    </cfRule>
  </conditionalFormatting>
  <conditionalFormatting sqref="T36">
    <cfRule type="expression" dxfId="30" priority="51">
      <formula>AND(AND(N36&gt;0.96,N36&lt;1.04),IF(C43="Yes",AND(T36&lt;1),OR(T36&gt;1.05,T36&lt;1)))</formula>
    </cfRule>
    <cfRule type="expression" dxfId="29" priority="52">
      <formula>AND(AND(N36&gt;0.96,N36&lt;1.04),IF(C43="Yes",AND(T36&gt;=1),AND(T36&lt;=1.05,T36&gt;=1)))</formula>
    </cfRule>
  </conditionalFormatting>
  <conditionalFormatting sqref="Z36">
    <cfRule type="expression" dxfId="28" priority="49">
      <formula>AND(AND(N36&gt;0.96,N36&lt;1.04),IF(C43="Yes",AND(Z36&gt;1.04),AND(Z36&gt;1.07)))</formula>
    </cfRule>
    <cfRule type="expression" dxfId="27" priority="50">
      <formula>AND(AND(N36&gt;0.96,N36&lt;1.04),IF(C43="Yes",AND(Z36&lt;=1.04),AND(Z36&lt;=1.07)))</formula>
    </cfRule>
  </conditionalFormatting>
  <conditionalFormatting sqref="T35">
    <cfRule type="expression" dxfId="26" priority="35">
      <formula>AND(AND(N35&gt;0.96,N35&lt;1.04),IF(C42="Yes",AND(T35&lt;1),OR(T35&gt;1.05,T35&lt;1)))</formula>
    </cfRule>
    <cfRule type="expression" dxfId="25" priority="36">
      <formula>AND(AND(N35&gt;0.96,N35&lt;1.04),IF(C42="Yes",AND(T35&gt;=1),AND(T35&lt;=1.05,T35&gt;=1)))</formula>
    </cfRule>
  </conditionalFormatting>
  <conditionalFormatting sqref="Z35">
    <cfRule type="expression" dxfId="24" priority="33">
      <formula>AND(AND(N35&gt;0.96,N35&lt;1.04),IF(C42="Yes",AND(Z35&gt;1.04),AND(Z35&gt;1.07)))</formula>
    </cfRule>
    <cfRule type="expression" dxfId="23" priority="34">
      <formula>AND(AND(N35&gt;0.96,N35&lt;1.04),IF(C42="Yes",AND(Z35&lt;=1.04),AND(Z35&lt;=1.07)))</formula>
    </cfRule>
  </conditionalFormatting>
  <conditionalFormatting sqref="I47">
    <cfRule type="expression" dxfId="22" priority="17">
      <formula>AND(AND(Q47&gt;0.96,Q47&lt;1.04),AND(I47&gt;0.95,I47&lt;1.05))</formula>
    </cfRule>
  </conditionalFormatting>
  <conditionalFormatting sqref="O47">
    <cfRule type="expression" dxfId="21" priority="16">
      <formula>AND(W47&gt;0.96,W47&lt;1.04)</formula>
    </cfRule>
  </conditionalFormatting>
  <conditionalFormatting sqref="I47">
    <cfRule type="expression" dxfId="20" priority="14">
      <formula>AND(AND(O47&gt;0.96,O47&lt;1.04),OR(I47&gt;1.05,I47&lt;0.95))</formula>
    </cfRule>
    <cfRule type="expression" dxfId="19" priority="15">
      <formula>AND(AND(O47&gt;0.96,O47&lt;1.04),AND(I47&lt;1.05,I47&gt;0.95))</formula>
    </cfRule>
  </conditionalFormatting>
  <conditionalFormatting sqref="O47">
    <cfRule type="expression" dxfId="18" priority="9">
      <formula>AND(O47=O10025,O47=O10026)</formula>
    </cfRule>
    <cfRule type="expression" dxfId="17" priority="12">
      <formula>OR(O47&lt;0.96,O47&gt;1.04)</formula>
    </cfRule>
    <cfRule type="expression" dxfId="16" priority="13">
      <formula>AND(O47&gt;0.96,O47&lt;1.04)</formula>
    </cfRule>
  </conditionalFormatting>
  <conditionalFormatting sqref="U47">
    <cfRule type="expression" dxfId="15" priority="10">
      <formula>AND(AND(O47&gt;0.96,O47&lt;1.04),IF(D54="Yes",AND(U47&lt;1),OR(U47&gt;1.05,U47&lt;1)))</formula>
    </cfRule>
    <cfRule type="expression" dxfId="14" priority="11">
      <formula>AND(AND(O47&gt;0.96,O47&lt;1.04),IF(D54="Yes",AND(U47&gt;=1),AND(U47&lt;=1.05,U47&gt;=1)))</formula>
    </cfRule>
  </conditionalFormatting>
  <conditionalFormatting sqref="AA47">
    <cfRule type="expression" dxfId="13" priority="7">
      <formula>AND(AND(O47&gt;0.96,O47&lt;1.04),IF(D54="Yes",AND(AA47&gt;1.04),AND(AA47&gt;1.07)))</formula>
    </cfRule>
    <cfRule type="expression" dxfId="12" priority="8">
      <formula>AND(AND(O47&gt;0.96,O47&lt;1.04),IF(D54="Yes",AND(AA47&lt;=1.04),AND(AA47&lt;=1.07)))</formula>
    </cfRule>
  </conditionalFormatting>
  <conditionalFormatting sqref="F36:G37">
    <cfRule type="cellIs" dxfId="11" priority="1" operator="equal">
      <formula>"Python não encontrado!"</formula>
    </cfRule>
    <cfRule type="expression" dxfId="10" priority="2">
      <formula>AND(F36="Calculando...",F36="Calculando...")</formula>
    </cfRule>
    <cfRule type="expression" dxfId="9" priority="3">
      <formula>AND(F36="Carregando script...",F36="Carregando script...")</formula>
    </cfRule>
    <cfRule type="cellIs" dxfId="8" priority="4" operator="equal">
      <formula>"Carregando bibliotecas..."</formula>
    </cfRule>
    <cfRule type="cellIs" dxfId="7" priority="5" operator="equal">
      <formula>"ERRO!"</formula>
    </cfRule>
    <cfRule type="expression" dxfId="6" priority="6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144780</xdr:colOff>
                    <xdr:row>33</xdr:row>
                    <xdr:rowOff>95250</xdr:rowOff>
                  </from>
                  <to>
                    <xdr:col>8</xdr:col>
                    <xdr:colOff>716280</xdr:colOff>
                    <xdr:row>35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AH1" sqref="AH1:AP1048576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0" customFormat="1" ht="14.7" thickBot="1" x14ac:dyDescent="0.6"/>
    <row r="3" spans="2:32" ht="14.7" thickBot="1" x14ac:dyDescent="0.6">
      <c r="B3" s="658" t="s">
        <v>413</v>
      </c>
      <c r="C3" s="659"/>
      <c r="D3" s="358">
        <v>1</v>
      </c>
      <c r="F3" s="656" t="s">
        <v>413</v>
      </c>
      <c r="G3" s="657"/>
      <c r="H3" s="358">
        <v>2</v>
      </c>
      <c r="J3" s="658" t="s">
        <v>413</v>
      </c>
      <c r="K3" s="659"/>
      <c r="L3" s="358">
        <v>3</v>
      </c>
      <c r="N3" s="656" t="s">
        <v>413</v>
      </c>
      <c r="O3" s="657"/>
      <c r="P3" s="358">
        <v>4</v>
      </c>
      <c r="R3" s="658" t="s">
        <v>413</v>
      </c>
      <c r="S3" s="659"/>
      <c r="T3" s="358">
        <v>5</v>
      </c>
      <c r="V3" s="656" t="s">
        <v>413</v>
      </c>
      <c r="W3" s="657"/>
      <c r="X3" s="358">
        <v>6</v>
      </c>
      <c r="Z3" s="658" t="s">
        <v>413</v>
      </c>
      <c r="AA3" s="659"/>
      <c r="AB3" s="358">
        <v>7</v>
      </c>
      <c r="AD3" s="656" t="s">
        <v>413</v>
      </c>
      <c r="AE3" s="657"/>
      <c r="AF3" s="358">
        <v>8</v>
      </c>
    </row>
    <row r="4" spans="2:32" x14ac:dyDescent="0.55000000000000004">
      <c r="B4" s="660"/>
      <c r="C4" s="661"/>
      <c r="D4" s="359" t="s">
        <v>302</v>
      </c>
      <c r="F4" s="660"/>
      <c r="G4" s="661"/>
      <c r="H4" s="359" t="s">
        <v>302</v>
      </c>
      <c r="J4" s="660"/>
      <c r="K4" s="661"/>
      <c r="L4" s="359" t="s">
        <v>302</v>
      </c>
      <c r="N4" s="660"/>
      <c r="O4" s="661"/>
      <c r="P4" s="359" t="s">
        <v>302</v>
      </c>
      <c r="R4" s="660"/>
      <c r="S4" s="661"/>
      <c r="T4" s="359" t="s">
        <v>302</v>
      </c>
      <c r="V4" s="660"/>
      <c r="W4" s="661"/>
      <c r="X4" s="359" t="s">
        <v>302</v>
      </c>
      <c r="Z4" s="660"/>
      <c r="AA4" s="661"/>
      <c r="AB4" s="359" t="s">
        <v>302</v>
      </c>
      <c r="AD4" s="660"/>
      <c r="AE4" s="661"/>
      <c r="AF4" s="359" t="s">
        <v>302</v>
      </c>
    </row>
    <row r="5" spans="2:32" x14ac:dyDescent="0.55000000000000004">
      <c r="B5" s="626" t="s">
        <v>320</v>
      </c>
      <c r="C5" s="627"/>
      <c r="D5" s="244">
        <v>0</v>
      </c>
      <c r="F5" s="626" t="s">
        <v>320</v>
      </c>
      <c r="G5" s="627"/>
      <c r="H5" s="244">
        <v>0</v>
      </c>
      <c r="J5" s="626" t="s">
        <v>320</v>
      </c>
      <c r="K5" s="627"/>
      <c r="L5" s="244">
        <v>0</v>
      </c>
      <c r="N5" s="626" t="s">
        <v>320</v>
      </c>
      <c r="O5" s="627"/>
      <c r="P5" s="244">
        <v>0</v>
      </c>
      <c r="R5" s="626" t="s">
        <v>320</v>
      </c>
      <c r="S5" s="627"/>
      <c r="T5" s="244">
        <v>0</v>
      </c>
      <c r="V5" s="626" t="s">
        <v>320</v>
      </c>
      <c r="W5" s="627"/>
      <c r="X5" s="244">
        <v>0</v>
      </c>
      <c r="Z5" s="626" t="s">
        <v>320</v>
      </c>
      <c r="AA5" s="627"/>
      <c r="AB5" s="244">
        <v>0</v>
      </c>
      <c r="AD5" s="626" t="s">
        <v>320</v>
      </c>
      <c r="AE5" s="627"/>
      <c r="AF5" s="244">
        <v>0</v>
      </c>
    </row>
    <row r="6" spans="2:32" x14ac:dyDescent="0.55000000000000004">
      <c r="B6" s="626" t="s">
        <v>321</v>
      </c>
      <c r="C6" s="627"/>
      <c r="D6" s="244">
        <v>0</v>
      </c>
      <c r="F6" s="626" t="s">
        <v>321</v>
      </c>
      <c r="G6" s="627"/>
      <c r="H6" s="244">
        <v>0</v>
      </c>
      <c r="J6" s="626" t="s">
        <v>321</v>
      </c>
      <c r="K6" s="627"/>
      <c r="L6" s="244">
        <v>0</v>
      </c>
      <c r="N6" s="626" t="s">
        <v>321</v>
      </c>
      <c r="O6" s="627"/>
      <c r="P6" s="244">
        <v>0</v>
      </c>
      <c r="R6" s="626" t="s">
        <v>321</v>
      </c>
      <c r="S6" s="627"/>
      <c r="T6" s="244">
        <v>0</v>
      </c>
      <c r="V6" s="626" t="s">
        <v>321</v>
      </c>
      <c r="W6" s="627"/>
      <c r="X6" s="244">
        <v>0</v>
      </c>
      <c r="Z6" s="626" t="s">
        <v>321</v>
      </c>
      <c r="AA6" s="627"/>
      <c r="AB6" s="244">
        <v>0</v>
      </c>
      <c r="AD6" s="626" t="s">
        <v>321</v>
      </c>
      <c r="AE6" s="627"/>
      <c r="AF6" s="244">
        <v>0</v>
      </c>
    </row>
    <row r="7" spans="2:32" x14ac:dyDescent="0.55000000000000004">
      <c r="B7" s="626" t="s">
        <v>99</v>
      </c>
      <c r="C7" s="627"/>
      <c r="D7" s="244">
        <v>0</v>
      </c>
      <c r="F7" s="626" t="s">
        <v>99</v>
      </c>
      <c r="G7" s="627"/>
      <c r="H7" s="244">
        <v>0</v>
      </c>
      <c r="J7" s="626" t="s">
        <v>99</v>
      </c>
      <c r="K7" s="627"/>
      <c r="L7" s="244">
        <v>0</v>
      </c>
      <c r="N7" s="626" t="s">
        <v>99</v>
      </c>
      <c r="O7" s="627"/>
      <c r="P7" s="244">
        <v>0</v>
      </c>
      <c r="R7" s="626" t="s">
        <v>99</v>
      </c>
      <c r="S7" s="627"/>
      <c r="T7" s="244">
        <v>0</v>
      </c>
      <c r="V7" s="626" t="s">
        <v>99</v>
      </c>
      <c r="W7" s="627"/>
      <c r="X7" s="244">
        <v>0</v>
      </c>
      <c r="Z7" s="626" t="s">
        <v>99</v>
      </c>
      <c r="AA7" s="627"/>
      <c r="AB7" s="244">
        <v>0</v>
      </c>
      <c r="AD7" s="626" t="s">
        <v>99</v>
      </c>
      <c r="AE7" s="627"/>
      <c r="AF7" s="244">
        <v>0</v>
      </c>
    </row>
    <row r="8" spans="2:32" x14ac:dyDescent="0.55000000000000004">
      <c r="B8" s="626" t="s">
        <v>100</v>
      </c>
      <c r="C8" s="627"/>
      <c r="D8" s="244">
        <v>0</v>
      </c>
      <c r="F8" s="626" t="s">
        <v>100</v>
      </c>
      <c r="G8" s="627"/>
      <c r="H8" s="244">
        <v>0</v>
      </c>
      <c r="J8" s="626" t="s">
        <v>100</v>
      </c>
      <c r="K8" s="627"/>
      <c r="L8" s="244">
        <v>0</v>
      </c>
      <c r="N8" s="626" t="s">
        <v>100</v>
      </c>
      <c r="O8" s="627"/>
      <c r="P8" s="244">
        <v>0</v>
      </c>
      <c r="R8" s="626" t="s">
        <v>100</v>
      </c>
      <c r="S8" s="627"/>
      <c r="T8" s="244">
        <v>0</v>
      </c>
      <c r="V8" s="626" t="s">
        <v>100</v>
      </c>
      <c r="W8" s="627"/>
      <c r="X8" s="244">
        <v>0</v>
      </c>
      <c r="Z8" s="626" t="s">
        <v>100</v>
      </c>
      <c r="AA8" s="627"/>
      <c r="AB8" s="244">
        <v>0</v>
      </c>
      <c r="AD8" s="626" t="s">
        <v>100</v>
      </c>
      <c r="AE8" s="627"/>
      <c r="AF8" s="244">
        <v>0</v>
      </c>
    </row>
    <row r="9" spans="2:32" x14ac:dyDescent="0.55000000000000004">
      <c r="B9" s="626" t="s">
        <v>101</v>
      </c>
      <c r="C9" s="627"/>
      <c r="D9" s="244">
        <v>0</v>
      </c>
      <c r="F9" s="626" t="s">
        <v>101</v>
      </c>
      <c r="G9" s="627"/>
      <c r="H9" s="244">
        <v>0</v>
      </c>
      <c r="J9" s="626" t="s">
        <v>101</v>
      </c>
      <c r="K9" s="627"/>
      <c r="L9" s="244">
        <v>0</v>
      </c>
      <c r="N9" s="626" t="s">
        <v>101</v>
      </c>
      <c r="O9" s="627"/>
      <c r="P9" s="244">
        <v>0</v>
      </c>
      <c r="R9" s="626" t="s">
        <v>101</v>
      </c>
      <c r="S9" s="627"/>
      <c r="T9" s="244">
        <v>0</v>
      </c>
      <c r="V9" s="626" t="s">
        <v>101</v>
      </c>
      <c r="W9" s="627"/>
      <c r="X9" s="244">
        <v>0</v>
      </c>
      <c r="Z9" s="626" t="s">
        <v>101</v>
      </c>
      <c r="AA9" s="627"/>
      <c r="AB9" s="244">
        <v>0</v>
      </c>
      <c r="AD9" s="626" t="s">
        <v>101</v>
      </c>
      <c r="AE9" s="627"/>
      <c r="AF9" s="244">
        <v>0</v>
      </c>
    </row>
    <row r="10" spans="2:32" x14ac:dyDescent="0.55000000000000004">
      <c r="B10" s="626" t="s">
        <v>102</v>
      </c>
      <c r="C10" s="627"/>
      <c r="D10" s="244">
        <v>0</v>
      </c>
      <c r="F10" s="626" t="s">
        <v>102</v>
      </c>
      <c r="G10" s="627"/>
      <c r="H10" s="244">
        <v>0</v>
      </c>
      <c r="J10" s="626" t="s">
        <v>102</v>
      </c>
      <c r="K10" s="627"/>
      <c r="L10" s="244">
        <v>0</v>
      </c>
      <c r="N10" s="626" t="s">
        <v>102</v>
      </c>
      <c r="O10" s="627"/>
      <c r="P10" s="244">
        <v>0</v>
      </c>
      <c r="R10" s="626" t="s">
        <v>102</v>
      </c>
      <c r="S10" s="627"/>
      <c r="T10" s="244">
        <v>0</v>
      </c>
      <c r="V10" s="626" t="s">
        <v>102</v>
      </c>
      <c r="W10" s="627"/>
      <c r="X10" s="244">
        <v>0</v>
      </c>
      <c r="Z10" s="626" t="s">
        <v>102</v>
      </c>
      <c r="AA10" s="627"/>
      <c r="AB10" s="244">
        <v>0</v>
      </c>
      <c r="AD10" s="626" t="s">
        <v>102</v>
      </c>
      <c r="AE10" s="627"/>
      <c r="AF10" s="244">
        <v>0</v>
      </c>
    </row>
    <row r="11" spans="2:32" x14ac:dyDescent="0.55000000000000004">
      <c r="B11" s="626" t="s">
        <v>103</v>
      </c>
      <c r="C11" s="627"/>
      <c r="D11" s="244">
        <v>0</v>
      </c>
      <c r="F11" s="626" t="s">
        <v>103</v>
      </c>
      <c r="G11" s="627"/>
      <c r="H11" s="244">
        <v>0</v>
      </c>
      <c r="J11" s="626" t="s">
        <v>103</v>
      </c>
      <c r="K11" s="627"/>
      <c r="L11" s="244">
        <v>0</v>
      </c>
      <c r="N11" s="626" t="s">
        <v>103</v>
      </c>
      <c r="O11" s="627"/>
      <c r="P11" s="244">
        <v>0</v>
      </c>
      <c r="R11" s="626" t="s">
        <v>103</v>
      </c>
      <c r="S11" s="627"/>
      <c r="T11" s="244">
        <v>0</v>
      </c>
      <c r="V11" s="626" t="s">
        <v>103</v>
      </c>
      <c r="W11" s="627"/>
      <c r="X11" s="244">
        <v>0</v>
      </c>
      <c r="Z11" s="626" t="s">
        <v>103</v>
      </c>
      <c r="AA11" s="627"/>
      <c r="AB11" s="244">
        <v>0</v>
      </c>
      <c r="AD11" s="626" t="s">
        <v>103</v>
      </c>
      <c r="AE11" s="627"/>
      <c r="AF11" s="244">
        <v>0</v>
      </c>
    </row>
    <row r="12" spans="2:32" x14ac:dyDescent="0.55000000000000004">
      <c r="B12" s="626" t="s">
        <v>105</v>
      </c>
      <c r="C12" s="627"/>
      <c r="D12" s="244">
        <v>0</v>
      </c>
      <c r="F12" s="626" t="s">
        <v>105</v>
      </c>
      <c r="G12" s="627"/>
      <c r="H12" s="244">
        <v>0</v>
      </c>
      <c r="J12" s="626" t="s">
        <v>105</v>
      </c>
      <c r="K12" s="627"/>
      <c r="L12" s="244">
        <v>0</v>
      </c>
      <c r="N12" s="626" t="s">
        <v>105</v>
      </c>
      <c r="O12" s="627"/>
      <c r="P12" s="244">
        <v>0</v>
      </c>
      <c r="R12" s="626" t="s">
        <v>105</v>
      </c>
      <c r="S12" s="627"/>
      <c r="T12" s="244">
        <v>0</v>
      </c>
      <c r="V12" s="626" t="s">
        <v>105</v>
      </c>
      <c r="W12" s="627"/>
      <c r="X12" s="244">
        <v>0</v>
      </c>
      <c r="Z12" s="626" t="s">
        <v>105</v>
      </c>
      <c r="AA12" s="627"/>
      <c r="AB12" s="244">
        <v>0</v>
      </c>
      <c r="AD12" s="626" t="s">
        <v>105</v>
      </c>
      <c r="AE12" s="627"/>
      <c r="AF12" s="244">
        <v>0</v>
      </c>
    </row>
    <row r="13" spans="2:32" x14ac:dyDescent="0.55000000000000004">
      <c r="B13" s="626" t="s">
        <v>298</v>
      </c>
      <c r="C13" s="627"/>
      <c r="D13" s="244">
        <v>1</v>
      </c>
      <c r="F13" s="626" t="s">
        <v>298</v>
      </c>
      <c r="G13" s="627"/>
      <c r="H13" s="244">
        <v>1</v>
      </c>
      <c r="J13" s="626" t="s">
        <v>298</v>
      </c>
      <c r="K13" s="627"/>
      <c r="L13" s="244">
        <v>1</v>
      </c>
      <c r="N13" s="626" t="s">
        <v>298</v>
      </c>
      <c r="O13" s="627"/>
      <c r="P13" s="244">
        <v>1</v>
      </c>
      <c r="R13" s="626" t="s">
        <v>298</v>
      </c>
      <c r="S13" s="627"/>
      <c r="T13" s="244">
        <v>1</v>
      </c>
      <c r="V13" s="626" t="s">
        <v>298</v>
      </c>
      <c r="W13" s="627"/>
      <c r="X13" s="244">
        <v>1</v>
      </c>
      <c r="Z13" s="626" t="s">
        <v>298</v>
      </c>
      <c r="AA13" s="627"/>
      <c r="AB13" s="244">
        <v>1</v>
      </c>
      <c r="AD13" s="626" t="s">
        <v>298</v>
      </c>
      <c r="AE13" s="627"/>
      <c r="AF13" s="244">
        <v>1</v>
      </c>
    </row>
    <row r="14" spans="2:32" x14ac:dyDescent="0.55000000000000004">
      <c r="B14" s="626" t="s">
        <v>107</v>
      </c>
      <c r="C14" s="627"/>
      <c r="D14" s="244">
        <v>0</v>
      </c>
      <c r="F14" s="626" t="s">
        <v>107</v>
      </c>
      <c r="G14" s="627"/>
      <c r="H14" s="244">
        <v>0</v>
      </c>
      <c r="J14" s="626" t="s">
        <v>107</v>
      </c>
      <c r="K14" s="627"/>
      <c r="L14" s="244">
        <v>0</v>
      </c>
      <c r="N14" s="626" t="s">
        <v>107</v>
      </c>
      <c r="O14" s="627"/>
      <c r="P14" s="244">
        <v>0</v>
      </c>
      <c r="R14" s="626" t="s">
        <v>107</v>
      </c>
      <c r="S14" s="627"/>
      <c r="T14" s="244">
        <v>0</v>
      </c>
      <c r="V14" s="626" t="s">
        <v>107</v>
      </c>
      <c r="W14" s="627"/>
      <c r="X14" s="244">
        <v>0</v>
      </c>
      <c r="Z14" s="626" t="s">
        <v>107</v>
      </c>
      <c r="AA14" s="627"/>
      <c r="AB14" s="244">
        <v>0</v>
      </c>
      <c r="AD14" s="626" t="s">
        <v>107</v>
      </c>
      <c r="AE14" s="627"/>
      <c r="AF14" s="244">
        <v>0</v>
      </c>
    </row>
    <row r="15" spans="2:32" x14ac:dyDescent="0.55000000000000004">
      <c r="B15" s="626" t="s">
        <v>108</v>
      </c>
      <c r="C15" s="627"/>
      <c r="D15" s="244">
        <v>0</v>
      </c>
      <c r="F15" s="626" t="s">
        <v>108</v>
      </c>
      <c r="G15" s="627"/>
      <c r="H15" s="244">
        <v>0</v>
      </c>
      <c r="J15" s="626" t="s">
        <v>108</v>
      </c>
      <c r="K15" s="627"/>
      <c r="L15" s="244">
        <v>0</v>
      </c>
      <c r="N15" s="626" t="s">
        <v>108</v>
      </c>
      <c r="O15" s="627"/>
      <c r="P15" s="244">
        <v>0</v>
      </c>
      <c r="R15" s="626" t="s">
        <v>108</v>
      </c>
      <c r="S15" s="627"/>
      <c r="T15" s="244">
        <v>0</v>
      </c>
      <c r="V15" s="626" t="s">
        <v>108</v>
      </c>
      <c r="W15" s="627"/>
      <c r="X15" s="244">
        <v>0</v>
      </c>
      <c r="Z15" s="626" t="s">
        <v>108</v>
      </c>
      <c r="AA15" s="627"/>
      <c r="AB15" s="244">
        <v>0</v>
      </c>
      <c r="AD15" s="626" t="s">
        <v>108</v>
      </c>
      <c r="AE15" s="627"/>
      <c r="AF15" s="244">
        <v>0</v>
      </c>
    </row>
    <row r="16" spans="2:32" x14ac:dyDescent="0.55000000000000004">
      <c r="B16" s="626" t="s">
        <v>109</v>
      </c>
      <c r="C16" s="627"/>
      <c r="D16" s="244">
        <v>0</v>
      </c>
      <c r="F16" s="626" t="s">
        <v>109</v>
      </c>
      <c r="G16" s="627"/>
      <c r="H16" s="244">
        <v>0</v>
      </c>
      <c r="J16" s="626" t="s">
        <v>109</v>
      </c>
      <c r="K16" s="627"/>
      <c r="L16" s="244">
        <v>0</v>
      </c>
      <c r="N16" s="626" t="s">
        <v>109</v>
      </c>
      <c r="O16" s="627"/>
      <c r="P16" s="244">
        <v>0</v>
      </c>
      <c r="R16" s="626" t="s">
        <v>109</v>
      </c>
      <c r="S16" s="627"/>
      <c r="T16" s="244">
        <v>0</v>
      </c>
      <c r="V16" s="626" t="s">
        <v>109</v>
      </c>
      <c r="W16" s="627"/>
      <c r="X16" s="244">
        <v>0</v>
      </c>
      <c r="Z16" s="626" t="s">
        <v>109</v>
      </c>
      <c r="AA16" s="627"/>
      <c r="AB16" s="244">
        <v>0</v>
      </c>
      <c r="AD16" s="626" t="s">
        <v>109</v>
      </c>
      <c r="AE16" s="627"/>
      <c r="AF16" s="244">
        <v>0</v>
      </c>
    </row>
    <row r="17" spans="2:32" x14ac:dyDescent="0.55000000000000004">
      <c r="B17" s="626" t="s">
        <v>110</v>
      </c>
      <c r="C17" s="627"/>
      <c r="D17" s="244">
        <v>0</v>
      </c>
      <c r="F17" s="626" t="s">
        <v>110</v>
      </c>
      <c r="G17" s="627"/>
      <c r="H17" s="244">
        <v>0</v>
      </c>
      <c r="J17" s="626" t="s">
        <v>110</v>
      </c>
      <c r="K17" s="627"/>
      <c r="L17" s="244">
        <v>0</v>
      </c>
      <c r="N17" s="626" t="s">
        <v>110</v>
      </c>
      <c r="O17" s="627"/>
      <c r="P17" s="244">
        <v>0</v>
      </c>
      <c r="R17" s="626" t="s">
        <v>110</v>
      </c>
      <c r="S17" s="627"/>
      <c r="T17" s="244">
        <v>0</v>
      </c>
      <c r="V17" s="626" t="s">
        <v>110</v>
      </c>
      <c r="W17" s="627"/>
      <c r="X17" s="244">
        <v>0</v>
      </c>
      <c r="Z17" s="626" t="s">
        <v>110</v>
      </c>
      <c r="AA17" s="627"/>
      <c r="AB17" s="244">
        <v>0</v>
      </c>
      <c r="AD17" s="626" t="s">
        <v>110</v>
      </c>
      <c r="AE17" s="627"/>
      <c r="AF17" s="244">
        <v>0</v>
      </c>
    </row>
    <row r="18" spans="2:32" x14ac:dyDescent="0.55000000000000004">
      <c r="B18" s="626" t="s">
        <v>111</v>
      </c>
      <c r="C18" s="627"/>
      <c r="D18" s="244">
        <v>0</v>
      </c>
      <c r="F18" s="626" t="s">
        <v>111</v>
      </c>
      <c r="G18" s="627"/>
      <c r="H18" s="244">
        <v>0</v>
      </c>
      <c r="J18" s="626" t="s">
        <v>111</v>
      </c>
      <c r="K18" s="627"/>
      <c r="L18" s="244">
        <v>0</v>
      </c>
      <c r="N18" s="626" t="s">
        <v>111</v>
      </c>
      <c r="O18" s="627"/>
      <c r="P18" s="244">
        <v>0</v>
      </c>
      <c r="R18" s="626" t="s">
        <v>111</v>
      </c>
      <c r="S18" s="627"/>
      <c r="T18" s="244">
        <v>0</v>
      </c>
      <c r="V18" s="626" t="s">
        <v>111</v>
      </c>
      <c r="W18" s="627"/>
      <c r="X18" s="244">
        <v>0</v>
      </c>
      <c r="Z18" s="626" t="s">
        <v>111</v>
      </c>
      <c r="AA18" s="627"/>
      <c r="AB18" s="244">
        <v>0</v>
      </c>
      <c r="AD18" s="626" t="s">
        <v>111</v>
      </c>
      <c r="AE18" s="627"/>
      <c r="AF18" s="244">
        <v>0</v>
      </c>
    </row>
    <row r="19" spans="2:32" x14ac:dyDescent="0.55000000000000004">
      <c r="B19" s="626" t="s">
        <v>112</v>
      </c>
      <c r="C19" s="627"/>
      <c r="D19" s="244">
        <v>0</v>
      </c>
      <c r="F19" s="626" t="s">
        <v>112</v>
      </c>
      <c r="G19" s="627"/>
      <c r="H19" s="244">
        <v>0</v>
      </c>
      <c r="J19" s="626" t="s">
        <v>112</v>
      </c>
      <c r="K19" s="627"/>
      <c r="L19" s="244">
        <v>0</v>
      </c>
      <c r="N19" s="626" t="s">
        <v>112</v>
      </c>
      <c r="O19" s="627"/>
      <c r="P19" s="244">
        <v>0</v>
      </c>
      <c r="R19" s="626" t="s">
        <v>112</v>
      </c>
      <c r="S19" s="627"/>
      <c r="T19" s="244">
        <v>0</v>
      </c>
      <c r="V19" s="626" t="s">
        <v>112</v>
      </c>
      <c r="W19" s="627"/>
      <c r="X19" s="244">
        <v>0</v>
      </c>
      <c r="Z19" s="626" t="s">
        <v>112</v>
      </c>
      <c r="AA19" s="627"/>
      <c r="AB19" s="244">
        <v>0</v>
      </c>
      <c r="AD19" s="626" t="s">
        <v>112</v>
      </c>
      <c r="AE19" s="627"/>
      <c r="AF19" s="244">
        <v>0</v>
      </c>
    </row>
    <row r="20" spans="2:32" x14ac:dyDescent="0.55000000000000004">
      <c r="B20" s="626" t="s">
        <v>113</v>
      </c>
      <c r="C20" s="627"/>
      <c r="D20" s="244">
        <v>0</v>
      </c>
      <c r="F20" s="626" t="s">
        <v>113</v>
      </c>
      <c r="G20" s="627"/>
      <c r="H20" s="244">
        <v>0</v>
      </c>
      <c r="J20" s="626" t="s">
        <v>113</v>
      </c>
      <c r="K20" s="627"/>
      <c r="L20" s="244">
        <v>0</v>
      </c>
      <c r="N20" s="626" t="s">
        <v>113</v>
      </c>
      <c r="O20" s="627"/>
      <c r="P20" s="244">
        <v>0</v>
      </c>
      <c r="R20" s="626" t="s">
        <v>113</v>
      </c>
      <c r="S20" s="627"/>
      <c r="T20" s="244">
        <v>0</v>
      </c>
      <c r="V20" s="626" t="s">
        <v>113</v>
      </c>
      <c r="W20" s="627"/>
      <c r="X20" s="244">
        <v>0</v>
      </c>
      <c r="Z20" s="626" t="s">
        <v>113</v>
      </c>
      <c r="AA20" s="627"/>
      <c r="AB20" s="244">
        <v>0</v>
      </c>
      <c r="AD20" s="626" t="s">
        <v>113</v>
      </c>
      <c r="AE20" s="627"/>
      <c r="AF20" s="244">
        <v>0</v>
      </c>
    </row>
    <row r="21" spans="2:32" x14ac:dyDescent="0.55000000000000004">
      <c r="B21" s="626" t="s">
        <v>301</v>
      </c>
      <c r="C21" s="627"/>
      <c r="D21" s="244">
        <v>0</v>
      </c>
      <c r="F21" s="626" t="s">
        <v>301</v>
      </c>
      <c r="G21" s="627"/>
      <c r="H21" s="244">
        <v>0</v>
      </c>
      <c r="J21" s="626" t="s">
        <v>301</v>
      </c>
      <c r="K21" s="627"/>
      <c r="L21" s="244">
        <v>0</v>
      </c>
      <c r="N21" s="626" t="s">
        <v>301</v>
      </c>
      <c r="O21" s="627"/>
      <c r="P21" s="244">
        <v>0</v>
      </c>
      <c r="R21" s="626" t="s">
        <v>301</v>
      </c>
      <c r="S21" s="627"/>
      <c r="T21" s="244">
        <v>0</v>
      </c>
      <c r="V21" s="626" t="s">
        <v>301</v>
      </c>
      <c r="W21" s="627"/>
      <c r="X21" s="244">
        <v>0</v>
      </c>
      <c r="Z21" s="626" t="s">
        <v>301</v>
      </c>
      <c r="AA21" s="627"/>
      <c r="AB21" s="244">
        <v>0</v>
      </c>
      <c r="AD21" s="626" t="s">
        <v>301</v>
      </c>
      <c r="AE21" s="627"/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M12" sqref="M12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78125" customWidth="1"/>
  </cols>
  <sheetData>
    <row r="2" spans="2:13" ht="14.7" thickBot="1" x14ac:dyDescent="0.6"/>
    <row r="3" spans="2:13" x14ac:dyDescent="0.55000000000000004">
      <c r="B3" s="619" t="s">
        <v>398</v>
      </c>
      <c r="C3" s="350" t="s">
        <v>95</v>
      </c>
      <c r="D3" s="350" t="s">
        <v>399</v>
      </c>
      <c r="E3" s="350" t="s">
        <v>400</v>
      </c>
      <c r="F3" s="350" t="s">
        <v>401</v>
      </c>
      <c r="G3" s="350" t="s">
        <v>402</v>
      </c>
      <c r="H3" s="663" t="s">
        <v>403</v>
      </c>
      <c r="I3" s="351" t="s">
        <v>304</v>
      </c>
      <c r="J3" s="665" t="s">
        <v>404</v>
      </c>
    </row>
    <row r="4" spans="2:13" ht="14.7" thickBot="1" x14ac:dyDescent="0.6">
      <c r="B4" s="662"/>
      <c r="C4" s="352" t="s">
        <v>405</v>
      </c>
      <c r="D4" s="352" t="s">
        <v>405</v>
      </c>
      <c r="E4" s="352" t="s">
        <v>344</v>
      </c>
      <c r="F4" s="352" t="s">
        <v>313</v>
      </c>
      <c r="G4" s="352" t="s">
        <v>406</v>
      </c>
      <c r="H4" s="664"/>
      <c r="I4" s="353" t="s">
        <v>311</v>
      </c>
      <c r="J4" s="666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407</v>
      </c>
      <c r="I5" s="357">
        <v>17110.347257787751</v>
      </c>
      <c r="J5" s="274" t="s">
        <v>408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407</v>
      </c>
      <c r="I6" s="357">
        <v>24694.33216871996</v>
      </c>
      <c r="J6" s="274" t="s">
        <v>409</v>
      </c>
      <c r="L6" s="567" t="s">
        <v>385</v>
      </c>
      <c r="M6" s="568"/>
    </row>
    <row r="7" spans="2:13" ht="14.5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407</v>
      </c>
      <c r="I7" s="357">
        <v>34634.410001950651</v>
      </c>
      <c r="J7" s="274" t="s">
        <v>410</v>
      </c>
      <c r="L7" s="569"/>
      <c r="M7" s="570"/>
    </row>
    <row r="8" spans="2:13" ht="14.5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407</v>
      </c>
      <c r="I8" s="357">
        <v>35991.544205332109</v>
      </c>
      <c r="J8" s="274" t="s">
        <v>411</v>
      </c>
      <c r="L8" s="571" t="s">
        <v>432</v>
      </c>
      <c r="M8" s="572"/>
    </row>
    <row r="9" spans="2:13" ht="14.5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407</v>
      </c>
      <c r="I9" s="357">
        <v>50853.520435002218</v>
      </c>
      <c r="J9" s="274" t="s">
        <v>412</v>
      </c>
      <c r="L9" s="573"/>
      <c r="M9" s="574"/>
    </row>
    <row r="10" spans="2:13" ht="14.65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407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407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407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407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407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407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407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407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407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407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407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407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407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407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407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407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407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407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407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407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407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407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407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407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407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407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407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407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407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407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407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407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407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407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407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407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407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407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407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407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407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407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407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407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407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407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407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407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407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407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407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407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407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407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407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407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407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407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407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407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407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407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407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407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407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407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407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407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407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407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407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407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407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407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407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407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407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407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407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407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407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407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407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407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407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407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407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407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407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407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407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407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407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407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407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407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407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407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407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407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407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407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407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407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407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407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407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407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407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407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407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407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407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407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407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407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407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407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407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407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407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407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407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407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407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407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407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407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407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407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407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407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407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407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407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407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407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407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407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407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407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407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407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407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407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407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407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407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407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407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407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407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407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407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407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407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407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407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407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407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407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407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407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407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407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407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407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407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407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407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407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407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407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407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407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407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407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407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407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407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407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407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407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407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407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407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407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407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407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407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407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407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407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407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407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407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407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407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407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407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407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407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407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407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407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407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407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407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407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407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407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407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407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407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407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407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407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407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407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407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407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407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407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407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407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407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407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407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407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407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407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407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407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407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407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407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407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407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407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407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407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407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407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407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407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407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407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407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407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407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407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407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407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407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407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407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407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407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407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407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407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407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407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407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407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407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407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407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407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407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407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407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407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407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407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407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407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407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407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407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407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407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407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407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407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407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407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407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407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407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407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407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407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407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407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407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407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407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407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407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407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407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407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407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407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407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407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407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407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407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407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407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407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407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407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407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407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407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407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407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407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407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407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407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407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407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407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407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407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407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407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407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407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407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407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407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407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407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407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407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407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407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407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407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407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407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407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407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407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407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407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407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407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407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407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407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407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407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407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407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407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407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407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407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407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407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407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407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407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407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407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407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407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407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407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407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407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407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407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407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407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407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407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407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407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407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407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407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407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407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407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407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407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407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407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407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407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407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407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407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407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407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407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407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407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407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407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407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407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407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407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407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407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407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407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407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407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407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407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407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407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407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407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407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407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407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407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407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407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407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407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407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407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407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407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407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407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407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407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407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407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407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407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407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407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407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407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407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407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407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407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407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407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407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407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407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407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407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407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407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407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407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407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407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407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407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407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407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407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407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407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407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407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407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407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407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407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407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407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407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407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407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407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407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407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407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407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407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407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407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407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4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F4" xr:uid="{D57C2CEE-FB37-4F39-82AB-B81A1DECBD9F}">
      <formula1>$F$5:$F$9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J27"/>
  <sheetViews>
    <sheetView showGridLines="0" workbookViewId="0">
      <selection activeCell="L7" sqref="L7"/>
    </sheetView>
  </sheetViews>
  <sheetFormatPr defaultColWidth="8.68359375" defaultRowHeight="14.4" x14ac:dyDescent="0.55000000000000004"/>
  <cols>
    <col min="1" max="1" width="5.47265625" style="416" customWidth="1"/>
    <col min="2" max="2" width="9.5234375" style="416" bestFit="1" customWidth="1"/>
    <col min="3" max="3" width="12.41796875" style="416" customWidth="1"/>
    <col min="4" max="4" width="13.578125" style="416" bestFit="1" customWidth="1"/>
    <col min="5" max="5" width="9.26171875" style="416" customWidth="1"/>
    <col min="6" max="6" width="12.5234375" style="416" customWidth="1"/>
    <col min="7" max="7" width="8.68359375" style="416" bestFit="1" customWidth="1"/>
    <col min="8" max="8" width="13.26171875" style="416" customWidth="1"/>
    <col min="9" max="9" width="11.26171875" style="416" bestFit="1" customWidth="1"/>
    <col min="10" max="10" width="12.26171875" style="416" bestFit="1" customWidth="1"/>
    <col min="11" max="16384" width="8.68359375" style="416"/>
  </cols>
  <sheetData>
    <row r="1" spans="2:10" ht="12" customHeight="1" x14ac:dyDescent="0.55000000000000004">
      <c r="C1" s="432"/>
      <c r="D1" s="433"/>
      <c r="E1" s="433"/>
      <c r="F1" s="433"/>
      <c r="G1" s="433"/>
      <c r="H1" s="433"/>
    </row>
    <row r="2" spans="2:10" ht="14.5" customHeight="1" x14ac:dyDescent="0.55000000000000004">
      <c r="B2" s="417" t="s">
        <v>433</v>
      </c>
      <c r="C2" s="417" t="s">
        <v>434</v>
      </c>
      <c r="D2" s="418" t="s">
        <v>435</v>
      </c>
      <c r="E2" s="419" t="s">
        <v>436</v>
      </c>
      <c r="F2" s="419" t="s">
        <v>476</v>
      </c>
      <c r="G2" s="420" t="s">
        <v>437</v>
      </c>
      <c r="H2" s="421" t="s">
        <v>477</v>
      </c>
      <c r="I2" s="422" t="s">
        <v>478</v>
      </c>
      <c r="J2" s="422" t="s">
        <v>438</v>
      </c>
    </row>
    <row r="3" spans="2:10" x14ac:dyDescent="0.55000000000000004">
      <c r="B3" s="423" t="s">
        <v>312</v>
      </c>
      <c r="C3" s="424" t="s">
        <v>440</v>
      </c>
      <c r="D3" s="423" t="s">
        <v>311</v>
      </c>
      <c r="E3" s="423" t="s">
        <v>392</v>
      </c>
      <c r="F3" s="423" t="s">
        <v>441</v>
      </c>
      <c r="G3" s="423" t="s">
        <v>442</v>
      </c>
      <c r="H3" s="423" t="s">
        <v>319</v>
      </c>
      <c r="I3" s="423" t="s">
        <v>313</v>
      </c>
      <c r="J3" s="423" t="s">
        <v>405</v>
      </c>
    </row>
    <row r="4" spans="2:10" x14ac:dyDescent="0.55000000000000004">
      <c r="B4" s="425" t="s">
        <v>443</v>
      </c>
      <c r="C4" s="424" t="s">
        <v>444</v>
      </c>
      <c r="D4" s="425" t="s">
        <v>445</v>
      </c>
      <c r="E4" s="425" t="s">
        <v>364</v>
      </c>
      <c r="F4" s="425" t="s">
        <v>446</v>
      </c>
      <c r="G4" s="425" t="s">
        <v>67</v>
      </c>
      <c r="H4" s="425" t="s">
        <v>97</v>
      </c>
      <c r="I4" s="425" t="s">
        <v>447</v>
      </c>
      <c r="J4" s="425" t="s">
        <v>141</v>
      </c>
    </row>
    <row r="5" spans="2:10" x14ac:dyDescent="0.55000000000000004">
      <c r="B5" s="425"/>
      <c r="C5" s="424" t="s">
        <v>323</v>
      </c>
      <c r="D5" s="425" t="s">
        <v>448</v>
      </c>
      <c r="E5" s="425" t="s">
        <v>449</v>
      </c>
      <c r="F5" s="425" t="s">
        <v>450</v>
      </c>
      <c r="G5" s="425"/>
      <c r="H5" s="425" t="s">
        <v>451</v>
      </c>
      <c r="I5" s="425" t="s">
        <v>452</v>
      </c>
      <c r="J5" s="425" t="s">
        <v>453</v>
      </c>
    </row>
    <row r="6" spans="2:10" x14ac:dyDescent="0.55000000000000004">
      <c r="B6" s="425"/>
      <c r="C6" s="430" t="s">
        <v>454</v>
      </c>
      <c r="D6" s="425" t="s">
        <v>455</v>
      </c>
      <c r="E6" s="425" t="s">
        <v>439</v>
      </c>
      <c r="F6" s="425" t="s">
        <v>344</v>
      </c>
      <c r="G6" s="425"/>
      <c r="H6" s="425" t="s">
        <v>456</v>
      </c>
      <c r="I6" s="425"/>
      <c r="J6" s="425" t="s">
        <v>457</v>
      </c>
    </row>
    <row r="7" spans="2:10" x14ac:dyDescent="0.55000000000000004">
      <c r="B7" s="425"/>
      <c r="C7" s="424" t="s">
        <v>458</v>
      </c>
      <c r="D7" s="425" t="s">
        <v>459</v>
      </c>
      <c r="E7" s="425" t="s">
        <v>460</v>
      </c>
      <c r="F7" s="425" t="s">
        <v>461</v>
      </c>
      <c r="G7" s="425"/>
      <c r="H7" s="425"/>
      <c r="I7" s="425"/>
      <c r="J7" s="425" t="s">
        <v>462</v>
      </c>
    </row>
    <row r="8" spans="2:10" x14ac:dyDescent="0.55000000000000004">
      <c r="B8" s="425"/>
      <c r="C8" s="424" t="s">
        <v>463</v>
      </c>
      <c r="D8" s="425" t="s">
        <v>464</v>
      </c>
      <c r="E8" s="425" t="s">
        <v>465</v>
      </c>
      <c r="F8" s="425" t="s">
        <v>466</v>
      </c>
      <c r="G8" s="425"/>
      <c r="H8" s="425"/>
      <c r="I8" s="425"/>
      <c r="J8" s="425"/>
    </row>
    <row r="9" spans="2:10" x14ac:dyDescent="0.55000000000000004">
      <c r="B9" s="425"/>
      <c r="C9" s="424" t="s">
        <v>467</v>
      </c>
      <c r="D9" s="425" t="s">
        <v>468</v>
      </c>
      <c r="E9" s="425" t="s">
        <v>469</v>
      </c>
      <c r="F9" s="425" t="s">
        <v>470</v>
      </c>
      <c r="G9" s="425"/>
      <c r="H9" s="425"/>
      <c r="I9" s="425"/>
      <c r="J9" s="425"/>
    </row>
    <row r="10" spans="2:10" x14ac:dyDescent="0.55000000000000004">
      <c r="B10" s="425"/>
      <c r="C10" s="424" t="s">
        <v>471</v>
      </c>
      <c r="D10" s="425" t="s">
        <v>472</v>
      </c>
      <c r="E10" s="425" t="s">
        <v>473</v>
      </c>
      <c r="F10" s="425"/>
      <c r="G10" s="425"/>
      <c r="H10" s="425"/>
      <c r="I10" s="425"/>
      <c r="J10" s="425"/>
    </row>
    <row r="11" spans="2:10" x14ac:dyDescent="0.55000000000000004">
      <c r="B11" s="425"/>
      <c r="C11" s="424" t="s">
        <v>474</v>
      </c>
      <c r="D11" s="425" t="s">
        <v>475</v>
      </c>
      <c r="E11" s="425"/>
      <c r="F11" s="425"/>
      <c r="G11" s="425"/>
      <c r="H11" s="425"/>
      <c r="I11" s="425"/>
      <c r="J11" s="425"/>
    </row>
    <row r="12" spans="2:10" x14ac:dyDescent="0.55000000000000004">
      <c r="B12" s="425"/>
      <c r="C12" s="425"/>
      <c r="D12" s="425"/>
      <c r="E12" s="425"/>
      <c r="F12" s="425"/>
      <c r="G12" s="425"/>
      <c r="H12" s="425"/>
      <c r="I12" s="425"/>
      <c r="J12" s="425"/>
    </row>
    <row r="13" spans="2:10" x14ac:dyDescent="0.55000000000000004">
      <c r="B13" s="425"/>
      <c r="C13" s="425"/>
      <c r="D13" s="425"/>
      <c r="E13" s="425"/>
      <c r="F13" s="425"/>
      <c r="G13" s="425"/>
      <c r="H13" s="425"/>
      <c r="I13" s="425"/>
      <c r="J13" s="425"/>
    </row>
    <row r="14" spans="2:10" x14ac:dyDescent="0.55000000000000004">
      <c r="B14" s="425"/>
      <c r="C14" s="424"/>
      <c r="D14" s="425"/>
      <c r="E14" s="425"/>
      <c r="F14" s="425"/>
      <c r="G14" s="425"/>
      <c r="H14" s="425"/>
      <c r="I14" s="425"/>
      <c r="J14" s="425"/>
    </row>
    <row r="15" spans="2:10" ht="14.5" customHeight="1" x14ac:dyDescent="0.55000000000000004">
      <c r="B15" s="425"/>
      <c r="C15" s="426"/>
      <c r="D15" s="426"/>
      <c r="E15" s="425"/>
      <c r="F15" s="426"/>
      <c r="G15" s="425"/>
      <c r="H15" s="426"/>
      <c r="I15" s="426"/>
      <c r="J15" s="426"/>
    </row>
    <row r="16" spans="2:10" x14ac:dyDescent="0.55000000000000004">
      <c r="B16" s="425"/>
      <c r="C16" s="425"/>
      <c r="D16" s="426"/>
      <c r="E16" s="425"/>
      <c r="F16" s="426"/>
      <c r="G16" s="425"/>
      <c r="H16" s="426"/>
      <c r="I16" s="426"/>
      <c r="J16" s="426"/>
    </row>
    <row r="17" spans="2:10" x14ac:dyDescent="0.55000000000000004">
      <c r="B17" s="425"/>
      <c r="C17" s="425"/>
      <c r="D17" s="425"/>
      <c r="E17" s="425"/>
      <c r="F17" s="425"/>
      <c r="G17" s="425"/>
      <c r="H17" s="425"/>
      <c r="I17" s="425"/>
      <c r="J17" s="425"/>
    </row>
    <row r="18" spans="2:10" x14ac:dyDescent="0.55000000000000004">
      <c r="B18" s="425"/>
      <c r="C18" s="425"/>
      <c r="D18" s="425"/>
      <c r="E18" s="425"/>
      <c r="F18" s="425"/>
      <c r="G18" s="425"/>
      <c r="H18" s="425"/>
      <c r="I18" s="425"/>
      <c r="J18" s="425"/>
    </row>
    <row r="19" spans="2:10" x14ac:dyDescent="0.55000000000000004">
      <c r="B19" s="425"/>
      <c r="C19" s="425"/>
      <c r="D19" s="425"/>
      <c r="E19" s="425"/>
      <c r="F19" s="425"/>
      <c r="G19" s="425"/>
      <c r="H19" s="425"/>
      <c r="I19" s="425"/>
      <c r="J19" s="425"/>
    </row>
    <row r="20" spans="2:10" x14ac:dyDescent="0.55000000000000004">
      <c r="B20" s="425"/>
      <c r="C20" s="425"/>
      <c r="D20" s="425"/>
      <c r="E20" s="425"/>
      <c r="F20" s="425"/>
      <c r="G20" s="425"/>
      <c r="H20" s="425"/>
      <c r="I20" s="425"/>
      <c r="J20" s="425"/>
    </row>
    <row r="21" spans="2:10" x14ac:dyDescent="0.55000000000000004">
      <c r="B21" s="425"/>
      <c r="C21" s="425"/>
      <c r="D21" s="425"/>
      <c r="E21" s="425"/>
      <c r="F21" s="425"/>
      <c r="G21" s="425"/>
      <c r="H21" s="425"/>
      <c r="I21" s="425"/>
      <c r="J21" s="425"/>
    </row>
    <row r="22" spans="2:10" x14ac:dyDescent="0.55000000000000004">
      <c r="B22" s="425"/>
      <c r="C22" s="425"/>
      <c r="D22" s="425"/>
      <c r="E22" s="425"/>
      <c r="F22" s="425"/>
      <c r="G22" s="425"/>
      <c r="H22" s="425"/>
      <c r="I22" s="425"/>
      <c r="J22" s="425"/>
    </row>
    <row r="23" spans="2:10" x14ac:dyDescent="0.55000000000000004">
      <c r="B23" s="431"/>
      <c r="C23" s="431"/>
      <c r="D23" s="431"/>
      <c r="E23" s="431"/>
      <c r="F23" s="431"/>
      <c r="G23" s="431"/>
      <c r="H23" s="431"/>
      <c r="I23" s="431"/>
      <c r="J23" s="431"/>
    </row>
    <row r="25" spans="2:10" ht="14.5" customHeight="1" x14ac:dyDescent="0.55000000000000004">
      <c r="C25" s="667"/>
      <c r="D25" s="427"/>
      <c r="E25" s="428"/>
      <c r="F25" s="428"/>
      <c r="H25" s="428"/>
    </row>
    <row r="26" spans="2:10" x14ac:dyDescent="0.55000000000000004">
      <c r="C26" s="667"/>
      <c r="D26" s="427"/>
      <c r="H26" s="428"/>
    </row>
    <row r="27" spans="2:10" x14ac:dyDescent="0.55000000000000004">
      <c r="F27" s="429"/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68" t="s">
        <v>336</v>
      </c>
      <c r="B1" s="668"/>
      <c r="C1" s="668"/>
      <c r="D1" s="668"/>
      <c r="E1" s="261"/>
      <c r="F1" s="261"/>
      <c r="G1" s="668" t="s">
        <v>337</v>
      </c>
      <c r="H1" s="668"/>
      <c r="I1" s="668"/>
    </row>
    <row r="2" spans="1:15" x14ac:dyDescent="0.55000000000000004">
      <c r="A2" s="261"/>
      <c r="B2" s="261"/>
      <c r="C2" s="261" t="s">
        <v>338</v>
      </c>
      <c r="D2" s="261" t="s">
        <v>339</v>
      </c>
      <c r="E2" s="261"/>
      <c r="F2" s="261"/>
      <c r="G2" s="261"/>
      <c r="H2" s="261" t="s">
        <v>338</v>
      </c>
      <c r="I2" s="261" t="s">
        <v>339</v>
      </c>
      <c r="L2" s="247" t="s">
        <v>427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1">
        <f>IF('Actual Test Data'!$C$23="Yes",'Actual Test Data'!AB22,'Actual Test Data'!AA22)</f>
        <v>0.75086103394154013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1">
        <f>IF('Actual Test Data'!$C$23="Yes",'Actual Test Data'!AB23,'Actual Test Data'!AA23)</f>
        <v>0.81995038956309452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1">
        <f>IF('Actual Test Data'!$C$23="Yes",'Actual Test Data'!AB24,'Actual Test Data'!AA24)</f>
        <v>0.86519675508754934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1">
        <f>IF('Actual Test Data'!$C$23="Yes",'Actual Test Data'!AB25,'Actual Test Data'!AA25)</f>
        <v>0.86095022286999745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1">
        <f>IF('Actual Test Data'!$C$23="Yes",'Actual Test Data'!AB26,'Actual Test Data'!AA26)</f>
        <v>0.77711576892598744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1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1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1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1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1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2022-11-28T13:16:31Z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