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hr7o\Documents\Portable Git\ccp\scripts\Beta\"/>
    </mc:Choice>
  </mc:AlternateContent>
  <bookViews>
    <workbookView xWindow="0" yWindow="0" windowWidth="11685" windowHeight="7350" activeTab="1"/>
  </bookViews>
  <sheets>
    <sheet name="DataSheet" sheetId="1" r:id="rId1"/>
    <sheet name="Test Procedure Data" sheetId="2" r:id="rId2"/>
    <sheet name="Actual Test Data" sheetId="8" r:id="rId3"/>
    <sheet name="Tools" sheetId="5" r:id="rId4"/>
    <sheet name="GRAF" sheetId="4" state="hidden" r:id="rId5"/>
  </sheets>
  <externalReferences>
    <externalReference r:id="rId6"/>
  </externalReferences>
  <definedNames>
    <definedName name="GASESREFPROP">[1]LISTAS!$G$2:$G$195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1" i="1" l="1"/>
  <c r="D13" i="5"/>
  <c r="D11" i="5"/>
  <c r="D9" i="5"/>
  <c r="D7" i="5"/>
  <c r="D5" i="5"/>
  <c r="M14" i="2" l="1"/>
  <c r="L14" i="2"/>
  <c r="B56" i="4" l="1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D29" i="4"/>
  <c r="B29" i="4"/>
  <c r="D28" i="4"/>
  <c r="B28" i="4"/>
  <c r="D27" i="4"/>
  <c r="B27" i="4"/>
  <c r="D26" i="4"/>
  <c r="B26" i="4"/>
  <c r="D25" i="4"/>
  <c r="B25" i="4"/>
  <c r="D24" i="4"/>
  <c r="B24" i="4"/>
  <c r="D23" i="4"/>
  <c r="B23" i="4"/>
  <c r="D22" i="4"/>
  <c r="B22" i="4"/>
  <c r="B21" i="4"/>
  <c r="C21" i="4" s="1"/>
  <c r="B20" i="4"/>
  <c r="D20" i="4" s="1"/>
  <c r="B19" i="4"/>
  <c r="C19" i="4" s="1"/>
  <c r="C18" i="4"/>
  <c r="B18" i="4"/>
  <c r="D18" i="4" s="1"/>
  <c r="B17" i="4"/>
  <c r="C17" i="4" s="1"/>
  <c r="B16" i="4"/>
  <c r="D16" i="4" s="1"/>
  <c r="B15" i="4"/>
  <c r="C15" i="4" s="1"/>
  <c r="I14" i="4"/>
  <c r="H14" i="4"/>
  <c r="B14" i="4"/>
  <c r="D14" i="4" s="1"/>
  <c r="I13" i="4"/>
  <c r="H13" i="4"/>
  <c r="B13" i="4"/>
  <c r="C13" i="4" s="1"/>
  <c r="I12" i="4"/>
  <c r="H12" i="4"/>
  <c r="B12" i="4"/>
  <c r="D12" i="4" s="1"/>
  <c r="I11" i="4"/>
  <c r="H11" i="4"/>
  <c r="B11" i="4"/>
  <c r="C11" i="4" s="1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D11" i="4" l="1"/>
  <c r="C12" i="4"/>
  <c r="C14" i="4"/>
  <c r="D15" i="4"/>
  <c r="D19" i="4"/>
  <c r="C16" i="4"/>
  <c r="C20" i="4"/>
  <c r="D13" i="4"/>
  <c r="D17" i="4"/>
  <c r="D21" i="4"/>
  <c r="K89" i="1" l="1"/>
  <c r="A123" i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N89" i="1"/>
  <c r="A66" i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5" i="1" s="1"/>
  <c r="A56" i="1" s="1"/>
  <c r="K91" i="1"/>
  <c r="N91" i="1"/>
</calcChain>
</file>

<file path=xl/comments1.xml><?xml version="1.0" encoding="utf-8"?>
<comments xmlns="http://schemas.openxmlformats.org/spreadsheetml/2006/main">
  <authors>
    <author>Richard A. Lewis</author>
  </authors>
  <commentList>
    <comment ref="Z123" authorId="0" shapeId="0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  <comment ref="Z131" authorId="0" shapeId="0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</commentList>
</comments>
</file>

<file path=xl/comments2.xml><?xml version="1.0" encoding="utf-8"?>
<comments xmlns="http://schemas.openxmlformats.org/spreadsheetml/2006/main">
  <authors>
    <author>Andre Albuquerque Thomas e Brandao</author>
  </authors>
  <commentList>
    <comment ref="G5" authorId="0" shapeId="0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 da primeira seção</t>
        </r>
      </text>
    </comment>
    <comment ref="H5" authorId="0" shapeId="0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 da primeira seção</t>
        </r>
      </text>
    </comment>
    <comment ref="I5" authorId="0" shapeId="0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 da primeira seção</t>
        </r>
      </text>
    </comment>
    <comment ref="J5" authorId="0" shapeId="0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da primeira 
seção</t>
        </r>
      </text>
    </comment>
    <comment ref="K5" authorId="0" shapeId="0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 da primeira seção</t>
        </r>
      </text>
    </comment>
    <comment ref="L5" authorId="0" shapeId="0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de descarga da primeira seção</t>
        </r>
      </text>
    </comment>
    <comment ref="M5" authorId="0" shapeId="0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 do side stream</t>
        </r>
      </text>
    </comment>
    <comment ref="N5" authorId="0" shapeId="0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no side stream</t>
        </r>
      </text>
    </comment>
    <comment ref="O5" authorId="0" shapeId="0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do sidestream</t>
        </r>
      </text>
    </comment>
    <comment ref="P5" authorId="0" shapeId="0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 da segunda seção</t>
        </r>
      </text>
    </comment>
    <comment ref="Q5" authorId="0" shapeId="0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de descarga da segunda seção</t>
        </r>
      </text>
    </comment>
    <comment ref="R5" authorId="0" shapeId="0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de sucção da segunda seção (calculada)</t>
        </r>
      </text>
    </comment>
  </commentList>
</comments>
</file>

<file path=xl/sharedStrings.xml><?xml version="1.0" encoding="utf-8"?>
<sst xmlns="http://schemas.openxmlformats.org/spreadsheetml/2006/main" count="753" uniqueCount="421">
  <si>
    <t xml:space="preserve">  JOB NO.</t>
  </si>
  <si>
    <t xml:space="preserve"> </t>
  </si>
  <si>
    <t>ITEM NO.</t>
  </si>
  <si>
    <t xml:space="preserve">  PURCHASE ORDER NO.</t>
  </si>
  <si>
    <t xml:space="preserve">  INQUIRY NO.</t>
  </si>
  <si>
    <t>CENTRIFUGAL AND AXIAL COMPRESSOR</t>
  </si>
  <si>
    <t xml:space="preserve">  REVISION NO.</t>
  </si>
  <si>
    <t>DATE</t>
  </si>
  <si>
    <t>DATA SHEET (API 617-7TH Chapter 2)</t>
  </si>
  <si>
    <t xml:space="preserve">  PAGE</t>
  </si>
  <si>
    <t>1b</t>
  </si>
  <si>
    <t>OF</t>
  </si>
  <si>
    <t>BY</t>
  </si>
  <si>
    <t>APPLICABLE TO:</t>
  </si>
  <si>
    <t>PROPOSAL</t>
  </si>
  <si>
    <t>PURCHASE</t>
  </si>
  <si>
    <t>AS BUILT</t>
  </si>
  <si>
    <t>FOR</t>
  </si>
  <si>
    <t>UNIT</t>
  </si>
  <si>
    <t>SITE</t>
  </si>
  <si>
    <t>SERIAL NO.</t>
  </si>
  <si>
    <t>SERVICE</t>
  </si>
  <si>
    <t>NO. REQUIRED</t>
  </si>
  <si>
    <t>MANUFACTURER</t>
  </si>
  <si>
    <t>DRIVER TYPE (1-3.1.1)</t>
  </si>
  <si>
    <t>MODEL</t>
  </si>
  <si>
    <t>DRIVER ITEM NO.</t>
  </si>
  <si>
    <t>INFORMATION TO BE COMPLETED:</t>
  </si>
  <si>
    <t>BY PURCHASER</t>
  </si>
  <si>
    <t>BY MANUFACTURER</t>
  </si>
  <si>
    <t>MUTUAL AGREEMENT (PRIOR TO PURCHASE)</t>
  </si>
  <si>
    <t>OPERATING CONDITIONS (INTERMEDIATE CONNECTIONS)</t>
  </si>
  <si>
    <t>(ALL DATA ON PER UNIT BASIS)</t>
  </si>
  <si>
    <t>NORMAL (1-2.1.1.2)</t>
  </si>
  <si>
    <t>OTHER CONDITIONS (1-2.1.1.1)</t>
  </si>
  <si>
    <t>Section 1</t>
  </si>
  <si>
    <t>Section 2</t>
  </si>
  <si>
    <t>GAS PROPERTIES (1-2.1.1.4)</t>
  </si>
  <si>
    <t>WEIGHT FLOW, kg/h (WET)  (DRY)</t>
  </si>
  <si>
    <t>INLET CONDITIONS</t>
  </si>
  <si>
    <t>PRESSURE (BARa)</t>
  </si>
  <si>
    <t>TEMPERATURE (°C)</t>
  </si>
  <si>
    <t>RELATIVE HUMIDITY %</t>
  </si>
  <si>
    <t>MOLECULAR WEIGHT</t>
  </si>
  <si>
    <t>DISCHARGE CONDITIONS</t>
  </si>
  <si>
    <t>GAS kW REQUIRED</t>
  </si>
  <si>
    <t>TRAIN BRAKE kW REQUIRED</t>
  </si>
  <si>
    <t>BRAKE kW REQUIRED AT DRIVER INCL. EXT. LOSSES (GEAR, ETC.)</t>
  </si>
  <si>
    <t>SPEED (RPM)</t>
  </si>
  <si>
    <t>TURNDOWN (%)</t>
  </si>
  <si>
    <t>POLYTROPIC HEAD (J / kg)</t>
  </si>
  <si>
    <t>POLYTROPIC EFFICIENCY (%)</t>
  </si>
  <si>
    <t>CERTIFIED POINT</t>
  </si>
  <si>
    <t>EXPECTED OPERATION AT EACH CONDITION (%)</t>
  </si>
  <si>
    <t>PERFORMANCE CURVE NUMBER</t>
  </si>
  <si>
    <t>PROCESS CONTROL (1-3.4.2.1)</t>
  </si>
  <si>
    <t>METHOD</t>
  </si>
  <si>
    <t>SUCTION THROTTLING</t>
  </si>
  <si>
    <t>VARIABLE INLET</t>
  </si>
  <si>
    <t>SPEED VARIATION</t>
  </si>
  <si>
    <t>DISCHARGE</t>
  </si>
  <si>
    <t>COOLED BYPASS</t>
  </si>
  <si>
    <t>FROM</t>
  </si>
  <si>
    <t>BAR (kPa abs)</t>
  </si>
  <si>
    <t>GUIDE VANES</t>
  </si>
  <si>
    <t>%</t>
  </si>
  <si>
    <t>BLOWOFF</t>
  </si>
  <si>
    <t>TO</t>
  </si>
  <si>
    <t>(2-2.4.1)</t>
  </si>
  <si>
    <t>SIGNAL</t>
  </si>
  <si>
    <t>SOURCE (1-3.4.2.1)</t>
  </si>
  <si>
    <t>TYPE</t>
  </si>
  <si>
    <t>ELECTRONIC</t>
  </si>
  <si>
    <t>PNEUMATIC</t>
  </si>
  <si>
    <t>OTHER</t>
  </si>
  <si>
    <t>RANGE</t>
  </si>
  <si>
    <t>mA</t>
  </si>
  <si>
    <t>ANTI-SURGE SYSTEM (1-3.4.2.2)</t>
  </si>
  <si>
    <t>REMARKS:</t>
  </si>
  <si>
    <t>03/03      SHT 1 OF 7    API617.XLS    REV 0</t>
  </si>
  <si>
    <t xml:space="preserve">                                                                                                                                      </t>
  </si>
  <si>
    <t>JOB NO.</t>
  </si>
  <si>
    <t/>
  </si>
  <si>
    <t>REVISION NO.</t>
  </si>
  <si>
    <t>PAGE</t>
  </si>
  <si>
    <t>OPERATING CONDITIONS (Continued)  (1-2.1.1.1)  (1-3.1.2)  (1-3.1.3)</t>
  </si>
  <si>
    <t>GAS ANALYSIS:</t>
  </si>
  <si>
    <t xml:space="preserve">  NORMAL</t>
  </si>
  <si>
    <t>OTHER CONDITIONS</t>
  </si>
  <si>
    <t xml:space="preserve">MOL % </t>
  </si>
  <si>
    <t>B</t>
  </si>
  <si>
    <t>C</t>
  </si>
  <si>
    <t>D</t>
  </si>
  <si>
    <t xml:space="preserve">REMARKS:    </t>
  </si>
  <si>
    <t>MW</t>
  </si>
  <si>
    <t>ETHANE</t>
  </si>
  <si>
    <t>PROPANE</t>
  </si>
  <si>
    <t>BUTANE</t>
  </si>
  <si>
    <t>ISOBUTANE</t>
  </si>
  <si>
    <t>PENTANE</t>
  </si>
  <si>
    <t>ISOPENTANE</t>
  </si>
  <si>
    <t>(1-2.2.1.6)</t>
  </si>
  <si>
    <t>HEXANE</t>
  </si>
  <si>
    <t>(1-2.2.1.9)</t>
  </si>
  <si>
    <t>OCTANE</t>
  </si>
  <si>
    <t>NONANE</t>
  </si>
  <si>
    <t>DECANE</t>
  </si>
  <si>
    <t>water</t>
  </si>
  <si>
    <t>DODECANE</t>
  </si>
  <si>
    <t>NITROGEN</t>
  </si>
  <si>
    <t>HYDROGEN SULFIDE</t>
  </si>
  <si>
    <t>(1-2.2.1.3)</t>
  </si>
  <si>
    <t>TOTAL</t>
  </si>
  <si>
    <t>AVG. MOL. WT.</t>
  </si>
  <si>
    <t>LOCATION:</t>
  </si>
  <si>
    <t>(1-2.1.8)</t>
  </si>
  <si>
    <t>NOISE SPECIFICATIONS: (1-2.1.9)</t>
  </si>
  <si>
    <t>INDOOR</t>
  </si>
  <si>
    <t>OUTDOOR</t>
  </si>
  <si>
    <t>GRADE</t>
  </si>
  <si>
    <t>APPLICABLE TO MACHINE:</t>
  </si>
  <si>
    <t>HEATED</t>
  </si>
  <si>
    <t>UNDER ROOF</t>
  </si>
  <si>
    <t>MEZZANINE</t>
  </si>
  <si>
    <t>SEE SPECIFICATION</t>
  </si>
  <si>
    <t>UNHEATED</t>
  </si>
  <si>
    <t>PARTIAL SIDES</t>
  </si>
  <si>
    <t>APPLICABLE TO NEIGHBORHOOD:</t>
  </si>
  <si>
    <t>ELEC. AREA CLASSIFICATION (1-2.1.14)</t>
  </si>
  <si>
    <t>CL</t>
  </si>
  <si>
    <t>GR</t>
  </si>
  <si>
    <t>DIV</t>
  </si>
  <si>
    <t xml:space="preserve">SEE SPECIFICATION </t>
  </si>
  <si>
    <t>SITE DATA (1-2.1.8)</t>
  </si>
  <si>
    <t>ACOUSTIC HOUSING:</t>
  </si>
  <si>
    <t>YES</t>
  </si>
  <si>
    <t>NO</t>
  </si>
  <si>
    <t>ELEVATION</t>
  </si>
  <si>
    <t>m</t>
  </si>
  <si>
    <t>BAROMETER</t>
  </si>
  <si>
    <t>BAR</t>
  </si>
  <si>
    <t>APPLICABLE SPECIFICATIONS:</t>
  </si>
  <si>
    <t>RANGE OF AMBIENT TEMPS:</t>
  </si>
  <si>
    <t>API 617, 7TH CHAPTER 1&amp;2</t>
  </si>
  <si>
    <t>DRY BULB</t>
  </si>
  <si>
    <t>WET BULB</t>
  </si>
  <si>
    <t>VENDOR HAVING UNIT RESPONSIBILITY (1-1.5.52) (1-1.8) (1-2.1.3)</t>
  </si>
  <si>
    <t>NORMAL</t>
  </si>
  <si>
    <t>°C</t>
  </si>
  <si>
    <t>MAXIMUM</t>
  </si>
  <si>
    <t>GOVERNING SPECIFICATION (IF DIFFERENT)</t>
  </si>
  <si>
    <t>MINIMUM</t>
  </si>
  <si>
    <t>UNUSUAL CONDITIONS:</t>
  </si>
  <si>
    <t>DUST</t>
  </si>
  <si>
    <t>FUMES</t>
  </si>
  <si>
    <t>PAINTING:</t>
  </si>
  <si>
    <t>MANUFACTURER'S STD.</t>
  </si>
  <si>
    <t>OTHER (1-2.1.8)</t>
  </si>
  <si>
    <t>COPPER AND COPPER ALLOYS PROHIBITED (1-2.2.1.14)</t>
  </si>
  <si>
    <t>SHIPMENT: (1-4.4)</t>
  </si>
  <si>
    <t>COATING: (1-2.2.1.16)</t>
  </si>
  <si>
    <t>DOMESTIC</t>
  </si>
  <si>
    <t>EXPORT</t>
  </si>
  <si>
    <t>EXPORT BOXING REQ'D.</t>
  </si>
  <si>
    <t>ROTATING COMPONENTS</t>
  </si>
  <si>
    <t>OUTDOOR STORAGE MORE THAN 6 MONTHS (1-4.4.1)</t>
  </si>
  <si>
    <t>MO</t>
  </si>
  <si>
    <t>STATIONARY COMPONENTS</t>
  </si>
  <si>
    <t>SPARE ROTOR ASSEMBLY PACKAGE (1-4.4.3.10)</t>
  </si>
  <si>
    <t>HORIZONTAL STORAGE</t>
  </si>
  <si>
    <t>VERTICAL STORAGE</t>
  </si>
  <si>
    <t>03/03       SHT 2 OF 7      API617.XLS      REV 0</t>
  </si>
  <si>
    <t>CONSTRUCTION FEATURES</t>
  </si>
  <si>
    <t>SPEEDS:</t>
  </si>
  <si>
    <t>DIAPHRAGMS:</t>
  </si>
  <si>
    <t>MAX. CONT.</t>
  </si>
  <si>
    <t>RPM</t>
  </si>
  <si>
    <t>TRIP</t>
  </si>
  <si>
    <t>MATERIAL</t>
  </si>
  <si>
    <t>MAX. TIP SPEEDS:</t>
  </si>
  <si>
    <t>m/sec @ 100% SPEED</t>
  </si>
  <si>
    <t>AXIALLY SPLIT</t>
  </si>
  <si>
    <t>NO (2-2.4.8)</t>
  </si>
  <si>
    <t>m/sec @ MAX. CONT. SPEED</t>
  </si>
  <si>
    <t>LATERAL CRITICAL SPEEDS (DAMPED)</t>
  </si>
  <si>
    <t>INTERMEDIATE MAIN PROCESS CONNECTIONS (2-2.4.5)</t>
  </si>
  <si>
    <t>FIRST CRITICAL</t>
  </si>
  <si>
    <t>MODE</t>
  </si>
  <si>
    <t>DISCH. PRESSURE (BARG)(kPaG):</t>
  </si>
  <si>
    <t>MAX</t>
  </si>
  <si>
    <t>MIN</t>
  </si>
  <si>
    <t>SECOND CRITICAL</t>
  </si>
  <si>
    <t>INLET PRESSURE (BARG)(kPaG):</t>
  </si>
  <si>
    <t>THIRD CRITICAL</t>
  </si>
  <si>
    <t>FOURTH CRITICAL</t>
  </si>
  <si>
    <t>IMPELLERS:</t>
  </si>
  <si>
    <t>LATERAL ANALYSIS ADDITIONAL REQUIREMENTS (1-2.6.2.14)</t>
  </si>
  <si>
    <t>NO.</t>
  </si>
  <si>
    <t>DIAMETERS (mm)</t>
  </si>
  <si>
    <t>1 Seção &gt;</t>
  </si>
  <si>
    <t>1st impeller width (mm) ---------&gt;</t>
  </si>
  <si>
    <t>&gt;&gt;&gt; 1 Seção</t>
  </si>
  <si>
    <t>TRAIN LATERAL ANALYSIS REQUIRED (1-2.6.2.6)</t>
  </si>
  <si>
    <t>2 Seção &gt;</t>
  </si>
  <si>
    <t>&gt;&gt;&gt; 2 Seção</t>
  </si>
  <si>
    <t>TRAIN TORSIONAL ANALYSIS REQUIRED (1-2.6.7.1)</t>
  </si>
  <si>
    <t>TYPE (OPEN, ENCLOSED, ETC.)</t>
  </si>
  <si>
    <t>TORSIONAL CRITICAL SPEEDS:</t>
  </si>
  <si>
    <t>TYPE FABRICATION</t>
  </si>
  <si>
    <t>MIN. YIELD STRENGTH (MPa)</t>
  </si>
  <si>
    <t>HARDNESS: (BNH)(Rc)</t>
  </si>
  <si>
    <t>SMALLEST TIP INTERNAL WIDTH (mm)</t>
  </si>
  <si>
    <t>LIST OF TRAIN UNDESIRABLE SPEEDS (1-2.6.1.4)</t>
  </si>
  <si>
    <t>MAX. MACH. NO. @ IMPELLER EYE</t>
  </si>
  <si>
    <t>VIBRATION:</t>
  </si>
  <si>
    <t>MAX. IMPELLER HEAD @ 100% SPD (N-m/kg)</t>
  </si>
  <si>
    <t>ALLOWABLE TEST LEVEL</t>
  </si>
  <si>
    <t>SHAFT:</t>
  </si>
  <si>
    <t>(PEAK TO PEAK)</t>
  </si>
  <si>
    <t>ONE PIECE</t>
  </si>
  <si>
    <t>BUILT UP</t>
  </si>
  <si>
    <t>NAMEPLATE (2-2.11.2)</t>
  </si>
  <si>
    <t>US CUSTOMARY</t>
  </si>
  <si>
    <t>METRIC</t>
  </si>
  <si>
    <t>DIA @ IMPELLERS (mm)</t>
  </si>
  <si>
    <t>DIA @ COUPLING (mm)</t>
  </si>
  <si>
    <t>ROTATION, VIEWED FROM DRIVEN END</t>
  </si>
  <si>
    <t>CW</t>
  </si>
  <si>
    <t>CCW</t>
  </si>
  <si>
    <t>SHAFT END:</t>
  </si>
  <si>
    <t>TAPERED</t>
  </si>
  <si>
    <t>CYLINDRICAL</t>
  </si>
  <si>
    <t>MATERIALS INSPECTION REQUIREMENTS (1-4.2.2.1)</t>
  </si>
  <si>
    <t>SPLINED</t>
  </si>
  <si>
    <t>INTEGRAL FLANGE</t>
  </si>
  <si>
    <t>RADIOGRAPHY REQUIRED FOR</t>
  </si>
  <si>
    <t>ULTRASONIC REQUIRED FOR</t>
  </si>
  <si>
    <t>SHAFT HARDNESS (BNH)(Rc)</t>
  </si>
  <si>
    <t>MAGNETIC PARTICLE REQUIRED FOR</t>
  </si>
  <si>
    <t>MAX TORQUE CAPABILITY (N-m)</t>
  </si>
  <si>
    <t>LIQUID PENETRANT REQUIRED FOR</t>
  </si>
  <si>
    <t>BALANCE PISTON:</t>
  </si>
  <si>
    <t>LOW TEMPERATURE (1-2.2.1.15.3)</t>
  </si>
  <si>
    <t>AREA</t>
  </si>
  <si>
    <t>(mm² )</t>
  </si>
  <si>
    <t>MIN.DESIGN METAL TEMPERATURE (°C)</t>
  </si>
  <si>
    <t>FIXATION METHOD</t>
  </si>
  <si>
    <t>AT CONCURRANT PRESSURE (BARG)(kPaG)</t>
  </si>
  <si>
    <t>NORMAL CLEARANCE (mm)</t>
  </si>
  <si>
    <t>OTHER TRAIN COMPONENTS (1-2.2.1.15.2)</t>
  </si>
  <si>
    <t>FLOW WITH NORMAL CLEARANCE (kg/h)</t>
  </si>
  <si>
    <t>CASING:</t>
  </si>
  <si>
    <t>FLOW WITH 2x NORMAL CLEARANCE (kg/h)</t>
  </si>
  <si>
    <t>PRESS. CONN. BAL LINE DOWNSTREAM (2-2.5.4.3)</t>
  </si>
  <si>
    <t>CASING SPLIT</t>
  </si>
  <si>
    <t>SHAFT SLEEVES:</t>
  </si>
  <si>
    <t>AT INTERSTG. CLOSE</t>
  </si>
  <si>
    <t>MATL</t>
  </si>
  <si>
    <t>THICKNESS (mm)</t>
  </si>
  <si>
    <t>CORR. ALLOW. (mm)</t>
  </si>
  <si>
    <t>CLEARANCE POINTS</t>
  </si>
  <si>
    <t>MAX. ALLOWABLE PRESS</t>
  </si>
  <si>
    <t>BARG (kPaG)</t>
  </si>
  <si>
    <t>AT SHAFT SEALS</t>
  </si>
  <si>
    <t>TEST PRESS (BARG)(kPaG):</t>
  </si>
  <si>
    <t>HYDRO</t>
  </si>
  <si>
    <t>ACCESSIBLE (2-2.8.3)</t>
  </si>
  <si>
    <t>MAX. ALLOWABLE TEMPERATURE (°C)</t>
  </si>
  <si>
    <t>ROTOR</t>
  </si>
  <si>
    <t>MAX OPER. TEMP.</t>
  </si>
  <si>
    <t>MIN. OPER. TEMP.</t>
  </si>
  <si>
    <t>DISASSEMBLY AND REASSEMBLY (1-2.6.8.2.1.1)</t>
  </si>
  <si>
    <t>AT SPEED BALANCING (1-2.6.8.3)</t>
  </si>
  <si>
    <t>SYSTEM RELIEF VALVE SET PT.  (2-2.3.1.1)</t>
  </si>
  <si>
    <t>SEQUENTIAL LOW SPEED BAL. PREC. AT SPEED BAL. (1-2.6.8.6)</t>
  </si>
  <si>
    <t>Q.C. OF INACCESSIBLE WELDS (1-2.3.1.11.2)</t>
  </si>
  <si>
    <t>RESIDUAL BALANCE CHECK (1-2.6.8.7)</t>
  </si>
  <si>
    <t>LABYRINTHS:</t>
  </si>
  <si>
    <t>INTERSTAGE</t>
  </si>
  <si>
    <t>NO. VANES GUIDE VANE</t>
  </si>
  <si>
    <t>IGV EXTERNAL PURGE (2-2.4.2)</t>
  </si>
  <si>
    <t>BALANCE PISTON</t>
  </si>
  <si>
    <t>VANE CONTROL SYSTEM (2-2.4.3)</t>
  </si>
  <si>
    <t>03/03         SHT 3 OF 7      API617.XLS      REV 0</t>
  </si>
  <si>
    <r>
      <t>SI UNITS</t>
    </r>
    <r>
      <rPr>
        <sz val="10"/>
        <color rgb="FF000000"/>
        <rFont val="Arial"/>
        <family val="2"/>
      </rPr>
      <t xml:space="preserve"> (1-1.6.5)</t>
    </r>
  </si>
  <si>
    <r>
      <t>MMm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/day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(1.03 BAR  &amp; 0°C DRY)</t>
    </r>
  </si>
  <si>
    <r>
      <t>Cp/Cv ( K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</si>
  <si>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 ) (NOTE 1)</t>
    </r>
  </si>
  <si>
    <r>
      <t>INLET VOLUME,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(WET / DRY)</t>
    </r>
  </si>
  <si>
    <r>
      <t>Cp/Cv (K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</si>
  <si>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</si>
  <si>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NOTE 1:</t>
    </r>
    <r>
      <rPr>
        <sz val="6"/>
        <color rgb="FF000000"/>
        <rFont val="Arial"/>
        <family val="2"/>
      </rPr>
      <t xml:space="preserve">   IF GAS ANALYSIS IS GIVEN, MANUFACTURER SHALL SUPPLY DATA, OTHERWISE DATA SHALL BE SUPPLIED BY USER</t>
    </r>
  </si>
  <si>
    <r>
      <t xml:space="preserve">DIAPHRAGM MAX. </t>
    </r>
    <r>
      <rPr>
        <sz val="7"/>
        <color rgb="FF000000"/>
        <rFont val="Symbol"/>
        <family val="1"/>
        <charset val="2"/>
      </rPr>
      <t xml:space="preserve">D </t>
    </r>
    <r>
      <rPr>
        <sz val="7"/>
        <color rgb="FF000000"/>
        <rFont val="Arial"/>
        <family val="2"/>
      </rPr>
      <t>P (BAR)(kPa):</t>
    </r>
  </si>
  <si>
    <r>
      <t xml:space="preserve">m </t>
    </r>
    <r>
      <rPr>
        <sz val="7"/>
        <color rgb="FF000000"/>
        <rFont val="Arial"/>
        <family val="2"/>
      </rPr>
      <t>m</t>
    </r>
  </si>
  <si>
    <r>
      <t>MAX CASING CAPACITY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</t>
    </r>
  </si>
  <si>
    <t>carbon dioxide</t>
  </si>
  <si>
    <t>Gas</t>
  </si>
  <si>
    <t>Methane</t>
  </si>
  <si>
    <t>hydrogen</t>
  </si>
  <si>
    <t>Mol. Fraction</t>
  </si>
  <si>
    <t>Mass Flow</t>
  </si>
  <si>
    <t>Inlet Conditions</t>
  </si>
  <si>
    <t>Discharge Conditions</t>
  </si>
  <si>
    <t>[unit]</t>
  </si>
  <si>
    <t>Press.</t>
  </si>
  <si>
    <t>Temp.</t>
  </si>
  <si>
    <t>Speed</t>
  </si>
  <si>
    <t>kg/h</t>
  </si>
  <si>
    <t>rpm</t>
  </si>
  <si>
    <t>degC</t>
  </si>
  <si>
    <t>Design Conditions Summary</t>
  </si>
  <si>
    <t>Mach</t>
  </si>
  <si>
    <t>Reynolds</t>
  </si>
  <si>
    <t>vi/vd</t>
  </si>
  <si>
    <t>Flow Coefficient</t>
  </si>
  <si>
    <t>Head Coefficient</t>
  </si>
  <si>
    <t>Work Input Soef.</t>
  </si>
  <si>
    <t>Polytrop. Eff.</t>
  </si>
  <si>
    <t>kW</t>
  </si>
  <si>
    <t>Nitrogen</t>
  </si>
  <si>
    <t>Rt/Rsp</t>
  </si>
  <si>
    <t>m³/h</t>
  </si>
  <si>
    <t>Inlet Vol. Flow (Actual)</t>
  </si>
  <si>
    <t>Vol. Ratio</t>
  </si>
  <si>
    <t>Mt-Msp</t>
  </si>
  <si>
    <t>Flow Coef.</t>
  </si>
  <si>
    <t>Re_t/Re_sp</t>
  </si>
  <si>
    <t>Power (kW)</t>
  </si>
  <si>
    <t>Head Coef.</t>
  </si>
  <si>
    <t>Wt/Wsp</t>
  </si>
  <si>
    <t>Shaft Power (kW)</t>
  </si>
  <si>
    <t>Test procedure parameters</t>
  </si>
  <si>
    <t>PTC-10 Criteria</t>
  </si>
  <si>
    <t>Between 95% e 105%</t>
  </si>
  <si>
    <t>Between 96% e 104%</t>
  </si>
  <si>
    <t>REYNOLDS</t>
  </si>
  <si>
    <t>MACH</t>
  </si>
  <si>
    <t>LOWER</t>
  </si>
  <si>
    <t>UPPER</t>
  </si>
  <si>
    <t>See Figures  --&gt;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</si>
  <si>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t/</t>
    </r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sp</t>
    </r>
  </si>
  <si>
    <r>
      <rPr>
        <i/>
        <sz val="11"/>
        <color theme="1"/>
        <rFont val="Symbol"/>
        <family val="1"/>
        <charset val="2"/>
      </rPr>
      <t>y</t>
    </r>
    <r>
      <rPr>
        <i/>
        <sz val="11"/>
        <color theme="1"/>
        <rFont val="Calibri"/>
        <family val="2"/>
        <scheme val="minor"/>
      </rPr>
      <t>t</t>
    </r>
    <r>
      <rPr>
        <i/>
        <sz val="11"/>
        <color theme="1"/>
        <rFont val="Symbol"/>
        <family val="1"/>
        <charset val="2"/>
      </rPr>
      <t>/y</t>
    </r>
    <r>
      <rPr>
        <i/>
        <sz val="11"/>
        <color theme="1"/>
        <rFont val="Calibri"/>
        <family val="2"/>
        <scheme val="minor"/>
      </rPr>
      <t>sp</t>
    </r>
  </si>
  <si>
    <t>Inform one of 2 flows above</t>
  </si>
  <si>
    <t>Test condition SECTION 1 (Rated points)</t>
  </si>
  <si>
    <t>Test condition SECTION 2 (Rated points)</t>
  </si>
  <si>
    <t>Section</t>
  </si>
  <si>
    <t>Side Stream</t>
  </si>
  <si>
    <t>IN</t>
  </si>
  <si>
    <t>Head (kJ/kg)</t>
  </si>
  <si>
    <t>Ht/Hsp</t>
  </si>
  <si>
    <t>Head conv. (kJ/kg)</t>
  </si>
  <si>
    <t>Hconv/Hsp</t>
  </si>
  <si>
    <t>Power conv. (KW)</t>
  </si>
  <si>
    <t>Wconv/Wsp</t>
  </si>
  <si>
    <t>Vol. Flow</t>
  </si>
  <si>
    <t>Inlet Volume Flow</t>
  </si>
  <si>
    <t>Section 2 Inlet Temp.</t>
  </si>
  <si>
    <t>Section 3</t>
  </si>
  <si>
    <t>SS Volume Flow</t>
  </si>
  <si>
    <t>R134a</t>
  </si>
  <si>
    <t>kPa</t>
  </si>
  <si>
    <t>Qss/Q1d</t>
  </si>
  <si>
    <t>Qss/Q1d
(Item 3.5.2 PTC-10)</t>
  </si>
  <si>
    <t>kgf/cm² g</t>
  </si>
  <si>
    <t>bar a</t>
  </si>
  <si>
    <t>bar g</t>
  </si>
  <si>
    <t>kgf/cm²a</t>
  </si>
  <si>
    <t>kPa g</t>
  </si>
  <si>
    <t>kPa a</t>
  </si>
  <si>
    <t>Valor</t>
  </si>
  <si>
    <t>Polytropic Efficiency</t>
  </si>
  <si>
    <t>Conversão de pressão</t>
  </si>
  <si>
    <t>Opções</t>
  </si>
  <si>
    <t>Reynolds correction</t>
  </si>
  <si>
    <t>Yes</t>
  </si>
  <si>
    <t>Rugosidade [in]</t>
  </si>
  <si>
    <t>Surface area [m²]</t>
  </si>
  <si>
    <t>Casing 1 heat loss</t>
  </si>
  <si>
    <t>Casing 2 heat loss</t>
  </si>
  <si>
    <t>Reynolds corr.</t>
  </si>
  <si>
    <r>
      <rPr>
        <i/>
        <sz val="10"/>
        <color theme="1"/>
        <rFont val="Calibri"/>
        <family val="2"/>
        <scheme val="minor"/>
      </rPr>
      <t>t</t>
    </r>
    <r>
      <rPr>
        <sz val="10"/>
        <color theme="1"/>
        <rFont val="Calibri"/>
        <family val="2"/>
        <scheme val="minor"/>
      </rPr>
      <t xml:space="preserve"> - test value
</t>
    </r>
    <r>
      <rPr>
        <i/>
        <sz val="10"/>
        <color theme="1"/>
        <rFont val="Calibri"/>
        <family val="2"/>
        <scheme val="minor"/>
      </rPr>
      <t>sp</t>
    </r>
    <r>
      <rPr>
        <sz val="10"/>
        <color theme="1"/>
        <rFont val="Calibri"/>
        <family val="2"/>
        <scheme val="minor"/>
      </rPr>
      <t xml:space="preserve"> - spec. Value
</t>
    </r>
    <r>
      <rPr>
        <i/>
        <sz val="10"/>
        <color theme="1"/>
        <rFont val="Calibri"/>
        <family val="2"/>
        <scheme val="minor"/>
      </rPr>
      <t>conv</t>
    </r>
    <r>
      <rPr>
        <sz val="10"/>
        <color theme="1"/>
        <rFont val="Calibri"/>
        <family val="2"/>
        <scheme val="minor"/>
      </rPr>
      <t xml:space="preserve"> - test converted to design conditions</t>
    </r>
  </si>
  <si>
    <t>Garantee</t>
  </si>
  <si>
    <r>
      <t>h</t>
    </r>
    <r>
      <rPr>
        <i/>
        <sz val="11"/>
        <color theme="1"/>
        <rFont val="Calibri Light"/>
        <family val="2"/>
        <scheme val="major"/>
      </rPr>
      <t>t</t>
    </r>
  </si>
  <si>
    <t>Wconv</t>
  </si>
  <si>
    <t>Wt</t>
  </si>
  <si>
    <t>Qconv/Qsp</t>
  </si>
  <si>
    <t>Qconv</t>
  </si>
  <si>
    <t>Hconv</t>
  </si>
  <si>
    <t>Ht</t>
  </si>
  <si>
    <r>
      <rPr>
        <i/>
        <sz val="11"/>
        <color theme="1"/>
        <rFont val="Symbol"/>
        <family val="1"/>
        <charset val="2"/>
      </rPr>
      <t>y</t>
    </r>
    <r>
      <rPr>
        <i/>
        <sz val="11"/>
        <color theme="1"/>
        <rFont val="Calibri"/>
        <family val="2"/>
        <scheme val="minor"/>
      </rPr>
      <t>t</t>
    </r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</si>
  <si>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</t>
    </r>
  </si>
  <si>
    <t>Re_t</t>
  </si>
  <si>
    <t>Mt - Msp</t>
  </si>
  <si>
    <t>Mt</t>
  </si>
  <si>
    <t>Polytropic Eff.</t>
  </si>
  <si>
    <t>Flow conv. (m³/h)</t>
  </si>
  <si>
    <t>Td</t>
  </si>
  <si>
    <t>Pd</t>
  </si>
  <si>
    <t>Ts</t>
  </si>
  <si>
    <t>Ps</t>
  </si>
  <si>
    <t>Qs</t>
  </si>
  <si>
    <t>Ms</t>
  </si>
  <si>
    <t>Suggested points: 
- near surge,
- between surge and guarantee, 
- between stonewall and guarantee,
- stonewall.</t>
  </si>
  <si>
    <t>Polytropic Head</t>
  </si>
  <si>
    <t>Pol. Eff.</t>
  </si>
  <si>
    <t>kJ/kg</t>
  </si>
  <si>
    <r>
      <t xml:space="preserve">Performance curve - </t>
    </r>
    <r>
      <rPr>
        <b/>
        <i/>
        <sz val="10"/>
        <color rgb="FF000000"/>
        <rFont val="Arial"/>
        <family val="2"/>
      </rPr>
      <t>input Section 1</t>
    </r>
  </si>
  <si>
    <r>
      <t xml:space="preserve">Performance curve - </t>
    </r>
    <r>
      <rPr>
        <b/>
        <i/>
        <sz val="10"/>
        <color rgb="FF000000"/>
        <rFont val="Arial"/>
        <family val="2"/>
      </rPr>
      <t>input Section 2</t>
    </r>
  </si>
  <si>
    <r>
      <t xml:space="preserve">SECTION 2 - Tested points - </t>
    </r>
    <r>
      <rPr>
        <b/>
        <i/>
        <sz val="11"/>
        <color theme="1"/>
        <rFont val="Calibri"/>
        <family val="2"/>
        <scheme val="minor"/>
      </rPr>
      <t>Results</t>
    </r>
  </si>
  <si>
    <r>
      <t xml:space="preserve">SECTION 1 - Tested points - </t>
    </r>
    <r>
      <rPr>
        <b/>
        <i/>
        <sz val="11"/>
        <color theme="1"/>
        <rFont val="Calibri"/>
        <family val="2"/>
        <scheme val="minor"/>
      </rPr>
      <t>Results</t>
    </r>
  </si>
  <si>
    <r>
      <t xml:space="preserve">SECTION 1 - 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</si>
  <si>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SECTION 2 - Discharge</t>
  </si>
  <si>
    <t>Qss</t>
  </si>
  <si>
    <t>Mss</t>
  </si>
  <si>
    <t>Tss</t>
  </si>
  <si>
    <t>No</t>
  </si>
  <si>
    <t>Ordenar por:</t>
  </si>
  <si>
    <t>Vazão Seção 1</t>
  </si>
  <si>
    <r>
      <rPr>
        <b/>
        <sz val="11"/>
        <color theme="1"/>
        <rFont val="Calibri"/>
        <family val="2"/>
        <scheme val="minor"/>
      </rPr>
      <t>Qss/Q1d</t>
    </r>
    <r>
      <rPr>
        <sz val="11"/>
        <color theme="1"/>
        <rFont val="Calibri"/>
        <family val="2"/>
        <scheme val="minor"/>
      </rPr>
      <t xml:space="preserve">
</t>
    </r>
    <r>
      <rPr>
        <i/>
        <sz val="11"/>
        <color theme="1"/>
        <rFont val="Calibri"/>
        <family val="2"/>
        <scheme val="minor"/>
      </rPr>
      <t>(Item 3.5.2 PTC-10)</t>
    </r>
  </si>
  <si>
    <t>Status</t>
  </si>
  <si>
    <t>READY!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</si>
</sst>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([$€-2]* #,##0.00_);_([$€-2]* \(#,##0.00\);_([$€-2]* &quot;-&quot;??_)"/>
    <numFmt numFmtId="165" formatCode="0.000"/>
    <numFmt numFmtId="166" formatCode="0.000%"/>
    <numFmt numFmtId="167" formatCode="0.0%"/>
    <numFmt numFmtId="168" formatCode="0.0000"/>
    <numFmt numFmtId="169" formatCode="0.00000"/>
    <numFmt numFmtId="170" formatCode="0.000000"/>
  </numFmts>
  <fonts count="4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"/>
      <family val="2"/>
    </font>
    <font>
      <sz val="7"/>
      <color rgb="FFD9D9D9"/>
      <name val="Arial"/>
      <family val="2"/>
    </font>
    <font>
      <sz val="10"/>
      <color rgb="FFD9D9D9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b/>
      <sz val="16"/>
      <color rgb="FF000000"/>
      <name val="Arial"/>
      <family val="2"/>
    </font>
    <font>
      <b/>
      <sz val="10"/>
      <color rgb="FF000000"/>
      <name val="Arial"/>
      <family val="2"/>
    </font>
    <font>
      <b/>
      <sz val="7"/>
      <color rgb="FF000000"/>
      <name val="Arial"/>
      <family val="2"/>
    </font>
    <font>
      <strike/>
      <sz val="7"/>
      <color rgb="FF000000"/>
      <name val="Arial"/>
      <family val="2"/>
    </font>
    <font>
      <vertAlign val="superscript"/>
      <sz val="7"/>
      <color rgb="FF000000"/>
      <name val="Arial"/>
      <family val="2"/>
    </font>
    <font>
      <vertAlign val="subscript"/>
      <sz val="9"/>
      <color rgb="FF000000"/>
      <name val="Arial"/>
      <family val="2"/>
    </font>
    <font>
      <b/>
      <sz val="6"/>
      <color rgb="FF000000"/>
      <name val="Arial"/>
      <family val="2"/>
    </font>
    <font>
      <sz val="6"/>
      <color rgb="FF000000"/>
      <name val="Arial"/>
      <family val="2"/>
    </font>
    <font>
      <b/>
      <strike/>
      <sz val="7"/>
      <color rgb="FF000000"/>
      <name val="Arial"/>
      <family val="2"/>
    </font>
    <font>
      <sz val="10"/>
      <color rgb="FF000000"/>
      <name val="Calibri"/>
      <family val="2"/>
    </font>
    <font>
      <sz val="7"/>
      <color rgb="FF000000"/>
      <name val="Symbol"/>
      <family val="1"/>
      <charset val="2"/>
    </font>
    <font>
      <b/>
      <sz val="8"/>
      <color rgb="FF000000"/>
      <name val="Tahoma"/>
      <family val="2"/>
    </font>
    <font>
      <sz val="8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i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 Light"/>
      <family val="2"/>
      <scheme val="major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i/>
      <sz val="10"/>
      <color rgb="FF000000"/>
      <name val="Arial"/>
      <family val="2"/>
    </font>
    <font>
      <i/>
      <sz val="10"/>
      <color rgb="FF000000"/>
      <name val="Arial"/>
      <family val="2"/>
    </font>
    <font>
      <sz val="9"/>
      <color rgb="FFD9D9D9"/>
      <name val="Arial"/>
      <family val="2"/>
    </font>
    <font>
      <b/>
      <sz val="18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3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FF0000"/>
        <bgColor indexed="64"/>
      </patternFill>
    </fill>
  </fills>
  <borders count="8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 diagonalDown="1"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 style="thin">
        <color indexed="64"/>
      </diagonal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rgb="FFFF0000"/>
      </top>
      <bottom style="thin">
        <color rgb="FFFF0000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164" fontId="3" fillId="0" borderId="0"/>
    <xf numFmtId="164" fontId="4" fillId="0" borderId="0"/>
    <xf numFmtId="9" fontId="4" fillId="0" borderId="0" applyFont="0" applyFill="0" applyBorder="0" applyAlignment="0" applyProtection="0"/>
  </cellStyleXfs>
  <cellXfs count="617">
    <xf numFmtId="0" fontId="0" fillId="0" borderId="0" xfId="0"/>
    <xf numFmtId="164" fontId="7" fillId="3" borderId="1" xfId="2" applyNumberFormat="1" applyFont="1" applyFill="1" applyBorder="1" applyAlignment="1" applyProtection="1">
      <alignment horizontal="left"/>
    </xf>
    <xf numFmtId="164" fontId="8" fillId="3" borderId="2" xfId="2" applyNumberFormat="1" applyFont="1" applyFill="1" applyBorder="1" applyProtection="1"/>
    <xf numFmtId="164" fontId="8" fillId="3" borderId="3" xfId="2" applyNumberFormat="1" applyFont="1" applyFill="1" applyBorder="1" applyProtection="1"/>
    <xf numFmtId="164" fontId="7" fillId="3" borderId="1" xfId="2" applyNumberFormat="1" applyFont="1" applyFill="1" applyBorder="1" applyProtection="1"/>
    <xf numFmtId="164" fontId="7" fillId="3" borderId="2" xfId="2" applyNumberFormat="1" applyFont="1" applyFill="1" applyBorder="1" applyProtection="1"/>
    <xf numFmtId="164" fontId="7" fillId="3" borderId="2" xfId="2" applyNumberFormat="1" applyFont="1" applyFill="1" applyBorder="1" applyAlignment="1" applyProtection="1">
      <alignment horizontal="left"/>
    </xf>
    <xf numFmtId="164" fontId="7" fillId="3" borderId="4" xfId="2" applyNumberFormat="1" applyFont="1" applyFill="1" applyBorder="1" applyAlignment="1" applyProtection="1">
      <alignment horizontal="center"/>
    </xf>
    <xf numFmtId="164" fontId="7" fillId="3" borderId="2" xfId="2" applyNumberFormat="1" applyFont="1" applyFill="1" applyBorder="1" applyAlignment="1" applyProtection="1"/>
    <xf numFmtId="164" fontId="8" fillId="3" borderId="0" xfId="2" applyNumberFormat="1" applyFont="1" applyFill="1" applyBorder="1" applyProtection="1"/>
    <xf numFmtId="164" fontId="8" fillId="3" borderId="0" xfId="3" applyNumberFormat="1" applyFont="1" applyFill="1" applyBorder="1" applyProtection="1"/>
    <xf numFmtId="164" fontId="9" fillId="3" borderId="0" xfId="2" applyNumberFormat="1" applyFont="1" applyFill="1" applyBorder="1" applyAlignment="1" applyProtection="1">
      <alignment horizontal="left" vertical="top"/>
    </xf>
    <xf numFmtId="164" fontId="7" fillId="3" borderId="0" xfId="2" applyNumberFormat="1" applyFont="1" applyFill="1" applyBorder="1" applyAlignment="1" applyProtection="1">
      <alignment horizontal="left"/>
    </xf>
    <xf numFmtId="164" fontId="7" fillId="3" borderId="0" xfId="2" applyNumberFormat="1" applyFont="1" applyFill="1" applyBorder="1" applyProtection="1"/>
    <xf numFmtId="164" fontId="7" fillId="3" borderId="22" xfId="2" applyNumberFormat="1" applyFont="1" applyFill="1" applyBorder="1" applyAlignment="1" applyProtection="1">
      <alignment horizontal="left"/>
    </xf>
    <xf numFmtId="164" fontId="7" fillId="3" borderId="7" xfId="2" applyNumberFormat="1" applyFont="1" applyFill="1" applyBorder="1" applyAlignment="1" applyProtection="1">
      <alignment horizontal="left"/>
    </xf>
    <xf numFmtId="164" fontId="9" fillId="3" borderId="6" xfId="2" applyNumberFormat="1" applyFont="1" applyFill="1" applyBorder="1" applyAlignment="1" applyProtection="1">
      <alignment horizontal="left"/>
    </xf>
    <xf numFmtId="164" fontId="8" fillId="3" borderId="8" xfId="2" applyNumberFormat="1" applyFont="1" applyFill="1" applyBorder="1" applyProtection="1"/>
    <xf numFmtId="164" fontId="8" fillId="3" borderId="9" xfId="2" applyNumberFormat="1" applyFont="1" applyFill="1" applyBorder="1" applyProtection="1"/>
    <xf numFmtId="164" fontId="8" fillId="3" borderId="10" xfId="2" applyNumberFormat="1" applyFont="1" applyFill="1" applyBorder="1" applyProtection="1"/>
    <xf numFmtId="164" fontId="8" fillId="3" borderId="6" xfId="2" applyNumberFormat="1" applyFont="1" applyFill="1" applyBorder="1" applyProtection="1"/>
    <xf numFmtId="164" fontId="7" fillId="3" borderId="7" xfId="2" applyNumberFormat="1" applyFont="1" applyFill="1" applyBorder="1" applyAlignment="1" applyProtection="1">
      <alignment horizontal="center"/>
    </xf>
    <xf numFmtId="164" fontId="7" fillId="3" borderId="0" xfId="2" applyNumberFormat="1" applyFont="1" applyFill="1" applyBorder="1" applyAlignment="1" applyProtection="1"/>
    <xf numFmtId="164" fontId="7" fillId="3" borderId="22" xfId="2" applyNumberFormat="1" applyFont="1" applyFill="1" applyBorder="1" applyAlignment="1" applyProtection="1"/>
    <xf numFmtId="164" fontId="11" fillId="3" borderId="9" xfId="2" applyNumberFormat="1" applyFont="1" applyFill="1" applyBorder="1" applyAlignment="1" applyProtection="1">
      <alignment horizontal="center" vertical="center"/>
    </xf>
    <xf numFmtId="164" fontId="7" fillId="3" borderId="9" xfId="2" applyNumberFormat="1" applyFont="1" applyFill="1" applyBorder="1" applyProtection="1"/>
    <xf numFmtId="0" fontId="7" fillId="3" borderId="12" xfId="2" applyNumberFormat="1" applyFont="1" applyFill="1" applyBorder="1" applyProtection="1"/>
    <xf numFmtId="164" fontId="11" fillId="3" borderId="2" xfId="2" applyNumberFormat="1" applyFont="1" applyFill="1" applyBorder="1" applyAlignment="1" applyProtection="1">
      <alignment horizontal="center" vertical="center"/>
    </xf>
    <xf numFmtId="164" fontId="7" fillId="3" borderId="2" xfId="2" applyNumberFormat="1" applyFont="1" applyFill="1" applyBorder="1" applyAlignment="1" applyProtection="1">
      <alignment horizontal="center" vertical="center"/>
    </xf>
    <xf numFmtId="164" fontId="7" fillId="3" borderId="3" xfId="2" applyNumberFormat="1" applyFont="1" applyFill="1" applyBorder="1" applyProtection="1"/>
    <xf numFmtId="0" fontId="7" fillId="3" borderId="13" xfId="2" applyNumberFormat="1" applyFont="1" applyFill="1" applyBorder="1" applyProtection="1"/>
    <xf numFmtId="164" fontId="7" fillId="3" borderId="5" xfId="2" applyNumberFormat="1" applyFont="1" applyFill="1" applyBorder="1" applyProtection="1"/>
    <xf numFmtId="164" fontId="7" fillId="3" borderId="0" xfId="2" applyNumberFormat="1" applyFont="1" applyFill="1" applyBorder="1" applyAlignment="1" applyProtection="1">
      <alignment horizontal="center"/>
    </xf>
    <xf numFmtId="164" fontId="7" fillId="3" borderId="6" xfId="2" applyNumberFormat="1" applyFont="1" applyFill="1" applyBorder="1" applyProtection="1"/>
    <xf numFmtId="164" fontId="11" fillId="3" borderId="0" xfId="2" applyNumberFormat="1" applyFont="1" applyFill="1" applyBorder="1" applyAlignment="1" applyProtection="1">
      <alignment horizontal="center" vertical="center"/>
    </xf>
    <xf numFmtId="164" fontId="12" fillId="3" borderId="0" xfId="2" applyNumberFormat="1" applyFont="1" applyFill="1" applyBorder="1" applyProtection="1"/>
    <xf numFmtId="164" fontId="11" fillId="3" borderId="5" xfId="2" applyNumberFormat="1" applyFont="1" applyFill="1" applyBorder="1" applyAlignment="1" applyProtection="1">
      <alignment horizontal="center" vertical="center"/>
    </xf>
    <xf numFmtId="164" fontId="7" fillId="3" borderId="8" xfId="2" applyNumberFormat="1" applyFont="1" applyFill="1" applyBorder="1" applyAlignment="1" applyProtection="1">
      <alignment horizontal="left"/>
    </xf>
    <xf numFmtId="164" fontId="7" fillId="3" borderId="9" xfId="2" applyNumberFormat="1" applyFont="1" applyFill="1" applyBorder="1" applyAlignment="1" applyProtection="1">
      <alignment horizontal="left"/>
    </xf>
    <xf numFmtId="164" fontId="7" fillId="3" borderId="10" xfId="2" applyNumberFormat="1" applyFont="1" applyFill="1" applyBorder="1" applyAlignment="1" applyProtection="1">
      <alignment horizontal="left"/>
    </xf>
    <xf numFmtId="164" fontId="7" fillId="3" borderId="5" xfId="2" applyNumberFormat="1" applyFont="1" applyFill="1" applyBorder="1" applyAlignment="1" applyProtection="1">
      <alignment horizontal="left"/>
    </xf>
    <xf numFmtId="164" fontId="7" fillId="3" borderId="6" xfId="2" applyNumberFormat="1" applyFont="1" applyFill="1" applyBorder="1" applyAlignment="1" applyProtection="1">
      <alignment horizontal="left"/>
    </xf>
    <xf numFmtId="164" fontId="11" fillId="3" borderId="0" xfId="2" applyNumberFormat="1" applyFont="1" applyFill="1" applyBorder="1" applyProtection="1"/>
    <xf numFmtId="0" fontId="7" fillId="3" borderId="0" xfId="2" applyNumberFormat="1" applyFont="1" applyFill="1" applyBorder="1" applyAlignment="1" applyProtection="1">
      <alignment horizontal="left"/>
    </xf>
    <xf numFmtId="164" fontId="7" fillId="3" borderId="15" xfId="2" applyNumberFormat="1" applyFont="1" applyFill="1" applyBorder="1" applyAlignment="1" applyProtection="1">
      <alignment horizontal="left"/>
    </xf>
    <xf numFmtId="164" fontId="7" fillId="3" borderId="14" xfId="2" applyNumberFormat="1" applyFont="1" applyFill="1" applyBorder="1" applyAlignment="1" applyProtection="1">
      <alignment horizontal="left"/>
    </xf>
    <xf numFmtId="164" fontId="7" fillId="3" borderId="16" xfId="2" applyNumberFormat="1" applyFont="1" applyFill="1" applyBorder="1" applyAlignment="1" applyProtection="1">
      <alignment horizontal="left"/>
    </xf>
    <xf numFmtId="164" fontId="6" fillId="3" borderId="0" xfId="2" applyNumberFormat="1" applyFont="1" applyFill="1" applyBorder="1" applyProtection="1"/>
    <xf numFmtId="165" fontId="7" fillId="3" borderId="15" xfId="2" applyNumberFormat="1" applyFont="1" applyFill="1" applyBorder="1" applyAlignment="1" applyProtection="1">
      <alignment horizontal="left"/>
    </xf>
    <xf numFmtId="165" fontId="7" fillId="3" borderId="16" xfId="2" applyNumberFormat="1" applyFont="1" applyFill="1" applyBorder="1" applyAlignment="1" applyProtection="1">
      <alignment horizontal="left"/>
    </xf>
    <xf numFmtId="0" fontId="8" fillId="3" borderId="0" xfId="2" applyNumberFormat="1" applyFont="1" applyFill="1" applyBorder="1" applyProtection="1"/>
    <xf numFmtId="164" fontId="7" fillId="3" borderId="0" xfId="2" quotePrefix="1" applyNumberFormat="1" applyFont="1" applyFill="1" applyBorder="1" applyAlignment="1" applyProtection="1">
      <alignment horizontal="left"/>
    </xf>
    <xf numFmtId="165" fontId="7" fillId="3" borderId="0" xfId="2" applyNumberFormat="1" applyFont="1" applyFill="1" applyBorder="1" applyAlignment="1" applyProtection="1">
      <alignment horizontal="left"/>
    </xf>
    <xf numFmtId="165" fontId="7" fillId="3" borderId="14" xfId="2" applyNumberFormat="1" applyFont="1" applyFill="1" applyBorder="1" applyAlignment="1" applyProtection="1">
      <alignment horizontal="left"/>
    </xf>
    <xf numFmtId="164" fontId="8" fillId="3" borderId="15" xfId="2" applyNumberFormat="1" applyFont="1" applyFill="1" applyBorder="1" applyProtection="1"/>
    <xf numFmtId="165" fontId="7" fillId="3" borderId="9" xfId="2" applyNumberFormat="1" applyFont="1" applyFill="1" applyBorder="1" applyAlignment="1" applyProtection="1">
      <alignment horizontal="left"/>
    </xf>
    <xf numFmtId="165" fontId="7" fillId="3" borderId="10" xfId="2" applyNumberFormat="1" applyFont="1" applyFill="1" applyBorder="1" applyAlignment="1" applyProtection="1">
      <alignment horizontal="left"/>
    </xf>
    <xf numFmtId="164" fontId="7" fillId="3" borderId="3" xfId="2" applyNumberFormat="1" applyFont="1" applyFill="1" applyBorder="1" applyAlignment="1" applyProtection="1">
      <alignment horizontal="left"/>
    </xf>
    <xf numFmtId="164" fontId="12" fillId="3" borderId="9" xfId="2" applyNumberFormat="1" applyFont="1" applyFill="1" applyBorder="1" applyProtection="1"/>
    <xf numFmtId="164" fontId="7" fillId="3" borderId="10" xfId="2" applyNumberFormat="1" applyFont="1" applyFill="1" applyBorder="1" applyProtection="1"/>
    <xf numFmtId="164" fontId="11" fillId="3" borderId="5" xfId="2" applyNumberFormat="1" applyFont="1" applyFill="1" applyBorder="1" applyProtection="1"/>
    <xf numFmtId="164" fontId="15" fillId="3" borderId="7" xfId="2" applyNumberFormat="1" applyFont="1" applyFill="1" applyBorder="1" applyAlignment="1" applyProtection="1">
      <alignment horizontal="left"/>
    </xf>
    <xf numFmtId="164" fontId="16" fillId="3" borderId="7" xfId="2" applyNumberFormat="1" applyFont="1" applyFill="1" applyBorder="1" applyAlignment="1" applyProtection="1">
      <alignment horizontal="left"/>
    </xf>
    <xf numFmtId="0" fontId="7" fillId="3" borderId="2" xfId="3" applyNumberFormat="1" applyFont="1" applyFill="1" applyBorder="1" applyProtection="1"/>
    <xf numFmtId="164" fontId="7" fillId="3" borderId="2" xfId="3" quotePrefix="1" applyNumberFormat="1" applyFont="1" applyFill="1" applyBorder="1" applyAlignment="1" applyProtection="1">
      <alignment horizontal="left"/>
    </xf>
    <xf numFmtId="164" fontId="7" fillId="3" borderId="2" xfId="3" applyNumberFormat="1" applyFont="1" applyFill="1" applyBorder="1" applyProtection="1"/>
    <xf numFmtId="0" fontId="7" fillId="3" borderId="0" xfId="2" applyNumberFormat="1" applyFont="1" applyFill="1" applyBorder="1" applyProtection="1"/>
    <xf numFmtId="0" fontId="8" fillId="3" borderId="1" xfId="3" applyNumberFormat="1" applyFont="1" applyFill="1" applyBorder="1" applyProtection="1"/>
    <xf numFmtId="164" fontId="8" fillId="3" borderId="2" xfId="3" applyNumberFormat="1" applyFont="1" applyFill="1" applyBorder="1" applyProtection="1"/>
    <xf numFmtId="164" fontId="8" fillId="3" borderId="3" xfId="3" applyNumberFormat="1" applyFont="1" applyFill="1" applyBorder="1" applyProtection="1"/>
    <xf numFmtId="164" fontId="7" fillId="3" borderId="1" xfId="3" applyNumberFormat="1" applyFont="1" applyFill="1" applyBorder="1" applyProtection="1"/>
    <xf numFmtId="164" fontId="7" fillId="3" borderId="2" xfId="3" applyNumberFormat="1" applyFont="1" applyFill="1" applyBorder="1" applyAlignment="1" applyProtection="1">
      <alignment horizontal="left"/>
    </xf>
    <xf numFmtId="0" fontId="9" fillId="3" borderId="5" xfId="3" applyNumberFormat="1" applyFont="1" applyFill="1" applyBorder="1" applyAlignment="1" applyProtection="1">
      <alignment horizontal="left" vertical="top"/>
    </xf>
    <xf numFmtId="164" fontId="9" fillId="3" borderId="0" xfId="3" applyNumberFormat="1" applyFont="1" applyFill="1" applyBorder="1" applyAlignment="1" applyProtection="1">
      <alignment horizontal="left" vertical="top"/>
    </xf>
    <xf numFmtId="164" fontId="8" fillId="3" borderId="6" xfId="3" applyNumberFormat="1" applyFont="1" applyFill="1" applyBorder="1" applyProtection="1"/>
    <xf numFmtId="164" fontId="7" fillId="3" borderId="0" xfId="3" applyNumberFormat="1" applyFont="1" applyFill="1" applyBorder="1" applyProtection="1"/>
    <xf numFmtId="164" fontId="7" fillId="3" borderId="0" xfId="3" applyNumberFormat="1" applyFont="1" applyFill="1" applyBorder="1" applyAlignment="1" applyProtection="1">
      <alignment horizontal="left"/>
    </xf>
    <xf numFmtId="164" fontId="9" fillId="3" borderId="6" xfId="3" applyNumberFormat="1" applyFont="1" applyFill="1" applyBorder="1" applyAlignment="1" applyProtection="1">
      <alignment horizontal="left"/>
    </xf>
    <xf numFmtId="0" fontId="8" fillId="3" borderId="8" xfId="3" applyNumberFormat="1" applyFont="1" applyFill="1" applyBorder="1" applyProtection="1"/>
    <xf numFmtId="164" fontId="8" fillId="3" borderId="9" xfId="3" applyNumberFormat="1" applyFont="1" applyFill="1" applyBorder="1" applyProtection="1"/>
    <xf numFmtId="164" fontId="8" fillId="3" borderId="10" xfId="3" applyNumberFormat="1" applyFont="1" applyFill="1" applyBorder="1" applyProtection="1"/>
    <xf numFmtId="164" fontId="7" fillId="3" borderId="0" xfId="3" applyNumberFormat="1" applyFont="1" applyFill="1" applyBorder="1" applyAlignment="1" applyProtection="1"/>
    <xf numFmtId="164" fontId="7" fillId="3" borderId="22" xfId="3" applyNumberFormat="1" applyFont="1" applyFill="1" applyBorder="1" applyAlignment="1" applyProtection="1"/>
    <xf numFmtId="164" fontId="8" fillId="3" borderId="7" xfId="3" applyNumberFormat="1" applyFont="1" applyFill="1" applyBorder="1" applyAlignment="1" applyProtection="1">
      <alignment horizontal="left"/>
    </xf>
    <xf numFmtId="164" fontId="7" fillId="3" borderId="7" xfId="3" applyNumberFormat="1" applyFont="1" applyFill="1" applyBorder="1" applyAlignment="1" applyProtection="1">
      <alignment horizontal="left"/>
    </xf>
    <xf numFmtId="164" fontId="7" fillId="3" borderId="7" xfId="3" applyNumberFormat="1" applyFont="1" applyFill="1" applyBorder="1" applyProtection="1"/>
    <xf numFmtId="164" fontId="7" fillId="3" borderId="10" xfId="3" applyNumberFormat="1" applyFont="1" applyFill="1" applyBorder="1" applyProtection="1"/>
    <xf numFmtId="164" fontId="11" fillId="3" borderId="9" xfId="3" applyNumberFormat="1" applyFont="1" applyFill="1" applyBorder="1" applyAlignment="1" applyProtection="1">
      <alignment horizontal="center" vertical="center"/>
    </xf>
    <xf numFmtId="164" fontId="7" fillId="3" borderId="9" xfId="3" applyNumberFormat="1" applyFont="1" applyFill="1" applyBorder="1" applyProtection="1"/>
    <xf numFmtId="0" fontId="7" fillId="3" borderId="12" xfId="3" applyNumberFormat="1" applyFont="1" applyFill="1" applyBorder="1" applyProtection="1"/>
    <xf numFmtId="0" fontId="7" fillId="3" borderId="13" xfId="3" applyNumberFormat="1" applyFont="1" applyFill="1" applyBorder="1" applyProtection="1"/>
    <xf numFmtId="164" fontId="7" fillId="3" borderId="1" xfId="3" applyNumberFormat="1" applyFont="1" applyFill="1" applyBorder="1" applyAlignment="1" applyProtection="1">
      <alignment horizontal="left"/>
    </xf>
    <xf numFmtId="164" fontId="11" fillId="3" borderId="2" xfId="3" applyNumberFormat="1" applyFont="1" applyFill="1" applyBorder="1" applyAlignment="1" applyProtection="1">
      <alignment horizontal="left"/>
    </xf>
    <xf numFmtId="164" fontId="7" fillId="3" borderId="3" xfId="3" applyNumberFormat="1" applyFont="1" applyFill="1" applyBorder="1" applyAlignment="1" applyProtection="1">
      <alignment horizontal="left"/>
    </xf>
    <xf numFmtId="164" fontId="17" fillId="3" borderId="2" xfId="3" applyNumberFormat="1" applyFont="1" applyFill="1" applyBorder="1" applyAlignment="1" applyProtection="1">
      <alignment horizontal="left"/>
    </xf>
    <xf numFmtId="164" fontId="11" fillId="3" borderId="8" xfId="3" applyNumberFormat="1" applyFont="1" applyFill="1" applyBorder="1" applyAlignment="1" applyProtection="1">
      <alignment horizontal="center" vertical="center"/>
    </xf>
    <xf numFmtId="164" fontId="7" fillId="3" borderId="9" xfId="3" applyNumberFormat="1" applyFont="1" applyFill="1" applyBorder="1" applyAlignment="1" applyProtection="1">
      <alignment horizontal="left"/>
    </xf>
    <xf numFmtId="164" fontId="11" fillId="3" borderId="14" xfId="3" applyNumberFormat="1" applyFont="1" applyFill="1" applyBorder="1" applyAlignment="1" applyProtection="1">
      <alignment horizontal="center" vertical="center"/>
    </xf>
    <xf numFmtId="164" fontId="11" fillId="3" borderId="15" xfId="3" applyNumberFormat="1" applyFont="1" applyFill="1" applyBorder="1" applyAlignment="1" applyProtection="1">
      <alignment horizontal="center" vertical="center"/>
    </xf>
    <xf numFmtId="164" fontId="11" fillId="3" borderId="16" xfId="3" applyNumberFormat="1" applyFont="1" applyFill="1" applyBorder="1" applyAlignment="1" applyProtection="1">
      <alignment horizontal="center" vertical="center"/>
    </xf>
    <xf numFmtId="164" fontId="7" fillId="3" borderId="10" xfId="3" applyNumberFormat="1" applyFont="1" applyFill="1" applyBorder="1" applyAlignment="1" applyProtection="1">
      <alignment horizontal="left"/>
    </xf>
    <xf numFmtId="164" fontId="7" fillId="3" borderId="8" xfId="3" applyNumberFormat="1" applyFont="1" applyFill="1" applyBorder="1" applyAlignment="1" applyProtection="1">
      <alignment horizontal="left"/>
    </xf>
    <xf numFmtId="164" fontId="7" fillId="3" borderId="9" xfId="3" applyNumberFormat="1" applyFont="1" applyFill="1" applyBorder="1" applyAlignment="1" applyProtection="1">
      <alignment horizontal="center" vertical="center"/>
    </xf>
    <xf numFmtId="164" fontId="7" fillId="3" borderId="8" xfId="3" applyNumberFormat="1" applyFont="1" applyFill="1" applyBorder="1" applyAlignment="1" applyProtection="1">
      <alignment horizontal="center" vertical="center"/>
    </xf>
    <xf numFmtId="164" fontId="7" fillId="3" borderId="10" xfId="3" applyNumberFormat="1" applyFont="1" applyFill="1" applyBorder="1" applyAlignment="1" applyProtection="1">
      <alignment horizontal="center" vertical="center"/>
    </xf>
    <xf numFmtId="164" fontId="7" fillId="3" borderId="15" xfId="3" applyNumberFormat="1" applyFont="1" applyFill="1" applyBorder="1" applyAlignment="1" applyProtection="1">
      <alignment horizontal="center" vertical="center"/>
    </xf>
    <xf numFmtId="164" fontId="7" fillId="3" borderId="16" xfId="3" applyNumberFormat="1" applyFont="1" applyFill="1" applyBorder="1" applyAlignment="1" applyProtection="1">
      <alignment horizontal="center" vertical="center"/>
    </xf>
    <xf numFmtId="164" fontId="7" fillId="3" borderId="14" xfId="3" applyNumberFormat="1" applyFont="1" applyFill="1" applyBorder="1" applyAlignment="1" applyProtection="1">
      <alignment horizontal="center" vertical="center"/>
    </xf>
    <xf numFmtId="164" fontId="8" fillId="3" borderId="5" xfId="3" applyNumberFormat="1" applyFont="1" applyFill="1" applyBorder="1" applyAlignment="1" applyProtection="1">
      <alignment vertical="center" textRotation="255" wrapText="1"/>
    </xf>
    <xf numFmtId="164" fontId="18" fillId="3" borderId="0" xfId="3" applyNumberFormat="1" applyFont="1" applyFill="1" applyBorder="1" applyProtection="1"/>
    <xf numFmtId="164" fontId="18" fillId="3" borderId="0" xfId="2" applyNumberFormat="1" applyFont="1" applyFill="1" applyBorder="1" applyProtection="1"/>
    <xf numFmtId="164" fontId="7" fillId="3" borderId="8" xfId="3" quotePrefix="1" applyNumberFormat="1" applyFont="1" applyFill="1" applyBorder="1" applyAlignment="1" applyProtection="1">
      <alignment horizontal="left"/>
    </xf>
    <xf numFmtId="164" fontId="7" fillId="3" borderId="9" xfId="3" quotePrefix="1" applyNumberFormat="1" applyFont="1" applyFill="1" applyBorder="1" applyAlignment="1" applyProtection="1">
      <alignment horizontal="left"/>
    </xf>
    <xf numFmtId="164" fontId="11" fillId="3" borderId="9" xfId="3" applyNumberFormat="1" applyFont="1" applyFill="1" applyBorder="1" applyAlignment="1" applyProtection="1">
      <alignment horizontal="left"/>
    </xf>
    <xf numFmtId="164" fontId="11" fillId="3" borderId="0" xfId="3" applyNumberFormat="1" applyFont="1" applyFill="1" applyBorder="1" applyAlignment="1" applyProtection="1">
      <alignment horizontal="left"/>
    </xf>
    <xf numFmtId="164" fontId="11" fillId="3" borderId="0" xfId="3" applyNumberFormat="1" applyFont="1" applyFill="1" applyBorder="1" applyProtection="1"/>
    <xf numFmtId="164" fontId="5" fillId="3" borderId="0" xfId="3" applyNumberFormat="1" applyFont="1" applyFill="1" applyBorder="1" applyAlignment="1" applyProtection="1">
      <alignment horizontal="left" vertical="center"/>
    </xf>
    <xf numFmtId="164" fontId="5" fillId="3" borderId="0" xfId="3" applyNumberFormat="1" applyFont="1" applyFill="1" applyBorder="1" applyProtection="1"/>
    <xf numFmtId="164" fontId="7" fillId="3" borderId="6" xfId="3" applyNumberFormat="1" applyFont="1" applyFill="1" applyBorder="1" applyProtection="1"/>
    <xf numFmtId="164" fontId="11" fillId="3" borderId="0" xfId="3" applyNumberFormat="1" applyFont="1" applyFill="1" applyBorder="1" applyAlignment="1" applyProtection="1">
      <alignment horizontal="center" vertical="center"/>
    </xf>
    <xf numFmtId="164" fontId="7" fillId="3" borderId="0" xfId="3" applyNumberFormat="1" applyFont="1" applyFill="1" applyBorder="1" applyAlignment="1" applyProtection="1">
      <alignment horizontal="left" vertical="center"/>
    </xf>
    <xf numFmtId="164" fontId="7" fillId="3" borderId="6" xfId="3" applyNumberFormat="1" applyFont="1" applyFill="1" applyBorder="1" applyAlignment="1" applyProtection="1">
      <alignment horizontal="left" vertical="center"/>
    </xf>
    <xf numFmtId="164" fontId="7" fillId="3" borderId="6" xfId="3" applyNumberFormat="1" applyFont="1" applyFill="1" applyBorder="1" applyAlignment="1" applyProtection="1">
      <alignment horizontal="left"/>
    </xf>
    <xf numFmtId="164" fontId="7" fillId="3" borderId="0" xfId="3" applyNumberFormat="1" applyFont="1" applyFill="1" applyBorder="1" applyAlignment="1" applyProtection="1">
      <alignment horizontal="center" vertical="center"/>
    </xf>
    <xf numFmtId="164" fontId="12" fillId="3" borderId="0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Protection="1"/>
    <xf numFmtId="164" fontId="17" fillId="3" borderId="0" xfId="3" applyNumberFormat="1" applyFont="1" applyFill="1" applyBorder="1" applyAlignment="1" applyProtection="1">
      <alignment horizontal="center" vertical="center"/>
    </xf>
    <xf numFmtId="164" fontId="16" fillId="3" borderId="0" xfId="2" applyNumberFormat="1" applyFont="1" applyFill="1" applyBorder="1" applyProtection="1"/>
    <xf numFmtId="164" fontId="11" fillId="3" borderId="7" xfId="3" applyNumberFormat="1" applyFont="1" applyFill="1" applyBorder="1" applyAlignment="1" applyProtection="1">
      <alignment horizontal="center" vertical="center"/>
    </xf>
    <xf numFmtId="164" fontId="11" fillId="3" borderId="5" xfId="3" applyNumberFormat="1" applyFont="1" applyFill="1" applyBorder="1" applyAlignment="1" applyProtection="1">
      <alignment horizontal="left"/>
    </xf>
    <xf numFmtId="164" fontId="7" fillId="3" borderId="0" xfId="3" quotePrefix="1" applyNumberFormat="1" applyFont="1" applyFill="1" applyBorder="1" applyAlignment="1" applyProtection="1">
      <alignment horizontal="left"/>
    </xf>
    <xf numFmtId="0" fontId="7" fillId="3" borderId="0" xfId="3" applyNumberFormat="1" applyFont="1" applyFill="1" applyBorder="1" applyProtection="1"/>
    <xf numFmtId="0" fontId="8" fillId="3" borderId="1" xfId="0" applyNumberFormat="1" applyFont="1" applyFill="1" applyBorder="1" applyProtection="1"/>
    <xf numFmtId="164" fontId="8" fillId="3" borderId="2" xfId="0" applyNumberFormat="1" applyFont="1" applyFill="1" applyBorder="1" applyProtection="1"/>
    <xf numFmtId="164" fontId="7" fillId="3" borderId="0" xfId="0" applyNumberFormat="1" applyFont="1" applyFill="1" applyBorder="1" applyAlignment="1" applyProtection="1">
      <alignment horizontal="left"/>
    </xf>
    <xf numFmtId="164" fontId="8" fillId="3" borderId="3" xfId="0" applyNumberFormat="1" applyFont="1" applyFill="1" applyBorder="1" applyProtection="1"/>
    <xf numFmtId="164" fontId="7" fillId="3" borderId="2" xfId="0" applyNumberFormat="1" applyFont="1" applyFill="1" applyBorder="1" applyProtection="1"/>
    <xf numFmtId="164" fontId="7" fillId="3" borderId="2" xfId="0" applyNumberFormat="1" applyFont="1" applyFill="1" applyBorder="1" applyAlignment="1" applyProtection="1">
      <alignment horizontal="left"/>
    </xf>
    <xf numFmtId="164" fontId="8" fillId="3" borderId="0" xfId="0" applyNumberFormat="1" applyFont="1" applyFill="1" applyBorder="1" applyProtection="1"/>
    <xf numFmtId="0" fontId="9" fillId="3" borderId="5" xfId="0" applyNumberFormat="1" applyFont="1" applyFill="1" applyBorder="1" applyAlignment="1" applyProtection="1">
      <alignment horizontal="left" vertical="top"/>
    </xf>
    <xf numFmtId="164" fontId="9" fillId="3" borderId="0" xfId="0" applyNumberFormat="1" applyFont="1" applyFill="1" applyBorder="1" applyAlignment="1" applyProtection="1">
      <alignment horizontal="left" vertical="top"/>
    </xf>
    <xf numFmtId="164" fontId="8" fillId="3" borderId="6" xfId="0" applyNumberFormat="1" applyFont="1" applyFill="1" applyBorder="1" applyProtection="1"/>
    <xf numFmtId="164" fontId="7" fillId="3" borderId="0" xfId="0" applyNumberFormat="1" applyFont="1" applyFill="1" applyBorder="1" applyProtection="1"/>
    <xf numFmtId="0" fontId="8" fillId="3" borderId="8" xfId="0" applyNumberFormat="1" applyFont="1" applyFill="1" applyBorder="1" applyProtection="1"/>
    <xf numFmtId="164" fontId="8" fillId="3" borderId="9" xfId="0" applyNumberFormat="1" applyFont="1" applyFill="1" applyBorder="1" applyProtection="1"/>
    <xf numFmtId="164" fontId="8" fillId="3" borderId="10" xfId="0" applyNumberFormat="1" applyFont="1" applyFill="1" applyBorder="1" applyProtection="1"/>
    <xf numFmtId="164" fontId="7" fillId="3" borderId="0" xfId="0" applyNumberFormat="1" applyFont="1" applyFill="1" applyBorder="1" applyAlignment="1" applyProtection="1"/>
    <xf numFmtId="164" fontId="7" fillId="3" borderId="22" xfId="0" applyNumberFormat="1" applyFont="1" applyFill="1" applyBorder="1" applyAlignment="1" applyProtection="1"/>
    <xf numFmtId="164" fontId="8" fillId="3" borderId="7" xfId="0" applyNumberFormat="1" applyFont="1" applyFill="1" applyBorder="1" applyAlignment="1" applyProtection="1">
      <alignment horizontal="left"/>
    </xf>
    <xf numFmtId="164" fontId="7" fillId="3" borderId="7" xfId="0" applyNumberFormat="1" applyFont="1" applyFill="1" applyBorder="1" applyAlignment="1" applyProtection="1">
      <alignment horizontal="left"/>
    </xf>
    <xf numFmtId="164" fontId="7" fillId="3" borderId="7" xfId="0" applyNumberFormat="1" applyFont="1" applyFill="1" applyBorder="1" applyProtection="1"/>
    <xf numFmtId="164" fontId="7" fillId="3" borderId="10" xfId="0" applyNumberFormat="1" applyFont="1" applyFill="1" applyBorder="1" applyProtection="1"/>
    <xf numFmtId="164" fontId="8" fillId="3" borderId="0" xfId="0" applyNumberFormat="1" applyFont="1" applyFill="1" applyBorder="1" applyAlignment="1" applyProtection="1">
      <alignment horizontal="left"/>
    </xf>
    <xf numFmtId="0" fontId="7" fillId="3" borderId="12" xfId="0" applyNumberFormat="1" applyFont="1" applyFill="1" applyBorder="1" applyProtection="1"/>
    <xf numFmtId="164" fontId="7" fillId="3" borderId="9" xfId="0" applyNumberFormat="1" applyFont="1" applyFill="1" applyBorder="1" applyAlignment="1" applyProtection="1">
      <alignment horizontal="left"/>
    </xf>
    <xf numFmtId="0" fontId="7" fillId="3" borderId="13" xfId="0" applyNumberFormat="1" applyFont="1" applyFill="1" applyBorder="1" applyProtection="1"/>
    <xf numFmtId="164" fontId="11" fillId="3" borderId="5" xfId="0" applyNumberFormat="1" applyFont="1" applyFill="1" applyBorder="1" applyAlignment="1" applyProtection="1">
      <alignment horizontal="center" vertical="center"/>
    </xf>
    <xf numFmtId="164" fontId="11" fillId="3" borderId="0" xfId="0" applyNumberFormat="1" applyFont="1" applyFill="1" applyBorder="1" applyAlignment="1" applyProtection="1">
      <alignment horizontal="left"/>
    </xf>
    <xf numFmtId="164" fontId="7" fillId="3" borderId="6" xfId="0" applyNumberFormat="1" applyFont="1" applyFill="1" applyBorder="1" applyAlignment="1" applyProtection="1">
      <alignment horizontal="left"/>
    </xf>
    <xf numFmtId="164" fontId="11" fillId="3" borderId="0" xfId="0" applyNumberFormat="1" applyFont="1" applyFill="1" applyBorder="1" applyAlignment="1" applyProtection="1">
      <alignment horizontal="center" vertical="center"/>
    </xf>
    <xf numFmtId="164" fontId="7" fillId="3" borderId="5" xfId="0" applyNumberFormat="1" applyFont="1" applyFill="1" applyBorder="1" applyAlignment="1" applyProtection="1">
      <alignment horizontal="left"/>
    </xf>
    <xf numFmtId="0" fontId="7" fillId="3" borderId="7" xfId="0" applyNumberFormat="1" applyFont="1" applyFill="1" applyBorder="1" applyAlignment="1" applyProtection="1">
      <alignment horizontal="left"/>
    </xf>
    <xf numFmtId="0" fontId="7" fillId="3" borderId="6" xfId="0" applyNumberFormat="1" applyFont="1" applyFill="1" applyBorder="1" applyAlignment="1" applyProtection="1">
      <alignment horizontal="left"/>
    </xf>
    <xf numFmtId="0" fontId="7" fillId="3" borderId="0" xfId="0" applyNumberFormat="1" applyFont="1" applyFill="1" applyBorder="1" applyAlignment="1" applyProtection="1">
      <alignment horizontal="left"/>
    </xf>
    <xf numFmtId="0" fontId="8" fillId="3" borderId="0" xfId="0" applyNumberFormat="1" applyFont="1" applyFill="1" applyBorder="1" applyProtection="1"/>
    <xf numFmtId="0" fontId="7" fillId="3" borderId="0" xfId="0" applyNumberFormat="1" applyFont="1" applyFill="1" applyBorder="1" applyProtection="1"/>
    <xf numFmtId="164" fontId="19" fillId="3" borderId="0" xfId="0" applyNumberFormat="1" applyFont="1" applyFill="1" applyBorder="1" applyAlignment="1" applyProtection="1">
      <alignment horizontal="left"/>
    </xf>
    <xf numFmtId="164" fontId="11" fillId="3" borderId="8" xfId="0" applyNumberFormat="1" applyFont="1" applyFill="1" applyBorder="1" applyAlignment="1" applyProtection="1">
      <alignment horizontal="center" vertical="center"/>
    </xf>
    <xf numFmtId="164" fontId="7" fillId="3" borderId="10" xfId="0" applyNumberFormat="1" applyFont="1" applyFill="1" applyBorder="1" applyAlignment="1" applyProtection="1">
      <alignment horizontal="left"/>
    </xf>
    <xf numFmtId="164" fontId="11" fillId="3" borderId="14" xfId="0" applyNumberFormat="1" applyFont="1" applyFill="1" applyBorder="1" applyAlignment="1" applyProtection="1">
      <alignment horizontal="center" vertical="center"/>
    </xf>
    <xf numFmtId="164" fontId="11" fillId="3" borderId="15" xfId="0" applyNumberFormat="1" applyFont="1" applyFill="1" applyBorder="1" applyAlignment="1" applyProtection="1">
      <alignment horizontal="left" vertical="center"/>
    </xf>
    <xf numFmtId="164" fontId="7" fillId="3" borderId="15" xfId="0" applyNumberFormat="1" applyFont="1" applyFill="1" applyBorder="1" applyAlignment="1" applyProtection="1">
      <alignment horizontal="left"/>
    </xf>
    <xf numFmtId="164" fontId="7" fillId="3" borderId="15" xfId="0" applyNumberFormat="1" applyFont="1" applyFill="1" applyBorder="1" applyAlignment="1" applyProtection="1">
      <alignment horizontal="center" vertical="center"/>
    </xf>
    <xf numFmtId="164" fontId="11" fillId="3" borderId="15" xfId="0" applyNumberFormat="1" applyFont="1" applyFill="1" applyBorder="1" applyAlignment="1" applyProtection="1">
      <alignment horizontal="center" vertical="center"/>
    </xf>
    <xf numFmtId="164" fontId="11" fillId="3" borderId="16" xfId="0" applyNumberFormat="1" applyFont="1" applyFill="1" applyBorder="1" applyAlignment="1" applyProtection="1">
      <alignment horizontal="left"/>
    </xf>
    <xf numFmtId="0" fontId="11" fillId="3" borderId="0" xfId="0" applyNumberFormat="1" applyFont="1" applyFill="1" applyBorder="1" applyAlignment="1" applyProtection="1">
      <alignment horizontal="center" vertical="center"/>
    </xf>
    <xf numFmtId="0" fontId="7" fillId="3" borderId="0" xfId="0" quotePrefix="1" applyNumberFormat="1" applyFont="1" applyFill="1" applyBorder="1" applyAlignment="1" applyProtection="1">
      <alignment horizontal="left"/>
    </xf>
    <xf numFmtId="164" fontId="7" fillId="3" borderId="8" xfId="0" applyNumberFormat="1" applyFont="1" applyFill="1" applyBorder="1" applyAlignment="1" applyProtection="1">
      <alignment horizontal="left"/>
    </xf>
    <xf numFmtId="164" fontId="11" fillId="3" borderId="9" xfId="0" applyNumberFormat="1" applyFont="1" applyFill="1" applyBorder="1" applyAlignment="1" applyProtection="1">
      <alignment horizontal="center" vertical="center"/>
    </xf>
    <xf numFmtId="164" fontId="7" fillId="3" borderId="0" xfId="0" quotePrefix="1" applyNumberFormat="1" applyFont="1" applyFill="1" applyBorder="1" applyAlignment="1" applyProtection="1">
      <alignment horizontal="left"/>
    </xf>
    <xf numFmtId="164" fontId="7" fillId="3" borderId="0" xfId="0" applyNumberFormat="1" applyFont="1" applyFill="1" applyBorder="1" applyAlignment="1" applyProtection="1">
      <alignment horizontal="center"/>
    </xf>
    <xf numFmtId="164" fontId="11" fillId="3" borderId="0" xfId="0" applyNumberFormat="1" applyFont="1" applyFill="1" applyBorder="1" applyAlignment="1" applyProtection="1">
      <alignment vertical="center"/>
    </xf>
    <xf numFmtId="0" fontId="7" fillId="3" borderId="6" xfId="0" applyNumberFormat="1" applyFont="1" applyFill="1" applyBorder="1" applyProtection="1"/>
    <xf numFmtId="0" fontId="7" fillId="3" borderId="10" xfId="0" applyNumberFormat="1" applyFont="1" applyFill="1" applyBorder="1" applyProtection="1"/>
    <xf numFmtId="164" fontId="7" fillId="3" borderId="9" xfId="0" applyNumberFormat="1" applyFont="1" applyFill="1" applyBorder="1" applyProtection="1"/>
    <xf numFmtId="164" fontId="9" fillId="3" borderId="5" xfId="2" applyNumberFormat="1" applyFont="1" applyFill="1" applyBorder="1" applyAlignment="1" applyProtection="1">
      <alignment horizontal="center"/>
    </xf>
    <xf numFmtId="164" fontId="8" fillId="3" borderId="0" xfId="2" applyNumberFormat="1" applyFont="1" applyFill="1" applyBorder="1" applyAlignment="1" applyProtection="1">
      <alignment horizontal="center"/>
    </xf>
    <xf numFmtId="164" fontId="8" fillId="3" borderId="6" xfId="2" applyNumberFormat="1" applyFont="1" applyFill="1" applyBorder="1" applyAlignment="1" applyProtection="1">
      <alignment horizontal="center"/>
    </xf>
    <xf numFmtId="164" fontId="10" fillId="3" borderId="1" xfId="2" applyNumberFormat="1" applyFont="1" applyFill="1" applyBorder="1" applyAlignment="1" applyProtection="1">
      <alignment horizontal="center"/>
    </xf>
    <xf numFmtId="164" fontId="8" fillId="3" borderId="2" xfId="2" applyNumberFormat="1" applyFont="1" applyFill="1" applyBorder="1" applyAlignment="1" applyProtection="1">
      <alignment horizontal="center"/>
    </xf>
    <xf numFmtId="164" fontId="10" fillId="3" borderId="5" xfId="2" applyNumberFormat="1" applyFont="1" applyFill="1" applyBorder="1" applyAlignment="1" applyProtection="1">
      <alignment horizontal="center"/>
    </xf>
    <xf numFmtId="164" fontId="7" fillId="3" borderId="22" xfId="2" applyNumberFormat="1" applyFont="1" applyFill="1" applyBorder="1" applyAlignment="1" applyProtection="1">
      <alignment horizontal="center"/>
    </xf>
    <xf numFmtId="164" fontId="8" fillId="3" borderId="9" xfId="2" applyNumberFormat="1" applyFont="1" applyFill="1" applyBorder="1" applyAlignment="1" applyProtection="1">
      <alignment horizontal="center"/>
    </xf>
    <xf numFmtId="164" fontId="8" fillId="3" borderId="10" xfId="2" applyNumberFormat="1" applyFont="1" applyFill="1" applyBorder="1" applyAlignment="1" applyProtection="1">
      <alignment horizontal="center"/>
    </xf>
    <xf numFmtId="164" fontId="7" fillId="3" borderId="5" xfId="2" applyNumberFormat="1" applyFont="1" applyFill="1" applyBorder="1" applyAlignment="1" applyProtection="1">
      <alignment horizontal="center" vertical="top"/>
    </xf>
    <xf numFmtId="164" fontId="7" fillId="3" borderId="0" xfId="2" applyNumberFormat="1" applyFont="1" applyFill="1" applyBorder="1" applyAlignment="1" applyProtection="1">
      <alignment horizontal="center" vertical="top"/>
    </xf>
    <xf numFmtId="164" fontId="8" fillId="3" borderId="0" xfId="3" applyNumberFormat="1" applyFont="1" applyFill="1" applyBorder="1" applyAlignment="1" applyProtection="1">
      <alignment horizontal="center"/>
    </xf>
    <xf numFmtId="164" fontId="7" fillId="3" borderId="7" xfId="3" applyNumberFormat="1" applyFont="1" applyFill="1" applyBorder="1" applyAlignment="1" applyProtection="1">
      <alignment horizontal="center"/>
    </xf>
    <xf numFmtId="0" fontId="10" fillId="3" borderId="1" xfId="3" applyNumberFormat="1" applyFont="1" applyFill="1" applyBorder="1" applyAlignment="1" applyProtection="1">
      <alignment horizontal="center"/>
    </xf>
    <xf numFmtId="0" fontId="10" fillId="3" borderId="5" xfId="3" applyNumberFormat="1" applyFont="1" applyFill="1" applyBorder="1" applyAlignment="1" applyProtection="1">
      <alignment horizontal="center"/>
    </xf>
    <xf numFmtId="164" fontId="7" fillId="3" borderId="22" xfId="3" applyNumberFormat="1" applyFont="1" applyFill="1" applyBorder="1" applyAlignment="1" applyProtection="1">
      <alignment horizontal="center"/>
    </xf>
    <xf numFmtId="164" fontId="7" fillId="3" borderId="0" xfId="3" applyNumberFormat="1" applyFont="1" applyFill="1" applyBorder="1" applyAlignment="1" applyProtection="1">
      <alignment horizontal="center"/>
    </xf>
    <xf numFmtId="164" fontId="8" fillId="3" borderId="9" xfId="3" applyNumberFormat="1" applyFont="1" applyFill="1" applyBorder="1" applyAlignment="1" applyProtection="1">
      <alignment horizontal="center"/>
    </xf>
    <xf numFmtId="164" fontId="11" fillId="3" borderId="2" xfId="3" applyNumberFormat="1" applyFont="1" applyFill="1" applyBorder="1" applyAlignment="1" applyProtection="1">
      <alignment horizontal="center" vertical="center"/>
    </xf>
    <xf numFmtId="164" fontId="7" fillId="3" borderId="2" xfId="3" applyNumberFormat="1" applyFont="1" applyFill="1" applyBorder="1" applyAlignment="1" applyProtection="1">
      <alignment horizontal="center" vertical="center"/>
    </xf>
    <xf numFmtId="164" fontId="11" fillId="3" borderId="8" xfId="3" applyNumberFormat="1" applyFont="1" applyFill="1" applyBorder="1" applyAlignment="1" applyProtection="1">
      <alignment horizontal="center"/>
    </xf>
    <xf numFmtId="164" fontId="7" fillId="3" borderId="9" xfId="3" applyNumberFormat="1" applyFont="1" applyFill="1" applyBorder="1" applyAlignment="1" applyProtection="1">
      <alignment horizontal="center"/>
    </xf>
    <xf numFmtId="164" fontId="7" fillId="3" borderId="10" xfId="3" applyNumberFormat="1" applyFont="1" applyFill="1" applyBorder="1" applyAlignment="1" applyProtection="1">
      <alignment horizontal="center"/>
    </xf>
    <xf numFmtId="164" fontId="7" fillId="3" borderId="14" xfId="3" applyNumberFormat="1" applyFont="1" applyFill="1" applyBorder="1" applyAlignment="1" applyProtection="1">
      <alignment horizontal="left" vertical="center"/>
    </xf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1" fontId="7" fillId="3" borderId="8" xfId="3" applyNumberFormat="1" applyFont="1" applyFill="1" applyBorder="1" applyAlignment="1" applyProtection="1">
      <alignment horizontal="center"/>
    </xf>
    <xf numFmtId="1" fontId="7" fillId="3" borderId="9" xfId="3" applyNumberFormat="1" applyFont="1" applyFill="1" applyBorder="1" applyAlignment="1" applyProtection="1">
      <alignment horizontal="center"/>
    </xf>
    <xf numFmtId="164" fontId="7" fillId="3" borderId="6" xfId="3" applyNumberFormat="1" applyFont="1" applyFill="1" applyBorder="1" applyAlignment="1" applyProtection="1">
      <alignment horizontal="center" vertical="center"/>
    </xf>
    <xf numFmtId="164" fontId="8" fillId="3" borderId="0" xfId="0" applyNumberFormat="1" applyFont="1" applyFill="1" applyBorder="1" applyAlignment="1" applyProtection="1">
      <alignment horizontal="center"/>
    </xf>
    <xf numFmtId="164" fontId="7" fillId="3" borderId="7" xfId="0" applyNumberFormat="1" applyFont="1" applyFill="1" applyBorder="1" applyAlignment="1" applyProtection="1">
      <alignment horizontal="center"/>
    </xf>
    <xf numFmtId="0" fontId="10" fillId="3" borderId="1" xfId="0" applyNumberFormat="1" applyFont="1" applyFill="1" applyBorder="1" applyAlignment="1" applyProtection="1">
      <alignment horizontal="center"/>
    </xf>
    <xf numFmtId="0" fontId="10" fillId="3" borderId="5" xfId="0" applyNumberFormat="1" applyFont="1" applyFill="1" applyBorder="1" applyAlignment="1" applyProtection="1">
      <alignment horizontal="center"/>
    </xf>
    <xf numFmtId="164" fontId="7" fillId="3" borderId="22" xfId="0" applyNumberFormat="1" applyFont="1" applyFill="1" applyBorder="1" applyAlignment="1" applyProtection="1">
      <alignment horizontal="center"/>
    </xf>
    <xf numFmtId="164" fontId="8" fillId="3" borderId="9" xfId="0" applyNumberFormat="1" applyFont="1" applyFill="1" applyBorder="1" applyAlignment="1" applyProtection="1">
      <alignment horizontal="center"/>
    </xf>
    <xf numFmtId="164" fontId="7" fillId="3" borderId="9" xfId="0" applyNumberFormat="1" applyFont="1" applyFill="1" applyBorder="1" applyAlignment="1" applyProtection="1">
      <alignment horizontal="center"/>
    </xf>
    <xf numFmtId="164" fontId="8" fillId="3" borderId="15" xfId="0" applyNumberFormat="1" applyFont="1" applyFill="1" applyBorder="1" applyAlignment="1" applyProtection="1">
      <alignment horizontal="center"/>
    </xf>
    <xf numFmtId="164" fontId="7" fillId="3" borderId="1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9" fontId="21" fillId="3" borderId="23" xfId="1" applyFont="1" applyFill="1" applyBorder="1" applyAlignment="1" applyProtection="1">
      <alignment horizontal="center" vertical="center"/>
    </xf>
    <xf numFmtId="9" fontId="23" fillId="3" borderId="23" xfId="1" applyFont="1" applyFill="1" applyBorder="1" applyAlignment="1" applyProtection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0" borderId="0" xfId="0" applyFont="1" applyAlignment="1"/>
    <xf numFmtId="9" fontId="0" fillId="0" borderId="0" xfId="1" applyFont="1"/>
    <xf numFmtId="0" fontId="0" fillId="5" borderId="28" xfId="0" applyFill="1" applyBorder="1"/>
    <xf numFmtId="0" fontId="0" fillId="0" borderId="29" xfId="0" applyBorder="1"/>
    <xf numFmtId="0" fontId="0" fillId="0" borderId="28" xfId="0" applyBorder="1"/>
    <xf numFmtId="0" fontId="0" fillId="0" borderId="31" xfId="0" applyBorder="1"/>
    <xf numFmtId="0" fontId="0" fillId="6" borderId="31" xfId="0" applyFill="1" applyBorder="1"/>
    <xf numFmtId="0" fontId="8" fillId="9" borderId="27" xfId="2" applyNumberFormat="1" applyFont="1" applyFill="1" applyBorder="1" applyProtection="1"/>
    <xf numFmtId="167" fontId="8" fillId="9" borderId="27" xfId="1" applyNumberFormat="1" applyFont="1" applyFill="1" applyBorder="1" applyProtection="1"/>
    <xf numFmtId="0" fontId="8" fillId="7" borderId="27" xfId="2" applyNumberFormat="1" applyFont="1" applyFill="1" applyBorder="1" applyProtection="1"/>
    <xf numFmtId="165" fontId="8" fillId="9" borderId="29" xfId="2" applyNumberFormat="1" applyFont="1" applyFill="1" applyBorder="1" applyProtection="1"/>
    <xf numFmtId="169" fontId="8" fillId="9" borderId="27" xfId="2" applyNumberFormat="1" applyFont="1" applyFill="1" applyBorder="1" applyProtection="1"/>
    <xf numFmtId="169" fontId="8" fillId="9" borderId="36" xfId="2" applyNumberFormat="1" applyFont="1" applyFill="1" applyBorder="1" applyProtection="1"/>
    <xf numFmtId="0" fontId="26" fillId="12" borderId="26" xfId="0" applyFont="1" applyFill="1" applyBorder="1" applyAlignment="1">
      <alignment horizontal="center" vertical="center"/>
    </xf>
    <xf numFmtId="0" fontId="26" fillId="12" borderId="27" xfId="0" applyFont="1" applyFill="1" applyBorder="1" applyAlignment="1">
      <alignment horizontal="center" vertical="center"/>
    </xf>
    <xf numFmtId="0" fontId="26" fillId="12" borderId="23" xfId="0" applyFont="1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13" borderId="0" xfId="0" applyFill="1"/>
    <xf numFmtId="0" fontId="0" fillId="13" borderId="62" xfId="0" applyFill="1" applyBorder="1"/>
    <xf numFmtId="0" fontId="0" fillId="13" borderId="63" xfId="0" applyFill="1" applyBorder="1"/>
    <xf numFmtId="0" fontId="10" fillId="9" borderId="66" xfId="2" applyNumberFormat="1" applyFont="1" applyFill="1" applyBorder="1" applyAlignment="1" applyProtection="1">
      <alignment horizontal="center" vertical="center"/>
    </xf>
    <xf numFmtId="0" fontId="28" fillId="14" borderId="24" xfId="0" applyFont="1" applyFill="1" applyBorder="1" applyAlignment="1">
      <alignment horizontal="center" vertical="center"/>
    </xf>
    <xf numFmtId="0" fontId="26" fillId="14" borderId="25" xfId="0" applyFont="1" applyFill="1" applyBorder="1" applyAlignment="1">
      <alignment horizontal="center" vertical="center"/>
    </xf>
    <xf numFmtId="0" fontId="26" fillId="14" borderId="24" xfId="0" applyFont="1" applyFill="1" applyBorder="1" applyAlignment="1">
      <alignment horizontal="center" vertical="center"/>
    </xf>
    <xf numFmtId="0" fontId="26" fillId="14" borderId="30" xfId="0" applyFont="1" applyFill="1" applyBorder="1" applyAlignment="1">
      <alignment horizontal="center" vertical="center"/>
    </xf>
    <xf numFmtId="0" fontId="0" fillId="15" borderId="61" xfId="0" applyFill="1" applyBorder="1"/>
    <xf numFmtId="0" fontId="26" fillId="6" borderId="36" xfId="0" applyFont="1" applyFill="1" applyBorder="1" applyAlignment="1">
      <alignment horizontal="center" vertical="center"/>
    </xf>
    <xf numFmtId="11" fontId="8" fillId="9" borderId="27" xfId="2" applyNumberFormat="1" applyFont="1" applyFill="1" applyBorder="1" applyProtection="1"/>
    <xf numFmtId="165" fontId="8" fillId="17" borderId="67" xfId="2" applyNumberFormat="1" applyFont="1" applyFill="1" applyBorder="1" applyProtection="1"/>
    <xf numFmtId="0" fontId="7" fillId="3" borderId="15" xfId="2" applyNumberFormat="1" applyFont="1" applyFill="1" applyBorder="1" applyAlignment="1" applyProtection="1">
      <protection locked="0"/>
    </xf>
    <xf numFmtId="0" fontId="7" fillId="3" borderId="16" xfId="2" applyNumberFormat="1" applyFont="1" applyFill="1" applyBorder="1" applyAlignment="1" applyProtection="1">
      <protection locked="0"/>
    </xf>
    <xf numFmtId="0" fontId="0" fillId="6" borderId="28" xfId="0" applyFill="1" applyBorder="1"/>
    <xf numFmtId="0" fontId="0" fillId="6" borderId="29" xfId="0" applyFill="1" applyBorder="1"/>
    <xf numFmtId="0" fontId="0" fillId="0" borderId="27" xfId="0" applyBorder="1"/>
    <xf numFmtId="0" fontId="26" fillId="0" borderId="23" xfId="0" applyFont="1" applyBorder="1"/>
    <xf numFmtId="0" fontId="26" fillId="0" borderId="27" xfId="0" applyFont="1" applyBorder="1"/>
    <xf numFmtId="0" fontId="0" fillId="13" borderId="27" xfId="0" applyFill="1" applyBorder="1"/>
    <xf numFmtId="0" fontId="0" fillId="13" borderId="16" xfId="0" applyFill="1" applyBorder="1"/>
    <xf numFmtId="0" fontId="0" fillId="6" borderId="71" xfId="0" applyFill="1" applyBorder="1"/>
    <xf numFmtId="0" fontId="0" fillId="0" borderId="72" xfId="0" applyBorder="1"/>
    <xf numFmtId="0" fontId="0" fillId="13" borderId="73" xfId="0" applyFill="1" applyBorder="1"/>
    <xf numFmtId="0" fontId="0" fillId="0" borderId="73" xfId="0" applyBorder="1"/>
    <xf numFmtId="0" fontId="0" fillId="0" borderId="74" xfId="0" applyBorder="1"/>
    <xf numFmtId="0" fontId="0" fillId="14" borderId="16" xfId="0" applyFill="1" applyBorder="1"/>
    <xf numFmtId="0" fontId="0" fillId="14" borderId="34" xfId="0" applyFill="1" applyBorder="1"/>
    <xf numFmtId="0" fontId="24" fillId="0" borderId="25" xfId="0" applyFont="1" applyBorder="1" applyAlignment="1">
      <alignment horizontal="center" vertical="center"/>
    </xf>
    <xf numFmtId="11" fontId="24" fillId="0" borderId="29" xfId="0" applyNumberFormat="1" applyFont="1" applyBorder="1" applyAlignment="1">
      <alignment vertical="center"/>
    </xf>
    <xf numFmtId="0" fontId="2" fillId="6" borderId="50" xfId="0" applyFont="1" applyFill="1" applyBorder="1" applyAlignment="1">
      <alignment horizontal="center" vertical="center"/>
    </xf>
    <xf numFmtId="10" fontId="2" fillId="0" borderId="29" xfId="1" applyNumberFormat="1" applyFont="1" applyFill="1" applyBorder="1" applyAlignment="1">
      <alignment horizontal="right"/>
    </xf>
    <xf numFmtId="10" fontId="2" fillId="0" borderId="34" xfId="1" applyNumberFormat="1" applyFont="1" applyFill="1" applyBorder="1" applyAlignment="1">
      <alignment horizontal="right"/>
    </xf>
    <xf numFmtId="10" fontId="2" fillId="0" borderId="54" xfId="1" applyNumberFormat="1" applyFont="1" applyBorder="1" applyAlignment="1">
      <alignment horizontal="right"/>
    </xf>
    <xf numFmtId="0" fontId="2" fillId="0" borderId="28" xfId="0" applyFont="1" applyFill="1" applyBorder="1" applyAlignment="1">
      <alignment horizontal="right"/>
    </xf>
    <xf numFmtId="167" fontId="2" fillId="0" borderId="70" xfId="1" applyNumberFormat="1" applyFont="1" applyFill="1" applyBorder="1" applyAlignment="1">
      <alignment horizontal="right" vertical="center"/>
    </xf>
    <xf numFmtId="0" fontId="2" fillId="0" borderId="34" xfId="0" applyFont="1" applyFill="1" applyBorder="1" applyAlignment="1">
      <alignment horizontal="right"/>
    </xf>
    <xf numFmtId="10" fontId="2" fillId="0" borderId="53" xfId="1" applyNumberFormat="1" applyFont="1" applyFill="1" applyBorder="1" applyAlignment="1">
      <alignment horizontal="right" vertical="center"/>
    </xf>
    <xf numFmtId="0" fontId="2" fillId="0" borderId="43" xfId="0" applyFont="1" applyFill="1" applyBorder="1" applyAlignment="1">
      <alignment horizontal="right"/>
    </xf>
    <xf numFmtId="10" fontId="2" fillId="0" borderId="54" xfId="1" applyNumberFormat="1" applyFont="1" applyFill="1" applyBorder="1" applyAlignment="1">
      <alignment horizontal="right" vertical="center"/>
    </xf>
    <xf numFmtId="10" fontId="2" fillId="0" borderId="43" xfId="1" applyNumberFormat="1" applyFont="1" applyFill="1" applyBorder="1" applyAlignment="1">
      <alignment horizontal="right"/>
    </xf>
    <xf numFmtId="0" fontId="2" fillId="0" borderId="29" xfId="0" applyFont="1" applyFill="1" applyBorder="1" applyAlignment="1">
      <alignment horizontal="right"/>
    </xf>
    <xf numFmtId="0" fontId="30" fillId="18" borderId="74" xfId="0" applyFont="1" applyFill="1" applyBorder="1" applyAlignment="1">
      <alignment horizontal="center" vertical="center"/>
    </xf>
    <xf numFmtId="10" fontId="1" fillId="0" borderId="29" xfId="1" applyNumberFormat="1" applyFont="1" applyFill="1" applyBorder="1" applyAlignment="1">
      <alignment horizontal="right"/>
    </xf>
    <xf numFmtId="10" fontId="1" fillId="0" borderId="34" xfId="1" applyNumberFormat="1" applyFont="1" applyFill="1" applyBorder="1" applyAlignment="1">
      <alignment horizontal="right"/>
    </xf>
    <xf numFmtId="10" fontId="0" fillId="0" borderId="54" xfId="1" applyNumberFormat="1" applyFont="1" applyBorder="1" applyAlignment="1">
      <alignment horizontal="right"/>
    </xf>
    <xf numFmtId="0" fontId="0" fillId="0" borderId="28" xfId="0" applyFont="1" applyFill="1" applyBorder="1" applyAlignment="1">
      <alignment horizontal="right"/>
    </xf>
    <xf numFmtId="167" fontId="1" fillId="0" borderId="70" xfId="1" applyNumberFormat="1" applyFont="1" applyFill="1" applyBorder="1" applyAlignment="1">
      <alignment horizontal="right" vertical="center"/>
    </xf>
    <xf numFmtId="0" fontId="0" fillId="0" borderId="34" xfId="0" applyFont="1" applyFill="1" applyBorder="1" applyAlignment="1">
      <alignment horizontal="right"/>
    </xf>
    <xf numFmtId="10" fontId="1" fillId="0" borderId="53" xfId="1" applyNumberFormat="1" applyFont="1" applyFill="1" applyBorder="1" applyAlignment="1">
      <alignment horizontal="right" vertical="center"/>
    </xf>
    <xf numFmtId="0" fontId="0" fillId="0" borderId="43" xfId="0" applyFont="1" applyFill="1" applyBorder="1" applyAlignment="1">
      <alignment horizontal="right"/>
    </xf>
    <xf numFmtId="10" fontId="1" fillId="0" borderId="54" xfId="1" applyNumberFormat="1" applyFont="1" applyFill="1" applyBorder="1" applyAlignment="1">
      <alignment horizontal="right" vertical="center"/>
    </xf>
    <xf numFmtId="10" fontId="0" fillId="0" borderId="43" xfId="1" applyNumberFormat="1" applyFont="1" applyFill="1" applyBorder="1" applyAlignment="1">
      <alignment horizontal="right"/>
    </xf>
    <xf numFmtId="0" fontId="0" fillId="0" borderId="29" xfId="0" applyFont="1" applyFill="1" applyBorder="1" applyAlignment="1">
      <alignment horizontal="right"/>
    </xf>
    <xf numFmtId="10" fontId="0" fillId="0" borderId="29" xfId="1" applyNumberFormat="1" applyFont="1" applyFill="1" applyBorder="1" applyAlignment="1">
      <alignment horizontal="right"/>
    </xf>
    <xf numFmtId="0" fontId="2" fillId="6" borderId="74" xfId="0" applyFont="1" applyFill="1" applyBorder="1" applyAlignment="1">
      <alignment horizontal="center" vertical="center"/>
    </xf>
    <xf numFmtId="10" fontId="1" fillId="0" borderId="27" xfId="1" applyNumberFormat="1" applyFont="1" applyFill="1" applyBorder="1" applyAlignment="1">
      <alignment horizontal="right"/>
    </xf>
    <xf numFmtId="10" fontId="1" fillId="0" borderId="16" xfId="1" applyNumberFormat="1" applyFont="1" applyFill="1" applyBorder="1" applyAlignment="1">
      <alignment horizontal="right"/>
    </xf>
    <xf numFmtId="10" fontId="0" fillId="0" borderId="36" xfId="1" applyNumberFormat="1" applyFont="1" applyBorder="1" applyAlignment="1">
      <alignment horizontal="right"/>
    </xf>
    <xf numFmtId="0" fontId="0" fillId="0" borderId="26" xfId="0" applyFont="1" applyFill="1" applyBorder="1" applyAlignment="1">
      <alignment horizontal="right"/>
    </xf>
    <xf numFmtId="167" fontId="1" fillId="0" borderId="9" xfId="1" applyNumberFormat="1" applyFont="1" applyFill="1" applyBorder="1" applyAlignment="1">
      <alignment horizontal="right" vertical="center"/>
    </xf>
    <xf numFmtId="0" fontId="0" fillId="0" borderId="16" xfId="0" applyFont="1" applyFill="1" applyBorder="1" applyAlignment="1">
      <alignment horizontal="right"/>
    </xf>
    <xf numFmtId="10" fontId="1" fillId="0" borderId="44" xfId="1" applyNumberFormat="1" applyFont="1" applyFill="1" applyBorder="1" applyAlignment="1">
      <alignment horizontal="right" vertical="center"/>
    </xf>
    <xf numFmtId="0" fontId="0" fillId="0" borderId="14" xfId="0" applyFont="1" applyFill="1" applyBorder="1" applyAlignment="1">
      <alignment horizontal="right"/>
    </xf>
    <xf numFmtId="10" fontId="1" fillId="0" borderId="36" xfId="1" applyNumberFormat="1" applyFont="1" applyFill="1" applyBorder="1" applyAlignment="1">
      <alignment horizontal="right" vertical="center"/>
    </xf>
    <xf numFmtId="10" fontId="0" fillId="0" borderId="14" xfId="1" applyNumberFormat="1" applyFont="1" applyFill="1" applyBorder="1" applyAlignment="1">
      <alignment horizontal="right"/>
    </xf>
    <xf numFmtId="0" fontId="0" fillId="0" borderId="27" xfId="0" applyFont="1" applyFill="1" applyBorder="1" applyAlignment="1">
      <alignment horizontal="right"/>
    </xf>
    <xf numFmtId="10" fontId="0" fillId="0" borderId="27" xfId="1" applyNumberFormat="1" applyFont="1" applyFill="1" applyBorder="1" applyAlignment="1">
      <alignment horizontal="right"/>
    </xf>
    <xf numFmtId="0" fontId="2" fillId="6" borderId="73" xfId="0" applyFont="1" applyFill="1" applyBorder="1" applyAlignment="1">
      <alignment horizontal="center" vertical="center"/>
    </xf>
    <xf numFmtId="168" fontId="0" fillId="0" borderId="26" xfId="0" applyNumberFormat="1" applyFont="1" applyFill="1" applyBorder="1" applyAlignment="1">
      <alignment horizontal="right"/>
    </xf>
    <xf numFmtId="10" fontId="1" fillId="0" borderId="25" xfId="1" applyNumberFormat="1" applyFont="1" applyFill="1" applyBorder="1" applyAlignment="1">
      <alignment horizontal="right" vertical="center"/>
    </xf>
    <xf numFmtId="10" fontId="1" fillId="0" borderId="56" xfId="1" applyNumberFormat="1" applyFont="1" applyFill="1" applyBorder="1" applyAlignment="1">
      <alignment horizontal="right" vertical="center"/>
    </xf>
    <xf numFmtId="10" fontId="0" fillId="0" borderId="25" xfId="1" applyNumberFormat="1" applyFont="1" applyBorder="1" applyAlignment="1">
      <alignment horizontal="right"/>
    </xf>
    <xf numFmtId="0" fontId="0" fillId="0" borderId="24" xfId="0" applyFont="1" applyFill="1" applyBorder="1" applyAlignment="1">
      <alignment horizontal="right" vertical="center"/>
    </xf>
    <xf numFmtId="167" fontId="1" fillId="0" borderId="57" xfId="1" applyNumberFormat="1" applyFont="1" applyFill="1" applyBorder="1" applyAlignment="1">
      <alignment horizontal="right" vertical="center"/>
    </xf>
    <xf numFmtId="0" fontId="0" fillId="0" borderId="56" xfId="0" applyFont="1" applyFill="1" applyBorder="1" applyAlignment="1">
      <alignment horizontal="right" vertical="center"/>
    </xf>
    <xf numFmtId="10" fontId="1" fillId="0" borderId="51" xfId="1" applyNumberFormat="1" applyFont="1" applyFill="1" applyBorder="1" applyAlignment="1">
      <alignment horizontal="right" vertical="center"/>
    </xf>
    <xf numFmtId="167" fontId="1" fillId="0" borderId="75" xfId="1" applyNumberFormat="1" applyFont="1" applyFill="1" applyBorder="1" applyAlignment="1">
      <alignment horizontal="right" vertical="center"/>
    </xf>
    <xf numFmtId="0" fontId="0" fillId="0" borderId="25" xfId="0" applyFont="1" applyFill="1" applyBorder="1" applyAlignment="1">
      <alignment horizontal="right" vertical="center"/>
    </xf>
    <xf numFmtId="2" fontId="0" fillId="0" borderId="56" xfId="1" applyNumberFormat="1" applyFont="1" applyBorder="1" applyAlignment="1">
      <alignment horizontal="right"/>
    </xf>
    <xf numFmtId="2" fontId="0" fillId="0" borderId="24" xfId="0" applyNumberFormat="1" applyFont="1" applyFill="1" applyBorder="1" applyAlignment="1">
      <alignment horizontal="right"/>
    </xf>
    <xf numFmtId="0" fontId="28" fillId="14" borderId="29" xfId="0" applyFont="1" applyFill="1" applyBorder="1" applyAlignment="1">
      <alignment horizontal="center" vertical="center" wrapText="1"/>
    </xf>
    <xf numFmtId="0" fontId="27" fillId="14" borderId="34" xfId="0" applyFont="1" applyFill="1" applyBorder="1" applyAlignment="1">
      <alignment horizontal="center" vertical="center" wrapText="1"/>
    </xf>
    <xf numFmtId="0" fontId="26" fillId="14" borderId="28" xfId="0" applyFont="1" applyFill="1" applyBorder="1" applyAlignment="1">
      <alignment horizontal="center" vertical="center" wrapText="1"/>
    </xf>
    <xf numFmtId="0" fontId="28" fillId="14" borderId="58" xfId="0" applyFont="1" applyFill="1" applyBorder="1" applyAlignment="1">
      <alignment horizontal="center" vertical="center" wrapText="1"/>
    </xf>
    <xf numFmtId="0" fontId="26" fillId="14" borderId="34" xfId="0" applyFont="1" applyFill="1" applyBorder="1" applyAlignment="1">
      <alignment horizontal="center" vertical="center" wrapText="1"/>
    </xf>
    <xf numFmtId="0" fontId="28" fillId="14" borderId="49" xfId="0" applyFont="1" applyFill="1" applyBorder="1" applyAlignment="1">
      <alignment horizontal="center" vertical="center" wrapText="1"/>
    </xf>
    <xf numFmtId="0" fontId="26" fillId="14" borderId="43" xfId="0" applyFont="1" applyFill="1" applyBorder="1" applyAlignment="1">
      <alignment horizontal="center" vertical="center" wrapText="1"/>
    </xf>
    <xf numFmtId="0" fontId="26" fillId="14" borderId="29" xfId="0" applyFont="1" applyFill="1" applyBorder="1" applyAlignment="1">
      <alignment horizontal="center" vertical="center" wrapText="1"/>
    </xf>
    <xf numFmtId="0" fontId="28" fillId="14" borderId="34" xfId="0" applyFont="1" applyFill="1" applyBorder="1" applyAlignment="1">
      <alignment horizontal="center" vertical="center" wrapText="1"/>
    </xf>
    <xf numFmtId="0" fontId="0" fillId="13" borderId="72" xfId="0" applyFill="1" applyBorder="1"/>
    <xf numFmtId="0" fontId="0" fillId="13" borderId="40" xfId="0" applyFill="1" applyBorder="1"/>
    <xf numFmtId="0" fontId="0" fillId="5" borderId="31" xfId="0" applyFill="1" applyBorder="1"/>
    <xf numFmtId="0" fontId="2" fillId="6" borderId="28" xfId="0" applyFont="1" applyFill="1" applyBorder="1" applyAlignment="1">
      <alignment horizontal="center" vertical="center"/>
    </xf>
    <xf numFmtId="0" fontId="0" fillId="0" borderId="23" xfId="0" applyBorder="1"/>
    <xf numFmtId="0" fontId="0" fillId="5" borderId="23" xfId="0" applyFill="1" applyBorder="1"/>
    <xf numFmtId="0" fontId="2" fillId="6" borderId="26" xfId="0" applyFont="1" applyFill="1" applyBorder="1" applyAlignment="1">
      <alignment horizontal="center" vertical="center"/>
    </xf>
    <xf numFmtId="0" fontId="26" fillId="12" borderId="29" xfId="0" applyFont="1" applyFill="1" applyBorder="1" applyAlignment="1">
      <alignment horizontal="center" vertical="center"/>
    </xf>
    <xf numFmtId="0" fontId="26" fillId="12" borderId="31" xfId="0" applyFont="1" applyFill="1" applyBorder="1" applyAlignment="1">
      <alignment horizontal="center" vertical="center"/>
    </xf>
    <xf numFmtId="0" fontId="26" fillId="12" borderId="28" xfId="0" applyFont="1" applyFill="1" applyBorder="1" applyAlignment="1">
      <alignment horizontal="center" vertical="center"/>
    </xf>
    <xf numFmtId="0" fontId="0" fillId="13" borderId="32" xfId="0" applyFill="1" applyBorder="1"/>
    <xf numFmtId="0" fontId="2" fillId="6" borderId="25" xfId="0" applyFont="1" applyFill="1" applyBorder="1" applyAlignment="1">
      <alignment horizontal="center" vertical="center"/>
    </xf>
    <xf numFmtId="0" fontId="2" fillId="6" borderId="30" xfId="0" applyFont="1" applyFill="1" applyBorder="1" applyAlignment="1">
      <alignment horizontal="center" vertical="center"/>
    </xf>
    <xf numFmtId="0" fontId="2" fillId="6" borderId="24" xfId="0" applyFont="1" applyFill="1" applyBorder="1" applyAlignment="1">
      <alignment horizontal="center" vertical="center"/>
    </xf>
    <xf numFmtId="0" fontId="0" fillId="13" borderId="48" xfId="0" applyFill="1" applyBorder="1"/>
    <xf numFmtId="0" fontId="0" fillId="13" borderId="77" xfId="0" applyFill="1" applyBorder="1"/>
    <xf numFmtId="0" fontId="26" fillId="19" borderId="77" xfId="0" applyFont="1" applyFill="1" applyBorder="1"/>
    <xf numFmtId="0" fontId="0" fillId="0" borderId="77" xfId="0" applyBorder="1"/>
    <xf numFmtId="0" fontId="0" fillId="19" borderId="47" xfId="0" applyFill="1" applyBorder="1"/>
    <xf numFmtId="169" fontId="10" fillId="20" borderId="28" xfId="2" applyNumberFormat="1" applyFont="1" applyFill="1" applyBorder="1" applyAlignment="1" applyProtection="1">
      <alignment horizontal="center"/>
    </xf>
    <xf numFmtId="169" fontId="10" fillId="20" borderId="29" xfId="2" applyNumberFormat="1" applyFont="1" applyFill="1" applyBorder="1" applyAlignment="1" applyProtection="1">
      <alignment horizontal="center"/>
    </xf>
    <xf numFmtId="169" fontId="36" fillId="20" borderId="78" xfId="2" applyNumberFormat="1" applyFont="1" applyFill="1" applyBorder="1" applyAlignment="1" applyProtection="1">
      <alignment horizontal="center"/>
    </xf>
    <xf numFmtId="169" fontId="36" fillId="20" borderId="36" xfId="2" applyNumberFormat="1" applyFont="1" applyFill="1" applyBorder="1" applyAlignment="1" applyProtection="1">
      <alignment horizontal="center"/>
    </xf>
    <xf numFmtId="2" fontId="8" fillId="0" borderId="26" xfId="2" applyNumberFormat="1" applyFont="1" applyFill="1" applyBorder="1" applyProtection="1"/>
    <xf numFmtId="167" fontId="8" fillId="0" borderId="27" xfId="1" applyNumberFormat="1" applyFont="1" applyFill="1" applyBorder="1" applyProtection="1"/>
    <xf numFmtId="2" fontId="8" fillId="0" borderId="28" xfId="2" applyNumberFormat="1" applyFont="1" applyFill="1" applyBorder="1" applyProtection="1"/>
    <xf numFmtId="167" fontId="8" fillId="0" borderId="29" xfId="1" applyNumberFormat="1" applyFont="1" applyFill="1" applyBorder="1" applyProtection="1"/>
    <xf numFmtId="0" fontId="0" fillId="13" borderId="47" xfId="0" applyFill="1" applyBorder="1"/>
    <xf numFmtId="0" fontId="26" fillId="13" borderId="77" xfId="0" applyFont="1" applyFill="1" applyBorder="1"/>
    <xf numFmtId="0" fontId="0" fillId="5" borderId="26" xfId="0" applyFill="1" applyBorder="1"/>
    <xf numFmtId="0" fontId="0" fillId="0" borderId="26" xfId="0" applyFill="1" applyBorder="1"/>
    <xf numFmtId="0" fontId="0" fillId="0" borderId="27" xfId="0" applyFill="1" applyBorder="1"/>
    <xf numFmtId="0" fontId="0" fillId="0" borderId="28" xfId="0" applyFill="1" applyBorder="1"/>
    <xf numFmtId="0" fontId="0" fillId="13" borderId="37" xfId="0" applyFill="1" applyBorder="1"/>
    <xf numFmtId="0" fontId="0" fillId="13" borderId="38" xfId="0" applyFill="1" applyBorder="1"/>
    <xf numFmtId="0" fontId="24" fillId="13" borderId="38" xfId="0" applyFont="1" applyFill="1" applyBorder="1" applyAlignment="1">
      <alignment vertical="center" wrapText="1"/>
    </xf>
    <xf numFmtId="0" fontId="24" fillId="13" borderId="39" xfId="0" applyFont="1" applyFill="1" applyBorder="1" applyAlignment="1">
      <alignment vertical="center" wrapText="1"/>
    </xf>
    <xf numFmtId="0" fontId="2" fillId="6" borderId="76" xfId="1" applyNumberFormat="1" applyFont="1" applyFill="1" applyBorder="1" applyAlignment="1">
      <alignment horizontal="center" vertical="center"/>
    </xf>
    <xf numFmtId="0" fontId="0" fillId="0" borderId="80" xfId="0" applyFill="1" applyBorder="1"/>
    <xf numFmtId="0" fontId="0" fillId="0" borderId="49" xfId="0" applyFill="1" applyBorder="1"/>
    <xf numFmtId="0" fontId="0" fillId="6" borderId="32" xfId="0" applyFill="1" applyBorder="1"/>
    <xf numFmtId="0" fontId="0" fillId="6" borderId="33" xfId="0" applyFill="1" applyBorder="1"/>
    <xf numFmtId="0" fontId="0" fillId="13" borderId="68" xfId="0" applyFill="1" applyBorder="1"/>
    <xf numFmtId="0" fontId="26" fillId="12" borderId="33" xfId="0" applyFont="1" applyFill="1" applyBorder="1" applyAlignment="1">
      <alignment horizontal="center" vertical="center"/>
    </xf>
    <xf numFmtId="164" fontId="22" fillId="3" borderId="8" xfId="2" applyNumberFormat="1" applyFont="1" applyFill="1" applyBorder="1" applyAlignment="1" applyProtection="1">
      <alignment horizontal="left"/>
    </xf>
    <xf numFmtId="164" fontId="22" fillId="3" borderId="9" xfId="2" applyNumberFormat="1" applyFont="1" applyFill="1" applyBorder="1" applyAlignment="1" applyProtection="1">
      <alignment horizontal="left"/>
    </xf>
    <xf numFmtId="164" fontId="22" fillId="3" borderId="10" xfId="2" applyNumberFormat="1" applyFont="1" applyFill="1" applyBorder="1" applyAlignment="1" applyProtection="1">
      <alignment horizontal="left"/>
    </xf>
    <xf numFmtId="0" fontId="22" fillId="3" borderId="5" xfId="2" applyNumberFormat="1" applyFont="1" applyFill="1" applyBorder="1" applyAlignment="1" applyProtection="1">
      <alignment horizontal="left"/>
    </xf>
    <xf numFmtId="0" fontId="22" fillId="3" borderId="0" xfId="2" applyNumberFormat="1" applyFont="1" applyFill="1" applyBorder="1" applyAlignment="1" applyProtection="1">
      <alignment horizontal="left"/>
    </xf>
    <xf numFmtId="0" fontId="22" fillId="3" borderId="6" xfId="2" applyNumberFormat="1" applyFont="1" applyFill="1" applyBorder="1" applyAlignment="1" applyProtection="1">
      <alignment horizontal="left"/>
    </xf>
    <xf numFmtId="0" fontId="22" fillId="3" borderId="14" xfId="2" applyNumberFormat="1" applyFont="1" applyFill="1" applyBorder="1" applyAlignment="1" applyProtection="1">
      <alignment horizontal="left"/>
    </xf>
    <xf numFmtId="0" fontId="22" fillId="3" borderId="15" xfId="2" applyNumberFormat="1" applyFont="1" applyFill="1" applyBorder="1" applyAlignment="1" applyProtection="1">
      <alignment horizontal="left"/>
    </xf>
    <xf numFmtId="0" fontId="22" fillId="3" borderId="16" xfId="2" applyNumberFormat="1" applyFont="1" applyFill="1" applyBorder="1" applyAlignment="1" applyProtection="1">
      <alignment horizontal="left"/>
    </xf>
    <xf numFmtId="0" fontId="22" fillId="3" borderId="14" xfId="2" applyNumberFormat="1" applyFont="1" applyFill="1" applyBorder="1" applyAlignment="1" applyProtection="1">
      <protection locked="0"/>
    </xf>
    <xf numFmtId="0" fontId="22" fillId="3" borderId="15" xfId="2" applyNumberFormat="1" applyFont="1" applyFill="1" applyBorder="1" applyAlignment="1" applyProtection="1">
      <protection locked="0"/>
    </xf>
    <xf numFmtId="0" fontId="22" fillId="3" borderId="16" xfId="2" applyNumberFormat="1" applyFont="1" applyFill="1" applyBorder="1" applyAlignment="1" applyProtection="1">
      <protection locked="0"/>
    </xf>
    <xf numFmtId="0" fontId="22" fillId="3" borderId="8" xfId="2" applyNumberFormat="1" applyFont="1" applyFill="1" applyBorder="1" applyAlignment="1" applyProtection="1">
      <alignment horizontal="left"/>
    </xf>
    <xf numFmtId="0" fontId="22" fillId="3" borderId="9" xfId="2" applyNumberFormat="1" applyFont="1" applyFill="1" applyBorder="1" applyAlignment="1" applyProtection="1">
      <alignment horizontal="left"/>
    </xf>
    <xf numFmtId="0" fontId="22" fillId="3" borderId="10" xfId="2" applyNumberFormat="1" applyFont="1" applyFill="1" applyBorder="1" applyAlignment="1" applyProtection="1">
      <alignment horizontal="left"/>
    </xf>
    <xf numFmtId="165" fontId="22" fillId="3" borderId="9" xfId="2" applyNumberFormat="1" applyFont="1" applyFill="1" applyBorder="1" applyAlignment="1" applyProtection="1">
      <alignment horizontal="left"/>
    </xf>
    <xf numFmtId="165" fontId="22" fillId="3" borderId="10" xfId="2" applyNumberFormat="1" applyFont="1" applyFill="1" applyBorder="1" applyAlignment="1" applyProtection="1">
      <alignment horizontal="left"/>
    </xf>
    <xf numFmtId="164" fontId="22" fillId="3" borderId="1" xfId="2" applyNumberFormat="1" applyFont="1" applyFill="1" applyBorder="1" applyAlignment="1" applyProtection="1">
      <alignment horizontal="left"/>
    </xf>
    <xf numFmtId="164" fontId="22" fillId="3" borderId="2" xfId="2" applyNumberFormat="1" applyFont="1" applyFill="1" applyBorder="1" applyAlignment="1" applyProtection="1">
      <alignment horizontal="left"/>
    </xf>
    <xf numFmtId="164" fontId="22" fillId="3" borderId="3" xfId="2" applyNumberFormat="1" applyFont="1" applyFill="1" applyBorder="1" applyAlignment="1" applyProtection="1">
      <alignment horizontal="left"/>
    </xf>
    <xf numFmtId="164" fontId="22" fillId="3" borderId="14" xfId="2" applyNumberFormat="1" applyFont="1" applyFill="1" applyBorder="1" applyAlignment="1" applyProtection="1">
      <alignment horizontal="left"/>
    </xf>
    <xf numFmtId="164" fontId="22" fillId="3" borderId="15" xfId="2" applyNumberFormat="1" applyFont="1" applyFill="1" applyBorder="1" applyAlignment="1" applyProtection="1">
      <alignment horizontal="left"/>
    </xf>
    <xf numFmtId="164" fontId="22" fillId="3" borderId="16" xfId="2" applyNumberFormat="1" applyFont="1" applyFill="1" applyBorder="1" applyAlignment="1" applyProtection="1">
      <alignment horizontal="left"/>
    </xf>
    <xf numFmtId="0" fontId="37" fillId="3" borderId="21" xfId="0" applyNumberFormat="1" applyFont="1" applyFill="1" applyBorder="1" applyAlignment="1" applyProtection="1">
      <alignment horizontal="left"/>
      <protection locked="0"/>
    </xf>
    <xf numFmtId="0" fontId="22" fillId="3" borderId="7" xfId="0" applyNumberFormat="1" applyFont="1" applyFill="1" applyBorder="1" applyAlignment="1" applyProtection="1">
      <alignment horizontal="left"/>
    </xf>
    <xf numFmtId="0" fontId="22" fillId="3" borderId="6" xfId="0" applyNumberFormat="1" applyFont="1" applyFill="1" applyBorder="1" applyAlignment="1" applyProtection="1">
      <alignment horizontal="left"/>
    </xf>
    <xf numFmtId="0" fontId="22" fillId="3" borderId="0" xfId="0" applyNumberFormat="1" applyFont="1" applyFill="1" applyBorder="1" applyAlignment="1" applyProtection="1">
      <alignment horizontal="left"/>
    </xf>
    <xf numFmtId="0" fontId="22" fillId="3" borderId="0" xfId="2" applyNumberFormat="1" applyFont="1" applyFill="1" applyBorder="1" applyProtection="1"/>
    <xf numFmtId="0" fontId="22" fillId="4" borderId="20" xfId="0" applyNumberFormat="1" applyFont="1" applyFill="1" applyBorder="1" applyAlignment="1" applyProtection="1">
      <alignment horizontal="left"/>
      <protection locked="0"/>
    </xf>
    <xf numFmtId="167" fontId="0" fillId="0" borderId="76" xfId="1" applyNumberFormat="1" applyFont="1" applyBorder="1" applyAlignment="1">
      <alignment vertical="center"/>
    </xf>
    <xf numFmtId="167" fontId="0" fillId="0" borderId="73" xfId="1" applyNumberFormat="1" applyFont="1" applyBorder="1" applyAlignment="1">
      <alignment vertical="center"/>
    </xf>
    <xf numFmtId="167" fontId="0" fillId="0" borderId="73" xfId="1" applyNumberFormat="1" applyFont="1" applyBorder="1"/>
    <xf numFmtId="167" fontId="0" fillId="0" borderId="74" xfId="1" applyNumberFormat="1" applyFont="1" applyBorder="1"/>
    <xf numFmtId="0" fontId="0" fillId="0" borderId="0" xfId="0" quotePrefix="1"/>
    <xf numFmtId="167" fontId="0" fillId="0" borderId="32" xfId="1" applyNumberFormat="1" applyFont="1" applyBorder="1"/>
    <xf numFmtId="0" fontId="0" fillId="0" borderId="0" xfId="0" applyAlignment="1">
      <alignment vertical="center"/>
    </xf>
    <xf numFmtId="166" fontId="22" fillId="4" borderId="14" xfId="4" applyNumberFormat="1" applyFont="1" applyFill="1" applyBorder="1" applyAlignment="1" applyProtection="1">
      <alignment horizontal="center"/>
    </xf>
    <xf numFmtId="166" fontId="22" fillId="4" borderId="15" xfId="4" applyNumberFormat="1" applyFont="1" applyFill="1" applyBorder="1" applyAlignment="1" applyProtection="1">
      <alignment horizontal="center"/>
    </xf>
    <xf numFmtId="166" fontId="22" fillId="4" borderId="16" xfId="4" applyNumberFormat="1" applyFont="1" applyFill="1" applyBorder="1" applyAlignment="1" applyProtection="1">
      <alignment horizontal="center"/>
    </xf>
    <xf numFmtId="164" fontId="7" fillId="3" borderId="14" xfId="3" applyNumberFormat="1" applyFont="1" applyFill="1" applyBorder="1" applyAlignment="1" applyProtection="1">
      <alignment horizontal="left" vertical="center"/>
    </xf>
    <xf numFmtId="164" fontId="7" fillId="3" borderId="15" xfId="3" applyNumberFormat="1" applyFont="1" applyFill="1" applyBorder="1" applyAlignment="1" applyProtection="1">
      <alignment horizontal="left" vertical="center"/>
    </xf>
    <xf numFmtId="164" fontId="7" fillId="3" borderId="16" xfId="3" applyNumberFormat="1" applyFont="1" applyFill="1" applyBorder="1" applyAlignment="1" applyProtection="1">
      <alignment horizontal="left" vertical="center"/>
    </xf>
    <xf numFmtId="166" fontId="5" fillId="3" borderId="14" xfId="4" applyNumberFormat="1" applyFont="1" applyFill="1" applyBorder="1" applyAlignment="1" applyProtection="1">
      <alignment horizontal="center"/>
      <protection locked="0"/>
    </xf>
    <xf numFmtId="166" fontId="5" fillId="3" borderId="15" xfId="4" applyNumberFormat="1" applyFont="1" applyFill="1" applyBorder="1" applyAlignment="1" applyProtection="1">
      <alignment horizontal="center"/>
      <protection locked="0"/>
    </xf>
    <xf numFmtId="166" fontId="5" fillId="3" borderId="16" xfId="4" applyNumberFormat="1" applyFont="1" applyFill="1" applyBorder="1" applyAlignment="1" applyProtection="1">
      <alignment horizontal="center"/>
      <protection locked="0"/>
    </xf>
    <xf numFmtId="164" fontId="8" fillId="8" borderId="35" xfId="2" applyNumberFormat="1" applyFont="1" applyFill="1" applyBorder="1" applyAlignment="1" applyProtection="1">
      <alignment horizontal="center"/>
    </xf>
    <xf numFmtId="164" fontId="8" fillId="8" borderId="10" xfId="2" applyNumberFormat="1" applyFont="1" applyFill="1" applyBorder="1" applyAlignment="1" applyProtection="1">
      <alignment horizontal="center"/>
    </xf>
    <xf numFmtId="164" fontId="8" fillId="8" borderId="32" xfId="2" applyNumberFormat="1" applyFont="1" applyFill="1" applyBorder="1" applyAlignment="1" applyProtection="1">
      <alignment horizontal="center"/>
    </xf>
    <xf numFmtId="164" fontId="8" fillId="8" borderId="16" xfId="2" applyNumberFormat="1" applyFont="1" applyFill="1" applyBorder="1" applyAlignment="1" applyProtection="1">
      <alignment horizontal="center"/>
    </xf>
    <xf numFmtId="0" fontId="22" fillId="3" borderId="14" xfId="2" applyNumberFormat="1" applyFont="1" applyFill="1" applyBorder="1" applyAlignment="1" applyProtection="1">
      <alignment horizontal="center"/>
    </xf>
    <xf numFmtId="0" fontId="22" fillId="3" borderId="15" xfId="2" applyNumberFormat="1" applyFont="1" applyFill="1" applyBorder="1" applyAlignment="1" applyProtection="1">
      <alignment horizontal="center"/>
    </xf>
    <xf numFmtId="0" fontId="22" fillId="3" borderId="16" xfId="2" applyNumberFormat="1" applyFont="1" applyFill="1" applyBorder="1" applyAlignment="1" applyProtection="1">
      <alignment horizontal="center"/>
    </xf>
    <xf numFmtId="164" fontId="7" fillId="3" borderId="11" xfId="0" applyNumberFormat="1" applyFont="1" applyFill="1" applyBorder="1" applyAlignment="1" applyProtection="1">
      <alignment horizontal="center"/>
    </xf>
    <xf numFmtId="164" fontId="7" fillId="3" borderId="7" xfId="0" applyNumberFormat="1" applyFont="1" applyFill="1" applyBorder="1" applyAlignment="1" applyProtection="1">
      <alignment horizontal="center"/>
    </xf>
    <xf numFmtId="0" fontId="7" fillId="4" borderId="17" xfId="0" applyNumberFormat="1" applyFont="1" applyFill="1" applyBorder="1" applyAlignment="1" applyProtection="1">
      <alignment horizontal="center"/>
    </xf>
    <xf numFmtId="0" fontId="7" fillId="4" borderId="18" xfId="0" applyNumberFormat="1" applyFont="1" applyFill="1" applyBorder="1" applyAlignment="1" applyProtection="1">
      <alignment horizontal="center"/>
    </xf>
    <xf numFmtId="0" fontId="7" fillId="4" borderId="19" xfId="0" applyNumberFormat="1" applyFont="1" applyFill="1" applyBorder="1" applyAlignment="1" applyProtection="1">
      <alignment horizontal="center"/>
    </xf>
    <xf numFmtId="0" fontId="7" fillId="3" borderId="14" xfId="4" applyNumberFormat="1" applyFont="1" applyFill="1" applyBorder="1" applyAlignment="1" applyProtection="1">
      <alignment horizontal="center"/>
    </xf>
    <xf numFmtId="0" fontId="7" fillId="3" borderId="15" xfId="4" applyNumberFormat="1" applyFont="1" applyFill="1" applyBorder="1" applyAlignment="1" applyProtection="1">
      <alignment horizontal="center"/>
    </xf>
    <xf numFmtId="0" fontId="7" fillId="3" borderId="16" xfId="4" applyNumberFormat="1" applyFont="1" applyFill="1" applyBorder="1" applyAlignment="1" applyProtection="1">
      <alignment horizontal="center"/>
    </xf>
    <xf numFmtId="0" fontId="7" fillId="3" borderId="14" xfId="3" applyNumberFormat="1" applyFont="1" applyFill="1" applyBorder="1" applyAlignment="1" applyProtection="1">
      <alignment horizontal="center"/>
    </xf>
    <xf numFmtId="0" fontId="7" fillId="3" borderId="15" xfId="3" applyNumberFormat="1" applyFont="1" applyFill="1" applyBorder="1" applyAlignment="1" applyProtection="1">
      <alignment horizontal="center"/>
    </xf>
    <xf numFmtId="0" fontId="7" fillId="3" borderId="16" xfId="3" applyNumberFormat="1" applyFont="1" applyFill="1" applyBorder="1" applyAlignment="1" applyProtection="1">
      <alignment horizontal="center"/>
    </xf>
    <xf numFmtId="164" fontId="11" fillId="3" borderId="8" xfId="3" applyNumberFormat="1" applyFont="1" applyFill="1" applyBorder="1" applyAlignment="1" applyProtection="1">
      <alignment horizontal="center" vertical="top"/>
    </xf>
    <xf numFmtId="164" fontId="11" fillId="3" borderId="9" xfId="3" applyNumberFormat="1" applyFont="1" applyFill="1" applyBorder="1" applyAlignment="1" applyProtection="1">
      <alignment horizontal="center" vertical="top"/>
    </xf>
    <xf numFmtId="164" fontId="11" fillId="3" borderId="14" xfId="3" applyNumberFormat="1" applyFont="1" applyFill="1" applyBorder="1" applyAlignment="1" applyProtection="1">
      <alignment horizontal="center" vertical="center"/>
    </xf>
    <xf numFmtId="164" fontId="11" fillId="3" borderId="15" xfId="3" applyNumberFormat="1" applyFont="1" applyFill="1" applyBorder="1" applyAlignment="1" applyProtection="1">
      <alignment horizontal="center" vertical="center"/>
    </xf>
    <xf numFmtId="164" fontId="11" fillId="3" borderId="16" xfId="3" applyNumberFormat="1" applyFont="1" applyFill="1" applyBorder="1" applyAlignment="1" applyProtection="1">
      <alignment horizontal="center" vertical="center"/>
    </xf>
    <xf numFmtId="164" fontId="7" fillId="3" borderId="7" xfId="3" applyNumberFormat="1" applyFont="1" applyFill="1" applyBorder="1" applyAlignment="1" applyProtection="1">
      <alignment horizontal="center"/>
    </xf>
    <xf numFmtId="164" fontId="7" fillId="3" borderId="11" xfId="3" applyNumberFormat="1" applyFont="1" applyFill="1" applyBorder="1" applyAlignment="1" applyProtection="1">
      <alignment horizontal="center"/>
    </xf>
    <xf numFmtId="164" fontId="11" fillId="3" borderId="14" xfId="3" applyNumberFormat="1" applyFont="1" applyFill="1" applyBorder="1" applyAlignment="1" applyProtection="1">
      <alignment horizontal="center" vertical="top"/>
    </xf>
    <xf numFmtId="164" fontId="11" fillId="3" borderId="15" xfId="3" applyNumberFormat="1" applyFont="1" applyFill="1" applyBorder="1" applyAlignment="1" applyProtection="1">
      <alignment horizontal="center" vertical="top"/>
    </xf>
    <xf numFmtId="0" fontId="22" fillId="0" borderId="14" xfId="2" applyNumberFormat="1" applyFont="1" applyFill="1" applyBorder="1" applyAlignment="1" applyProtection="1">
      <alignment horizontal="center"/>
    </xf>
    <xf numFmtId="0" fontId="22" fillId="0" borderId="15" xfId="2" applyNumberFormat="1" applyFont="1" applyFill="1" applyBorder="1" applyAlignment="1" applyProtection="1">
      <alignment horizontal="center"/>
    </xf>
    <xf numFmtId="0" fontId="22" fillId="0" borderId="16" xfId="2" applyNumberFormat="1" applyFont="1" applyFill="1" applyBorder="1" applyAlignment="1" applyProtection="1">
      <alignment horizontal="center"/>
    </xf>
    <xf numFmtId="165" fontId="5" fillId="3" borderId="14" xfId="2" applyNumberFormat="1" applyFont="1" applyFill="1" applyBorder="1" applyAlignment="1" applyProtection="1">
      <alignment horizontal="center"/>
    </xf>
    <xf numFmtId="165" fontId="5" fillId="3" borderId="15" xfId="2" applyNumberFormat="1" applyFont="1" applyFill="1" applyBorder="1" applyAlignment="1" applyProtection="1">
      <alignment horizontal="center"/>
    </xf>
    <xf numFmtId="165" fontId="5" fillId="3" borderId="16" xfId="2" applyNumberFormat="1" applyFont="1" applyFill="1" applyBorder="1" applyAlignment="1" applyProtection="1">
      <alignment horizontal="center"/>
    </xf>
    <xf numFmtId="164" fontId="11" fillId="3" borderId="14" xfId="2" applyNumberFormat="1" applyFont="1" applyFill="1" applyBorder="1" applyAlignment="1" applyProtection="1">
      <alignment horizontal="center" vertical="center"/>
    </xf>
    <xf numFmtId="164" fontId="11" fillId="3" borderId="15" xfId="2" applyNumberFormat="1" applyFont="1" applyFill="1" applyBorder="1" applyAlignment="1" applyProtection="1">
      <alignment horizontal="center" vertical="center"/>
    </xf>
    <xf numFmtId="164" fontId="11" fillId="3" borderId="16" xfId="2" applyNumberFormat="1" applyFont="1" applyFill="1" applyBorder="1" applyAlignment="1" applyProtection="1">
      <alignment horizontal="center" vertical="center"/>
    </xf>
    <xf numFmtId="164" fontId="22" fillId="3" borderId="14" xfId="2" applyNumberFormat="1" applyFont="1" applyFill="1" applyBorder="1" applyAlignment="1" applyProtection="1">
      <alignment horizontal="center"/>
    </xf>
    <xf numFmtId="164" fontId="22" fillId="3" borderId="15" xfId="2" applyNumberFormat="1" applyFont="1" applyFill="1" applyBorder="1" applyAlignment="1" applyProtection="1">
      <alignment horizontal="center"/>
    </xf>
    <xf numFmtId="164" fontId="22" fillId="3" borderId="16" xfId="2" applyNumberFormat="1" applyFont="1" applyFill="1" applyBorder="1" applyAlignment="1" applyProtection="1">
      <alignment horizontal="center"/>
    </xf>
    <xf numFmtId="164" fontId="29" fillId="0" borderId="14" xfId="2" applyNumberFormat="1" applyFont="1" applyFill="1" applyBorder="1" applyAlignment="1" applyProtection="1">
      <alignment horizontal="center"/>
    </xf>
    <xf numFmtId="164" fontId="29" fillId="0" borderId="15" xfId="2" applyNumberFormat="1" applyFont="1" applyFill="1" applyBorder="1" applyAlignment="1" applyProtection="1">
      <alignment horizontal="center"/>
    </xf>
    <xf numFmtId="164" fontId="29" fillId="0" borderId="16" xfId="2" applyNumberFormat="1" applyFont="1" applyFill="1" applyBorder="1" applyAlignment="1" applyProtection="1">
      <alignment horizontal="center"/>
    </xf>
    <xf numFmtId="165" fontId="7" fillId="3" borderId="14" xfId="2" applyNumberFormat="1" applyFont="1" applyFill="1" applyBorder="1" applyAlignment="1" applyProtection="1">
      <alignment horizontal="center"/>
    </xf>
    <xf numFmtId="165" fontId="7" fillId="3" borderId="15" xfId="2" applyNumberFormat="1" applyFont="1" applyFill="1" applyBorder="1" applyAlignment="1" applyProtection="1">
      <alignment horizontal="center"/>
    </xf>
    <xf numFmtId="165" fontId="7" fillId="3" borderId="16" xfId="2" applyNumberFormat="1" applyFont="1" applyFill="1" applyBorder="1" applyAlignment="1" applyProtection="1">
      <alignment horizontal="center"/>
    </xf>
    <xf numFmtId="2" fontId="22" fillId="5" borderId="14" xfId="2" applyNumberFormat="1" applyFont="1" applyFill="1" applyBorder="1" applyAlignment="1" applyProtection="1">
      <alignment horizontal="center"/>
    </xf>
    <xf numFmtId="2" fontId="22" fillId="5" borderId="15" xfId="2" applyNumberFormat="1" applyFont="1" applyFill="1" applyBorder="1" applyAlignment="1" applyProtection="1">
      <alignment horizontal="center"/>
    </xf>
    <xf numFmtId="2" fontId="22" fillId="5" borderId="16" xfId="2" applyNumberFormat="1" applyFont="1" applyFill="1" applyBorder="1" applyAlignment="1" applyProtection="1">
      <alignment horizontal="center"/>
    </xf>
    <xf numFmtId="2" fontId="22" fillId="0" borderId="14" xfId="2" applyNumberFormat="1" applyFont="1" applyFill="1" applyBorder="1" applyAlignment="1" applyProtection="1">
      <alignment horizontal="center"/>
    </xf>
    <xf numFmtId="2" fontId="22" fillId="0" borderId="15" xfId="2" applyNumberFormat="1" applyFont="1" applyFill="1" applyBorder="1" applyAlignment="1" applyProtection="1">
      <alignment horizontal="center"/>
    </xf>
    <xf numFmtId="2" fontId="22" fillId="0" borderId="16" xfId="2" applyNumberFormat="1" applyFont="1" applyFill="1" applyBorder="1" applyAlignment="1" applyProtection="1">
      <alignment horizontal="center"/>
    </xf>
    <xf numFmtId="164" fontId="7" fillId="3" borderId="11" xfId="2" applyNumberFormat="1" applyFont="1" applyFill="1" applyBorder="1" applyAlignment="1" applyProtection="1">
      <alignment horizontal="center"/>
    </xf>
    <xf numFmtId="164" fontId="7" fillId="3" borderId="7" xfId="2" applyNumberFormat="1" applyFont="1" applyFill="1" applyBorder="1" applyAlignment="1" applyProtection="1">
      <alignment horizontal="center"/>
    </xf>
    <xf numFmtId="164" fontId="7" fillId="3" borderId="1" xfId="2" applyNumberFormat="1" applyFont="1" applyFill="1" applyBorder="1" applyAlignment="1" applyProtection="1">
      <alignment horizontal="center"/>
    </xf>
    <xf numFmtId="164" fontId="7" fillId="3" borderId="2" xfId="2" applyNumberFormat="1" applyFont="1" applyFill="1" applyBorder="1" applyAlignment="1" applyProtection="1">
      <alignment horizontal="center"/>
    </xf>
    <xf numFmtId="0" fontId="22" fillId="5" borderId="14" xfId="2" applyNumberFormat="1" applyFont="1" applyFill="1" applyBorder="1" applyAlignment="1" applyProtection="1">
      <alignment horizontal="center"/>
    </xf>
    <xf numFmtId="0" fontId="22" fillId="5" borderId="15" xfId="2" applyNumberFormat="1" applyFont="1" applyFill="1" applyBorder="1" applyAlignment="1" applyProtection="1">
      <alignment horizontal="center"/>
    </xf>
    <xf numFmtId="0" fontId="22" fillId="5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</xf>
    <xf numFmtId="0" fontId="5" fillId="3" borderId="15" xfId="2" applyNumberFormat="1" applyFont="1" applyFill="1" applyBorder="1" applyAlignment="1" applyProtection="1">
      <alignment horizontal="center"/>
    </xf>
    <xf numFmtId="0" fontId="5" fillId="3" borderId="16" xfId="2" applyNumberFormat="1" applyFont="1" applyFill="1" applyBorder="1" applyAlignment="1" applyProtection="1">
      <alignment horizontal="center"/>
    </xf>
    <xf numFmtId="164" fontId="10" fillId="10" borderId="59" xfId="2" applyNumberFormat="1" applyFont="1" applyFill="1" applyBorder="1" applyAlignment="1" applyProtection="1">
      <alignment horizontal="center"/>
    </xf>
    <xf numFmtId="164" fontId="10" fillId="10" borderId="64" xfId="2" applyNumberFormat="1" applyFont="1" applyFill="1" applyBorder="1" applyAlignment="1" applyProtection="1">
      <alignment horizontal="center"/>
    </xf>
    <xf numFmtId="164" fontId="10" fillId="10" borderId="60" xfId="2" applyNumberFormat="1" applyFont="1" applyFill="1" applyBorder="1" applyAlignment="1" applyProtection="1">
      <alignment horizontal="center"/>
    </xf>
    <xf numFmtId="0" fontId="10" fillId="8" borderId="37" xfId="2" applyNumberFormat="1" applyFont="1" applyFill="1" applyBorder="1" applyAlignment="1" applyProtection="1">
      <alignment horizontal="center" vertical="center"/>
    </xf>
    <xf numFmtId="0" fontId="10" fillId="8" borderId="65" xfId="2" applyNumberFormat="1" applyFont="1" applyFill="1" applyBorder="1" applyAlignment="1" applyProtection="1">
      <alignment horizontal="center" vertical="center"/>
    </xf>
    <xf numFmtId="164" fontId="8" fillId="7" borderId="32" xfId="2" applyNumberFormat="1" applyFont="1" applyFill="1" applyBorder="1" applyAlignment="1" applyProtection="1">
      <alignment horizontal="center"/>
    </xf>
    <xf numFmtId="164" fontId="8" fillId="7" borderId="16" xfId="2" applyNumberFormat="1" applyFont="1" applyFill="1" applyBorder="1" applyAlignment="1" applyProtection="1">
      <alignment horizontal="center"/>
    </xf>
    <xf numFmtId="2" fontId="8" fillId="0" borderId="31" xfId="2" applyNumberFormat="1" applyFont="1" applyFill="1" applyBorder="1" applyAlignment="1" applyProtection="1">
      <alignment horizontal="center"/>
    </xf>
    <xf numFmtId="164" fontId="8" fillId="8" borderId="37" xfId="2" applyNumberFormat="1" applyFont="1" applyFill="1" applyBorder="1" applyAlignment="1" applyProtection="1">
      <alignment horizontal="center"/>
    </xf>
    <xf numFmtId="164" fontId="8" fillId="8" borderId="65" xfId="2" applyNumberFormat="1" applyFont="1" applyFill="1" applyBorder="1" applyAlignment="1" applyProtection="1">
      <alignment horizontal="center"/>
    </xf>
    <xf numFmtId="165" fontId="8" fillId="9" borderId="42" xfId="2" applyNumberFormat="1" applyFont="1" applyFill="1" applyBorder="1" applyAlignment="1" applyProtection="1">
      <alignment horizontal="center"/>
    </xf>
    <xf numFmtId="165" fontId="8" fillId="9" borderId="39" xfId="2" applyNumberFormat="1" applyFont="1" applyFill="1" applyBorder="1" applyAlignment="1" applyProtection="1">
      <alignment horizontal="center"/>
    </xf>
    <xf numFmtId="164" fontId="8" fillId="8" borderId="33" xfId="2" applyNumberFormat="1" applyFont="1" applyFill="1" applyBorder="1" applyAlignment="1" applyProtection="1">
      <alignment horizontal="center"/>
    </xf>
    <xf numFmtId="164" fontId="8" fillId="8" borderId="34" xfId="2" applyNumberFormat="1" applyFont="1" applyFill="1" applyBorder="1" applyAlignment="1" applyProtection="1">
      <alignment horizontal="center"/>
    </xf>
    <xf numFmtId="10" fontId="22" fillId="0" borderId="14" xfId="1" applyNumberFormat="1" applyFont="1" applyFill="1" applyBorder="1" applyAlignment="1" applyProtection="1">
      <alignment horizontal="center"/>
    </xf>
    <xf numFmtId="10" fontId="22" fillId="0" borderId="15" xfId="1" applyNumberFormat="1" applyFont="1" applyFill="1" applyBorder="1" applyAlignment="1" applyProtection="1">
      <alignment horizontal="center"/>
    </xf>
    <xf numFmtId="10" fontId="22" fillId="0" borderId="16" xfId="1" applyNumberFormat="1" applyFont="1" applyFill="1" applyBorder="1" applyAlignment="1" applyProtection="1">
      <alignment horizontal="center"/>
    </xf>
    <xf numFmtId="2" fontId="8" fillId="0" borderId="23" xfId="2" applyNumberFormat="1" applyFont="1" applyFill="1" applyBorder="1" applyAlignment="1" applyProtection="1">
      <alignment horizontal="center"/>
    </xf>
    <xf numFmtId="164" fontId="22" fillId="3" borderId="40" xfId="2" applyNumberFormat="1" applyFont="1" applyFill="1" applyBorder="1" applyAlignment="1" applyProtection="1">
      <alignment horizontal="center" vertical="center" wrapText="1"/>
    </xf>
    <xf numFmtId="0" fontId="22" fillId="4" borderId="17" xfId="0" applyNumberFormat="1" applyFont="1" applyFill="1" applyBorder="1" applyAlignment="1" applyProtection="1">
      <alignment horizontal="center"/>
      <protection locked="0"/>
    </xf>
    <xf numFmtId="0" fontId="22" fillId="4" borderId="81" xfId="0" applyNumberFormat="1" applyFont="1" applyFill="1" applyBorder="1" applyAlignment="1" applyProtection="1">
      <alignment horizontal="center"/>
      <protection locked="0"/>
    </xf>
    <xf numFmtId="164" fontId="10" fillId="10" borderId="24" xfId="2" applyNumberFormat="1" applyFont="1" applyFill="1" applyBorder="1" applyAlignment="1" applyProtection="1">
      <alignment horizontal="center"/>
    </xf>
    <xf numFmtId="164" fontId="10" fillId="10" borderId="30" xfId="2" applyNumberFormat="1" applyFont="1" applyFill="1" applyBorder="1" applyAlignment="1" applyProtection="1">
      <alignment horizontal="center"/>
    </xf>
    <xf numFmtId="164" fontId="10" fillId="10" borderId="25" xfId="2" applyNumberFormat="1" applyFont="1" applyFill="1" applyBorder="1" applyAlignment="1" applyProtection="1">
      <alignment horizontal="center"/>
    </xf>
    <xf numFmtId="164" fontId="10" fillId="20" borderId="31" xfId="2" applyNumberFormat="1" applyFont="1" applyFill="1" applyBorder="1" applyAlignment="1" applyProtection="1">
      <alignment horizontal="center"/>
    </xf>
    <xf numFmtId="164" fontId="36" fillId="20" borderId="79" xfId="2" applyNumberFormat="1" applyFont="1" applyFill="1" applyBorder="1" applyAlignment="1" applyProtection="1">
      <alignment horizontal="center"/>
    </xf>
    <xf numFmtId="2" fontId="8" fillId="0" borderId="14" xfId="2" applyNumberFormat="1" applyFont="1" applyFill="1" applyBorder="1" applyAlignment="1" applyProtection="1">
      <alignment horizontal="center"/>
    </xf>
    <xf numFmtId="2" fontId="8" fillId="0" borderId="16" xfId="2" applyNumberFormat="1" applyFont="1" applyFill="1" applyBorder="1" applyAlignment="1" applyProtection="1">
      <alignment horizont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164" fontId="23" fillId="3" borderId="14" xfId="3" applyNumberFormat="1" applyFont="1" applyFill="1" applyBorder="1" applyAlignment="1" applyProtection="1">
      <alignment horizontal="center" vertical="center"/>
    </xf>
    <xf numFmtId="164" fontId="23" fillId="3" borderId="16" xfId="3" applyNumberFormat="1" applyFont="1" applyFill="1" applyBorder="1" applyAlignment="1" applyProtection="1">
      <alignment horizontal="center" vertical="center"/>
    </xf>
    <xf numFmtId="164" fontId="22" fillId="3" borderId="14" xfId="3" applyNumberFormat="1" applyFont="1" applyFill="1" applyBorder="1" applyAlignment="1" applyProtection="1">
      <alignment horizontal="center" vertical="center"/>
    </xf>
    <xf numFmtId="164" fontId="22" fillId="3" borderId="16" xfId="3" applyNumberFormat="1" applyFont="1" applyFill="1" applyBorder="1" applyAlignment="1" applyProtection="1">
      <alignment horizontal="center" vertical="center"/>
    </xf>
    <xf numFmtId="0" fontId="2" fillId="6" borderId="50" xfId="0" applyFont="1" applyFill="1" applyBorder="1" applyAlignment="1">
      <alignment horizontal="center" vertical="center"/>
    </xf>
    <xf numFmtId="0" fontId="2" fillId="6" borderId="51" xfId="0" applyFont="1" applyFill="1" applyBorder="1" applyAlignment="1">
      <alignment horizontal="center" vertical="center"/>
    </xf>
    <xf numFmtId="0" fontId="2" fillId="6" borderId="50" xfId="0" applyFont="1" applyFill="1" applyBorder="1" applyAlignment="1">
      <alignment horizontal="center"/>
    </xf>
    <xf numFmtId="0" fontId="2" fillId="6" borderId="57" xfId="0" applyFont="1" applyFill="1" applyBorder="1" applyAlignment="1">
      <alignment horizontal="center"/>
    </xf>
    <xf numFmtId="0" fontId="2" fillId="6" borderId="51" xfId="0" applyFont="1" applyFill="1" applyBorder="1" applyAlignment="1">
      <alignment horizontal="center"/>
    </xf>
    <xf numFmtId="0" fontId="25" fillId="6" borderId="50" xfId="0" applyFont="1" applyFill="1" applyBorder="1" applyAlignment="1">
      <alignment horizontal="center" vertical="center"/>
    </xf>
    <xf numFmtId="0" fontId="25" fillId="6" borderId="51" xfId="0" applyFont="1" applyFill="1" applyBorder="1" applyAlignment="1">
      <alignment horizontal="center" vertical="center"/>
    </xf>
    <xf numFmtId="0" fontId="2" fillId="11" borderId="43" xfId="0" applyFont="1" applyFill="1" applyBorder="1" applyAlignment="1">
      <alignment horizontal="center"/>
    </xf>
    <xf numFmtId="0" fontId="2" fillId="11" borderId="58" xfId="0" applyFont="1" applyFill="1" applyBorder="1" applyAlignment="1">
      <alignment horizontal="center"/>
    </xf>
    <xf numFmtId="0" fontId="2" fillId="11" borderId="34" xfId="0" applyFont="1" applyFill="1" applyBorder="1" applyAlignment="1">
      <alignment horizontal="center"/>
    </xf>
    <xf numFmtId="0" fontId="2" fillId="16" borderId="47" xfId="0" applyFont="1" applyFill="1" applyBorder="1" applyAlignment="1">
      <alignment horizontal="center" vertical="center"/>
    </xf>
    <xf numFmtId="0" fontId="2" fillId="16" borderId="55" xfId="0" applyFont="1" applyFill="1" applyBorder="1" applyAlignment="1">
      <alignment horizontal="center" vertical="center"/>
    </xf>
    <xf numFmtId="10" fontId="0" fillId="0" borderId="33" xfId="1" applyNumberFormat="1" applyFont="1" applyBorder="1" applyAlignment="1">
      <alignment horizontal="center"/>
    </xf>
    <xf numFmtId="10" fontId="0" fillId="0" borderId="49" xfId="1" applyNumberFormat="1" applyFont="1" applyBorder="1" applyAlignment="1">
      <alignment horizontal="center"/>
    </xf>
    <xf numFmtId="0" fontId="0" fillId="0" borderId="48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26" fillId="6" borderId="50" xfId="0" applyFont="1" applyFill="1" applyBorder="1" applyAlignment="1">
      <alignment horizontal="center"/>
    </xf>
    <xf numFmtId="0" fontId="26" fillId="6" borderId="51" xfId="0" applyFont="1" applyFill="1" applyBorder="1" applyAlignment="1">
      <alignment horizontal="center"/>
    </xf>
    <xf numFmtId="0" fontId="2" fillId="11" borderId="61" xfId="0" applyFont="1" applyFill="1" applyBorder="1" applyAlignment="1">
      <alignment horizontal="center" vertical="center" wrapText="1"/>
    </xf>
    <xf numFmtId="0" fontId="2" fillId="11" borderId="63" xfId="0" applyFont="1" applyFill="1" applyBorder="1" applyAlignment="1">
      <alignment horizontal="center" vertical="center" wrapText="1"/>
    </xf>
    <xf numFmtId="0" fontId="2" fillId="15" borderId="37" xfId="0" applyFont="1" applyFill="1" applyBorder="1" applyAlignment="1">
      <alignment horizontal="center"/>
    </xf>
    <xf numFmtId="0" fontId="2" fillId="15" borderId="38" xfId="0" applyFont="1" applyFill="1" applyBorder="1" applyAlignment="1">
      <alignment horizontal="center"/>
    </xf>
    <xf numFmtId="0" fontId="2" fillId="15" borderId="39" xfId="0" applyFont="1" applyFill="1" applyBorder="1" applyAlignment="1">
      <alignment horizontal="center"/>
    </xf>
    <xf numFmtId="10" fontId="26" fillId="6" borderId="50" xfId="1" applyNumberFormat="1" applyFont="1" applyFill="1" applyBorder="1" applyAlignment="1">
      <alignment horizontal="center"/>
    </xf>
    <xf numFmtId="10" fontId="26" fillId="6" borderId="51" xfId="1" applyNumberFormat="1" applyFont="1" applyFill="1" applyBorder="1" applyAlignment="1">
      <alignment horizontal="center"/>
    </xf>
    <xf numFmtId="169" fontId="0" fillId="0" borderId="33" xfId="1" applyNumberFormat="1" applyFont="1" applyBorder="1" applyAlignment="1">
      <alignment horizontal="center"/>
    </xf>
    <xf numFmtId="169" fontId="0" fillId="0" borderId="49" xfId="1" applyNumberFormat="1" applyFont="1" applyBorder="1" applyAlignment="1">
      <alignment horizontal="center"/>
    </xf>
    <xf numFmtId="0" fontId="2" fillId="16" borderId="47" xfId="0" applyFont="1" applyFill="1" applyBorder="1" applyAlignment="1">
      <alignment horizontal="center" vertical="center" wrapText="1"/>
    </xf>
    <xf numFmtId="0" fontId="2" fillId="16" borderId="55" xfId="0" applyFont="1" applyFill="1" applyBorder="1" applyAlignment="1">
      <alignment horizontal="center" vertical="center" wrapText="1"/>
    </xf>
    <xf numFmtId="168" fontId="0" fillId="0" borderId="33" xfId="1" applyNumberFormat="1" applyFont="1" applyBorder="1" applyAlignment="1">
      <alignment horizontal="center"/>
    </xf>
    <xf numFmtId="168" fontId="0" fillId="0" borderId="49" xfId="1" applyNumberFormat="1" applyFont="1" applyBorder="1" applyAlignment="1">
      <alignment horizontal="center"/>
    </xf>
    <xf numFmtId="0" fontId="24" fillId="0" borderId="45" xfId="0" applyFont="1" applyBorder="1" applyAlignment="1">
      <alignment horizontal="center" vertical="center"/>
    </xf>
    <xf numFmtId="0" fontId="24" fillId="0" borderId="46" xfId="0" applyFont="1" applyBorder="1" applyAlignment="1">
      <alignment horizontal="center" vertical="center"/>
    </xf>
    <xf numFmtId="0" fontId="24" fillId="0" borderId="52" xfId="0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24" fillId="0" borderId="59" xfId="0" applyFont="1" applyBorder="1" applyAlignment="1">
      <alignment horizontal="center" vertical="center"/>
    </xf>
    <xf numFmtId="0" fontId="24" fillId="0" borderId="60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0" fontId="24" fillId="0" borderId="44" xfId="0" applyFont="1" applyBorder="1" applyAlignment="1">
      <alignment horizontal="center" vertical="center"/>
    </xf>
    <xf numFmtId="10" fontId="0" fillId="0" borderId="25" xfId="1" applyNumberFormat="1" applyFont="1" applyBorder="1" applyAlignment="1">
      <alignment horizontal="center" vertical="center"/>
    </xf>
    <xf numFmtId="10" fontId="0" fillId="0" borderId="29" xfId="1" applyNumberFormat="1" applyFont="1" applyBorder="1" applyAlignment="1">
      <alignment horizontal="center" vertical="center"/>
    </xf>
    <xf numFmtId="10" fontId="1" fillId="0" borderId="28" xfId="1" applyNumberFormat="1" applyFont="1" applyBorder="1" applyAlignment="1">
      <alignment horizontal="center"/>
    </xf>
    <xf numFmtId="10" fontId="1" fillId="0" borderId="29" xfId="1" applyNumberFormat="1" applyFont="1" applyBorder="1" applyAlignment="1">
      <alignment horizontal="center"/>
    </xf>
    <xf numFmtId="0" fontId="0" fillId="0" borderId="24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0" borderId="56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10" fontId="2" fillId="0" borderId="33" xfId="1" applyNumberFormat="1" applyFont="1" applyBorder="1" applyAlignment="1">
      <alignment horizontal="center"/>
    </xf>
    <xf numFmtId="10" fontId="2" fillId="0" borderId="49" xfId="1" applyNumberFormat="1" applyFont="1" applyBorder="1" applyAlignment="1">
      <alignment horizontal="center"/>
    </xf>
    <xf numFmtId="0" fontId="38" fillId="21" borderId="24" xfId="0" applyFont="1" applyFill="1" applyBorder="1" applyAlignment="1">
      <alignment horizontal="center" vertical="center"/>
    </xf>
    <xf numFmtId="0" fontId="38" fillId="21" borderId="25" xfId="0" applyFont="1" applyFill="1" applyBorder="1" applyAlignment="1">
      <alignment horizontal="center" vertical="center"/>
    </xf>
    <xf numFmtId="0" fontId="38" fillId="21" borderId="26" xfId="0" applyFont="1" applyFill="1" applyBorder="1" applyAlignment="1">
      <alignment horizontal="center" vertical="center"/>
    </xf>
    <xf numFmtId="0" fontId="38" fillId="21" borderId="27" xfId="0" applyFont="1" applyFill="1" applyBorder="1" applyAlignment="1">
      <alignment horizontal="center" vertical="center"/>
    </xf>
    <xf numFmtId="0" fontId="41" fillId="0" borderId="26" xfId="0" applyFont="1" applyBorder="1" applyAlignment="1">
      <alignment horizontal="center" vertical="center" wrapText="1"/>
    </xf>
    <xf numFmtId="0" fontId="41" fillId="0" borderId="27" xfId="0" applyFont="1" applyBorder="1" applyAlignment="1">
      <alignment horizontal="center" vertical="center" wrapText="1"/>
    </xf>
    <xf numFmtId="0" fontId="41" fillId="0" borderId="28" xfId="0" applyFont="1" applyBorder="1" applyAlignment="1">
      <alignment horizontal="center" vertical="center" wrapText="1"/>
    </xf>
    <xf numFmtId="0" fontId="41" fillId="0" borderId="29" xfId="0" applyFont="1" applyBorder="1" applyAlignment="1">
      <alignment horizontal="center" vertical="center" wrapText="1"/>
    </xf>
    <xf numFmtId="0" fontId="2" fillId="15" borderId="59" xfId="0" applyFont="1" applyFill="1" applyBorder="1" applyAlignment="1">
      <alignment horizontal="center"/>
    </xf>
    <xf numFmtId="0" fontId="2" fillId="15" borderId="64" xfId="0" applyFont="1" applyFill="1" applyBorder="1" applyAlignment="1">
      <alignment horizontal="center"/>
    </xf>
    <xf numFmtId="0" fontId="2" fillId="15" borderId="60" xfId="0" applyFont="1" applyFill="1" applyBorder="1" applyAlignment="1">
      <alignment horizontal="center"/>
    </xf>
    <xf numFmtId="0" fontId="24" fillId="0" borderId="47" xfId="0" applyFont="1" applyBorder="1" applyAlignment="1">
      <alignment horizontal="center" vertical="center" wrapText="1"/>
    </xf>
    <xf numFmtId="0" fontId="24" fillId="0" borderId="55" xfId="0" applyFont="1" applyBorder="1" applyAlignment="1">
      <alignment horizontal="center" vertical="center" wrapText="1"/>
    </xf>
    <xf numFmtId="0" fontId="24" fillId="0" borderId="68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" fillId="11" borderId="59" xfId="0" applyFont="1" applyFill="1" applyBorder="1" applyAlignment="1">
      <alignment horizontal="center"/>
    </xf>
    <xf numFmtId="0" fontId="2" fillId="11" borderId="64" xfId="0" applyFont="1" applyFill="1" applyBorder="1" applyAlignment="1">
      <alignment horizontal="center"/>
    </xf>
    <xf numFmtId="0" fontId="2" fillId="11" borderId="60" xfId="0" applyFont="1" applyFill="1" applyBorder="1" applyAlignment="1">
      <alignment horizontal="center"/>
    </xf>
    <xf numFmtId="0" fontId="2" fillId="19" borderId="24" xfId="0" applyFont="1" applyFill="1" applyBorder="1" applyAlignment="1">
      <alignment horizontal="center" vertical="center" wrapText="1"/>
    </xf>
    <xf numFmtId="0" fontId="2" fillId="19" borderId="25" xfId="0" applyFont="1" applyFill="1" applyBorder="1" applyAlignment="1">
      <alignment horizontal="center" vertical="center" wrapText="1"/>
    </xf>
    <xf numFmtId="0" fontId="2" fillId="19" borderId="50" xfId="0" applyFont="1" applyFill="1" applyBorder="1" applyAlignment="1">
      <alignment horizontal="center" vertical="center" wrapText="1"/>
    </xf>
    <xf numFmtId="0" fontId="2" fillId="19" borderId="51" xfId="0" applyFont="1" applyFill="1" applyBorder="1" applyAlignment="1">
      <alignment horizontal="center" vertical="center" wrapText="1"/>
    </xf>
    <xf numFmtId="0" fontId="2" fillId="19" borderId="56" xfId="0" applyFont="1" applyFill="1" applyBorder="1" applyAlignment="1">
      <alignment horizontal="center" vertical="center" wrapText="1"/>
    </xf>
    <xf numFmtId="0" fontId="2" fillId="19" borderId="57" xfId="0" applyFont="1" applyFill="1" applyBorder="1" applyAlignment="1">
      <alignment horizontal="center" vertical="center" wrapText="1"/>
    </xf>
    <xf numFmtId="0" fontId="24" fillId="0" borderId="64" xfId="0" applyFont="1" applyBorder="1" applyAlignment="1">
      <alignment horizontal="right" vertical="center" wrapText="1"/>
    </xf>
    <xf numFmtId="0" fontId="24" fillId="0" borderId="0" xfId="0" applyFont="1" applyBorder="1" applyAlignment="1">
      <alignment horizontal="right" vertical="center" wrapText="1"/>
    </xf>
    <xf numFmtId="0" fontId="0" fillId="0" borderId="61" xfId="0" applyBorder="1" applyAlignment="1">
      <alignment horizontal="center" vertical="center" wrapText="1"/>
    </xf>
    <xf numFmtId="0" fontId="0" fillId="0" borderId="62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0" fillId="0" borderId="60" xfId="0" applyBorder="1" applyAlignment="1">
      <alignment horizontal="center" wrapText="1"/>
    </xf>
    <xf numFmtId="0" fontId="0" fillId="0" borderId="53" xfId="0" applyBorder="1" applyAlignment="1">
      <alignment horizontal="center" wrapText="1"/>
    </xf>
    <xf numFmtId="0" fontId="2" fillId="11" borderId="37" xfId="0" applyFont="1" applyFill="1" applyBorder="1" applyAlignment="1">
      <alignment horizontal="center"/>
    </xf>
    <xf numFmtId="0" fontId="2" fillId="11" borderId="38" xfId="0" applyFont="1" applyFill="1" applyBorder="1" applyAlignment="1">
      <alignment horizontal="center"/>
    </xf>
    <xf numFmtId="0" fontId="2" fillId="11" borderId="39" xfId="0" applyFont="1" applyFill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0" fillId="2" borderId="0" xfId="0" applyFill="1" applyAlignment="1">
      <alignment horizontal="center" vertical="center"/>
    </xf>
    <xf numFmtId="170" fontId="0" fillId="0" borderId="0" xfId="0" applyNumberFormat="1"/>
  </cellXfs>
  <cellStyles count="5">
    <cellStyle name="Normal" xfId="0" builtinId="0"/>
    <cellStyle name="Normal 2" xfId="2"/>
    <cellStyle name="Normal 3" xfId="3"/>
    <cellStyle name="Percent 2" xfId="4"/>
    <cellStyle name="Porcentagem" xfId="1" builtinId="5"/>
  </cellStyles>
  <dxfs count="86">
    <dxf>
      <font>
        <color rgb="FFC00000"/>
      </font>
      <fill>
        <patternFill>
          <bgColor rgb="FFFFA7A7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auto="1"/>
      </font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1"/>
      </font>
      <fill>
        <patternFill>
          <bgColor rgb="FF92D05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00B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</dxfs>
  <tableStyles count="0" defaultTableStyle="TableStyleMedium2" defaultPivotStyle="PivotStyleLight16"/>
  <colors>
    <mruColors>
      <color rgb="FF2103FD"/>
      <color rgb="FFFF9F9F"/>
      <color rgb="FFFFA7A7"/>
      <color rgb="FF0048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Section 1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DataSheet!$AS$26</c:f>
              <c:numCache>
                <c:formatCode>General</c:formatCode>
                <c:ptCount val="1"/>
                <c:pt idx="0">
                  <c:v>3444336.0804700097</c:v>
                </c:pt>
              </c:numCache>
            </c:numRef>
          </c:xVal>
          <c:yVal>
            <c:numRef>
              <c:f>'Test Procedure Data'!$H$23:$I$23</c:f>
              <c:numCache>
                <c:formatCode>0.0000</c:formatCode>
                <c:ptCount val="2"/>
                <c:pt idx="0">
                  <c:v>0.45990677176579392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ser>
          <c:idx val="3"/>
          <c:order val="3"/>
          <c:tx>
            <c:v>Section 2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DataSheet!$AT$26</c:f>
              <c:numCache>
                <c:formatCode>0.00E+00</c:formatCode>
                <c:ptCount val="1"/>
                <c:pt idx="0">
                  <c:v>11333353.513971122</c:v>
                </c:pt>
              </c:numCache>
            </c:numRef>
          </c:xVal>
          <c:yVal>
            <c:numRef>
              <c:f>'Test Procedure Data'!$M$23:$N$23</c:f>
              <c:numCache>
                <c:formatCode>0.0000</c:formatCode>
                <c:ptCount val="2"/>
                <c:pt idx="0">
                  <c:v>0.53165848172920782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87-4BA8-B78C-31CDC5310D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Section 1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0.80577006125804551</c:v>
                </c:pt>
              </c:numCache>
            </c:numRef>
          </c:xVal>
          <c:yVal>
            <c:numRef>
              <c:f>'Test Procedure Data'!$H$21:$I$21</c:f>
              <c:numCache>
                <c:formatCode>0.00000</c:formatCode>
                <c:ptCount val="2"/>
                <c:pt idx="0">
                  <c:v>-1.2852169656465073E-2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ser>
          <c:idx val="3"/>
          <c:order val="3"/>
          <c:tx>
            <c:v>Section 2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DataSheet!$AT$25</c:f>
              <c:numCache>
                <c:formatCode>0.00000</c:formatCode>
                <c:ptCount val="1"/>
                <c:pt idx="0">
                  <c:v>0.89464555474377661</c:v>
                </c:pt>
              </c:numCache>
            </c:numRef>
          </c:xVal>
          <c:yVal>
            <c:numRef>
              <c:f>'Test Procedure Data'!$M$21:$N$21</c:f>
              <c:numCache>
                <c:formatCode>0.00000</c:formatCode>
                <c:ptCount val="2"/>
                <c:pt idx="0">
                  <c:v>1.1444753683164222E-2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84-4271-978F-DD946C940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1 - Pol. Head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DataSheet!$AP$42:$AP$49</c:f>
              <c:numCache>
                <c:formatCode>0.00</c:formatCode>
                <c:ptCount val="8"/>
                <c:pt idx="0">
                  <c:v>11000</c:v>
                </c:pt>
                <c:pt idx="1">
                  <c:v>13000</c:v>
                </c:pt>
                <c:pt idx="2">
                  <c:v>14000.072579891636</c:v>
                </c:pt>
              </c:numCache>
            </c:numRef>
          </c:xVal>
          <c:yVal>
            <c:numRef>
              <c:f>DataSheet!$AQ$42:$AQ$49</c:f>
              <c:numCache>
                <c:formatCode>0.00</c:formatCode>
                <c:ptCount val="8"/>
                <c:pt idx="0">
                  <c:v>38.5</c:v>
                </c:pt>
                <c:pt idx="1">
                  <c:v>36</c:v>
                </c:pt>
                <c:pt idx="2">
                  <c:v>33.675007997094966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8E-4CD3-82A5-FFE22A3E1C78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Data'!$U$22:$U$31</c:f>
              <c:numCache>
                <c:formatCode>General</c:formatCode>
                <c:ptCount val="10"/>
                <c:pt idx="0">
                  <c:v>8206.6772655007953</c:v>
                </c:pt>
                <c:pt idx="1">
                  <c:v>10942.236354001061</c:v>
                </c:pt>
                <c:pt idx="2" formatCode="0.0000">
                  <c:v>12310.015898251195</c:v>
                </c:pt>
                <c:pt idx="3">
                  <c:v>13677.795442501325</c:v>
                </c:pt>
                <c:pt idx="4">
                  <c:v>14361.685214626392</c:v>
                </c:pt>
                <c:pt idx="5">
                  <c:v>17781.134075251724</c:v>
                </c:pt>
              </c:numCache>
            </c:numRef>
          </c:xVal>
          <c:yVal>
            <c:numRef>
              <c:f>'Actual Test Data'!$S$22:$S$31</c:f>
              <c:numCache>
                <c:formatCode>General</c:formatCode>
                <c:ptCount val="10"/>
                <c:pt idx="0">
                  <c:v>42.10491468821408</c:v>
                </c:pt>
                <c:pt idx="1">
                  <c:v>39.769778637710971</c:v>
                </c:pt>
                <c:pt idx="2">
                  <c:v>37.484246467377005</c:v>
                </c:pt>
                <c:pt idx="3">
                  <c:v>34.843346620601622</c:v>
                </c:pt>
                <c:pt idx="4">
                  <c:v>33.464420776421072</c:v>
                </c:pt>
                <c:pt idx="5">
                  <c:v>24.100008989407826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8E-4CD3-82A5-FFE22A3E1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1 - Pol Efficiency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DataSheet!$AP$42:$AP$49</c:f>
              <c:numCache>
                <c:formatCode>0.00</c:formatCode>
                <c:ptCount val="8"/>
                <c:pt idx="0">
                  <c:v>11000</c:v>
                </c:pt>
                <c:pt idx="1">
                  <c:v>13000</c:v>
                </c:pt>
                <c:pt idx="2">
                  <c:v>14000.072579891636</c:v>
                </c:pt>
              </c:numCache>
            </c:numRef>
          </c:xVal>
          <c:yVal>
            <c:numRef>
              <c:f>DataSheet!$AS$42:$AS$49</c:f>
              <c:numCache>
                <c:formatCode>0.0%</c:formatCode>
                <c:ptCount val="8"/>
                <c:pt idx="0">
                  <c:v>0.75</c:v>
                </c:pt>
                <c:pt idx="1">
                  <c:v>0.72</c:v>
                </c:pt>
                <c:pt idx="2">
                  <c:v>0.69764585396711076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A-4B69-8812-8FA93F9973F3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Data'!$U$22:$U$31</c:f>
              <c:numCache>
                <c:formatCode>General</c:formatCode>
                <c:ptCount val="10"/>
                <c:pt idx="0">
                  <c:v>8206.6772655007953</c:v>
                </c:pt>
                <c:pt idx="1">
                  <c:v>10942.236354001061</c:v>
                </c:pt>
                <c:pt idx="2" formatCode="0.0000">
                  <c:v>12310.015898251195</c:v>
                </c:pt>
                <c:pt idx="3">
                  <c:v>13677.795442501325</c:v>
                </c:pt>
                <c:pt idx="4">
                  <c:v>14361.685214626392</c:v>
                </c:pt>
                <c:pt idx="5">
                  <c:v>17781.134075251724</c:v>
                </c:pt>
              </c:numCache>
            </c:numRef>
          </c:xVal>
          <c:yVal>
            <c:numRef>
              <c:f>'Actual Test Data'!$AB$22:$AB$31</c:f>
              <c:numCache>
                <c:formatCode>0.00%</c:formatCode>
                <c:ptCount val="10"/>
                <c:pt idx="0">
                  <c:v>0.7056731612812156</c:v>
                </c:pt>
                <c:pt idx="1">
                  <c:v>0.75393349234841445</c:v>
                </c:pt>
                <c:pt idx="2">
                  <c:v>0.73309328068200297</c:v>
                </c:pt>
                <c:pt idx="3">
                  <c:v>0.70605330835331781</c:v>
                </c:pt>
                <c:pt idx="4">
                  <c:v>0.68912072120134127</c:v>
                </c:pt>
                <c:pt idx="5">
                  <c:v>0.53444351606358975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A-4B69-8812-8FA93F997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FD-4561-807A-1B9F37EC0B6C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FD-4561-807A-1B9F37EC0B6C}"/>
            </c:ext>
          </c:extLst>
        </c:ser>
        <c:ser>
          <c:idx val="2"/>
          <c:order val="2"/>
          <c:tx>
            <c:v>Test_Gar_Sec1_point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E9FD-4561-807A-1B9F37EC0B6C}"/>
              </c:ext>
            </c:extLst>
          </c:dPt>
          <c:xVal>
            <c:numRef>
              <c:f>DataSheet!$AS$26</c:f>
              <c:numCache>
                <c:formatCode>General</c:formatCode>
                <c:ptCount val="1"/>
                <c:pt idx="0">
                  <c:v>3444336.0804700097</c:v>
                </c:pt>
              </c:numCache>
            </c:numRef>
          </c:xVal>
          <c:yVal>
            <c:numRef>
              <c:f>'Actual Test Data'!$L$32</c:f>
              <c:numCache>
                <c:formatCode>General</c:formatCode>
                <c:ptCount val="1"/>
                <c:pt idx="0">
                  <c:v>0.45740650535804456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9FD-4561-807A-1B9F37EC0B6C}"/>
            </c:ext>
          </c:extLst>
        </c:ser>
        <c:ser>
          <c:idx val="3"/>
          <c:order val="3"/>
          <c:tx>
            <c:v>Test_Gar_Sec2_point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0"/>
            <c:marker>
              <c:symbol val="diamond"/>
              <c:size val="7"/>
              <c:spPr>
                <a:solidFill>
                  <a:srgbClr val="2103FD"/>
                </a:solidFill>
                <a:ln w="9525">
                  <a:solidFill>
                    <a:srgbClr val="2103FD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E9FD-4561-807A-1B9F37EC0B6C}"/>
              </c:ext>
            </c:extLst>
          </c:dPt>
          <c:xVal>
            <c:numRef>
              <c:f>DataSheet!$AT$26</c:f>
              <c:numCache>
                <c:formatCode>0.00E+00</c:formatCode>
                <c:ptCount val="1"/>
                <c:pt idx="0">
                  <c:v>11333353.513971122</c:v>
                </c:pt>
              </c:numCache>
            </c:numRef>
          </c:xVal>
          <c:yVal>
            <c:numRef>
              <c:f>'Actual Test Data'!$L$47</c:f>
              <c:numCache>
                <c:formatCode>General</c:formatCode>
                <c:ptCount val="1"/>
                <c:pt idx="0">
                  <c:v>0.52238653484859876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9FD-4561-807A-1B9F37EC0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37-471A-86E0-2BEE16CA97F9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37-471A-86E0-2BEE16CA97F9}"/>
            </c:ext>
          </c:extLst>
        </c:ser>
        <c:ser>
          <c:idx val="2"/>
          <c:order val="2"/>
          <c:tx>
            <c:v>Test_Gar_Sec1_point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0.80577006125804551</c:v>
                </c:pt>
              </c:numCache>
            </c:numRef>
          </c:xVal>
          <c:yVal>
            <c:numRef>
              <c:f>'Actual Test Data'!$J$32</c:f>
              <c:numCache>
                <c:formatCode>General</c:formatCode>
                <c:ptCount val="1"/>
                <c:pt idx="0">
                  <c:v>-1.2915032163883861E-2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37-471A-86E0-2BEE16CA97F9}"/>
            </c:ext>
          </c:extLst>
        </c:ser>
        <c:ser>
          <c:idx val="3"/>
          <c:order val="3"/>
          <c:tx>
            <c:v>Test_Gar_Sec2_point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2103FD"/>
              </a:solidFill>
              <a:ln w="9525">
                <a:solidFill>
                  <a:srgbClr val="2103FD"/>
                </a:solidFill>
              </a:ln>
              <a:effectLst/>
            </c:spPr>
          </c:marker>
          <c:xVal>
            <c:numRef>
              <c:f>DataSheet!$AT$25</c:f>
              <c:numCache>
                <c:formatCode>0.00000</c:formatCode>
                <c:ptCount val="1"/>
                <c:pt idx="0">
                  <c:v>0.89464555474377661</c:v>
                </c:pt>
              </c:numCache>
            </c:numRef>
          </c:xVal>
          <c:yVal>
            <c:numRef>
              <c:f>'Actual Test Data'!$J$47</c:f>
              <c:numCache>
                <c:formatCode>General</c:formatCode>
                <c:ptCount val="1"/>
                <c:pt idx="0">
                  <c:v>1.1241362144657197E-2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37-471A-86E0-2BEE16CA9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2 - Pol. Head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DataSheet!$AP$53:$AP$59</c:f>
              <c:numCache>
                <c:formatCode>0.00</c:formatCode>
                <c:ptCount val="7"/>
                <c:pt idx="0">
                  <c:v>30000</c:v>
                </c:pt>
                <c:pt idx="1">
                  <c:v>35000</c:v>
                </c:pt>
                <c:pt idx="2">
                  <c:v>38924.251414575934</c:v>
                </c:pt>
              </c:numCache>
            </c:numRef>
          </c:xVal>
          <c:yVal>
            <c:numRef>
              <c:f>DataSheet!$AQ$53:$AQ$59</c:f>
              <c:numCache>
                <c:formatCode>0.00</c:formatCode>
                <c:ptCount val="7"/>
                <c:pt idx="0">
                  <c:v>87.5</c:v>
                </c:pt>
                <c:pt idx="1">
                  <c:v>85</c:v>
                </c:pt>
                <c:pt idx="2">
                  <c:v>82.664107065268283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8E-4CD3-82A5-FFE22A3E1C78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Data'!$U$37:$U$46</c:f>
              <c:numCache>
                <c:formatCode>General</c:formatCode>
                <c:ptCount val="10"/>
                <c:pt idx="0">
                  <c:v>21494.671999772527</c:v>
                </c:pt>
                <c:pt idx="1">
                  <c:v>28812.841225219905</c:v>
                </c:pt>
                <c:pt idx="2" formatCode="0.0000">
                  <c:v>32675.918392549538</c:v>
                </c:pt>
                <c:pt idx="3">
                  <c:v>37469.536997461182</c:v>
                </c:pt>
                <c:pt idx="4">
                  <c:v>39411.953815513916</c:v>
                </c:pt>
                <c:pt idx="5">
                  <c:v>49905.329232838922</c:v>
                </c:pt>
              </c:numCache>
            </c:numRef>
          </c:xVal>
          <c:yVal>
            <c:numRef>
              <c:f>'Actual Test Data'!$S$37:$S$46</c:f>
              <c:numCache>
                <c:formatCode>General</c:formatCode>
                <c:ptCount val="10"/>
                <c:pt idx="0">
                  <c:v>91.893492704076337</c:v>
                </c:pt>
                <c:pt idx="1">
                  <c:v>90.433604979483519</c:v>
                </c:pt>
                <c:pt idx="2">
                  <c:v>88.136056933272016</c:v>
                </c:pt>
                <c:pt idx="3">
                  <c:v>84.806098952690306</c:v>
                </c:pt>
                <c:pt idx="4">
                  <c:v>83.708981663484735</c:v>
                </c:pt>
                <c:pt idx="5">
                  <c:v>72.147462385695817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8E-4CD3-82A5-FFE22A3E1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Section 2 - Pol Efficiency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DataSheet!$AP$53:$AP$59</c:f>
              <c:numCache>
                <c:formatCode>0.00</c:formatCode>
                <c:ptCount val="7"/>
                <c:pt idx="0">
                  <c:v>30000</c:v>
                </c:pt>
                <c:pt idx="1">
                  <c:v>35000</c:v>
                </c:pt>
                <c:pt idx="2">
                  <c:v>38924.251414575934</c:v>
                </c:pt>
              </c:numCache>
            </c:numRef>
          </c:xVal>
          <c:yVal>
            <c:numRef>
              <c:f>DataSheet!$AS$53:$AS$59</c:f>
              <c:numCache>
                <c:formatCode>0.0%</c:formatCode>
                <c:ptCount val="7"/>
                <c:pt idx="0">
                  <c:v>0.82</c:v>
                </c:pt>
                <c:pt idx="1">
                  <c:v>0.84</c:v>
                </c:pt>
                <c:pt idx="2">
                  <c:v>0.84214168812256252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A-4B69-8812-8FA93F9973F3}"/>
            </c:ext>
          </c:extLst>
        </c:ser>
        <c:ser>
          <c:idx val="1"/>
          <c:order val="1"/>
          <c:tx>
            <c:v>Test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'Actual Test Data'!$U$37:$U$46</c:f>
              <c:numCache>
                <c:formatCode>General</c:formatCode>
                <c:ptCount val="10"/>
                <c:pt idx="0">
                  <c:v>21494.671999772527</c:v>
                </c:pt>
                <c:pt idx="1">
                  <c:v>28812.841225219905</c:v>
                </c:pt>
                <c:pt idx="2" formatCode="0.0000">
                  <c:v>32675.918392549538</c:v>
                </c:pt>
                <c:pt idx="3">
                  <c:v>37469.536997461182</c:v>
                </c:pt>
                <c:pt idx="4">
                  <c:v>39411.953815513916</c:v>
                </c:pt>
                <c:pt idx="5">
                  <c:v>49905.329232838922</c:v>
                </c:pt>
              </c:numCache>
            </c:numRef>
          </c:xVal>
          <c:yVal>
            <c:numRef>
              <c:f>'Actual Test Data'!$AB$37:$AB$46</c:f>
              <c:numCache>
                <c:formatCode>0.00%</c:formatCode>
                <c:ptCount val="10"/>
                <c:pt idx="0">
                  <c:v>0.7641962163031073</c:v>
                </c:pt>
                <c:pt idx="1">
                  <c:v>0.82899347513665866</c:v>
                </c:pt>
                <c:pt idx="2">
                  <c:v>0.84795263393430254</c:v>
                </c:pt>
                <c:pt idx="3">
                  <c:v>0.85299435746816832</c:v>
                </c:pt>
                <c:pt idx="4">
                  <c:v>0.83816059160406153</c:v>
                </c:pt>
                <c:pt idx="5">
                  <c:v>0.72145108693428051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A-4B69-8812-8FA93F997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28575</xdr:rowOff>
        </xdr:from>
        <xdr:to>
          <xdr:col>6</xdr:col>
          <xdr:colOff>104775</xdr:colOff>
          <xdr:row>1</xdr:row>
          <xdr:rowOff>238125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</a:rPr>
                <a:t>Restart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304800</xdr:colOff>
      <xdr:row>1</xdr:row>
      <xdr:rowOff>119062</xdr:rowOff>
    </xdr:from>
    <xdr:to>
      <xdr:col>27</xdr:col>
      <xdr:colOff>0</xdr:colOff>
      <xdr:row>15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304800</xdr:colOff>
      <xdr:row>15</xdr:row>
      <xdr:rowOff>157162</xdr:rowOff>
    </xdr:from>
    <xdr:to>
      <xdr:col>27</xdr:col>
      <xdr:colOff>0</xdr:colOff>
      <xdr:row>29</xdr:row>
      <xdr:rowOff>185737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17</xdr:row>
          <xdr:rowOff>152400</xdr:rowOff>
        </xdr:from>
        <xdr:to>
          <xdr:col>18</xdr:col>
          <xdr:colOff>438150</xdr:colOff>
          <xdr:row>19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51</xdr:row>
      <xdr:rowOff>109536</xdr:rowOff>
    </xdr:from>
    <xdr:to>
      <xdr:col>8</xdr:col>
      <xdr:colOff>600075</xdr:colOff>
      <xdr:row>70</xdr:row>
      <xdr:rowOff>38100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619125</xdr:colOff>
      <xdr:row>51</xdr:row>
      <xdr:rowOff>100011</xdr:rowOff>
    </xdr:from>
    <xdr:to>
      <xdr:col>17</xdr:col>
      <xdr:colOff>19050</xdr:colOff>
      <xdr:row>70</xdr:row>
      <xdr:rowOff>47624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104775</xdr:colOff>
      <xdr:row>28</xdr:row>
      <xdr:rowOff>95249</xdr:rowOff>
    </xdr:from>
    <xdr:to>
      <xdr:col>4</xdr:col>
      <xdr:colOff>390525</xdr:colOff>
      <xdr:row>39</xdr:row>
      <xdr:rowOff>114299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95250</xdr:colOff>
      <xdr:row>39</xdr:row>
      <xdr:rowOff>140229</xdr:rowOff>
    </xdr:from>
    <xdr:to>
      <xdr:col>4</xdr:col>
      <xdr:colOff>381000</xdr:colOff>
      <xdr:row>51</xdr:row>
      <xdr:rowOff>7805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133350</xdr:colOff>
      <xdr:row>70</xdr:row>
      <xdr:rowOff>42861</xdr:rowOff>
    </xdr:from>
    <xdr:to>
      <xdr:col>8</xdr:col>
      <xdr:colOff>600075</xdr:colOff>
      <xdr:row>88</xdr:row>
      <xdr:rowOff>161925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619125</xdr:colOff>
      <xdr:row>70</xdr:row>
      <xdr:rowOff>33336</xdr:rowOff>
    </xdr:from>
    <xdr:to>
      <xdr:col>17</xdr:col>
      <xdr:colOff>19050</xdr:colOff>
      <xdr:row>88</xdr:row>
      <xdr:rowOff>171449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142875</xdr:colOff>
          <xdr:row>4</xdr:row>
          <xdr:rowOff>171450</xdr:rowOff>
        </xdr:from>
        <xdr:to>
          <xdr:col>20</xdr:col>
          <xdr:colOff>628650</xdr:colOff>
          <xdr:row>7</xdr:row>
          <xdr:rowOff>9525</xdr:rowOff>
        </xdr:to>
        <xdr:sp macro="" textlink="">
          <xdr:nvSpPr>
            <xdr:cNvPr id="7197" name="Button 29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r7o/My%20Documents/SametimeFileTransfers/INJECTIONA%20-%20CASEB%20-%20REFPROP%20V1.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D"/>
      <sheetName val="TESTE"/>
      <sheetName val="CALC"/>
      <sheetName val="RESULTADOS"/>
      <sheetName val="LISTAS"/>
      <sheetName val="GRAF"/>
      <sheetName val="CURVAS"/>
      <sheetName val="CALC SPEC (5)"/>
      <sheetName val="ATUALIZAÇÕES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G2" t="str">
            <v>acetone</v>
          </cell>
        </row>
        <row r="3">
          <cell r="G3" t="str">
            <v>ammonia</v>
          </cell>
        </row>
        <row r="4">
          <cell r="G4" t="str">
            <v>argon</v>
          </cell>
        </row>
        <row r="5">
          <cell r="G5" t="str">
            <v>benzene</v>
          </cell>
        </row>
        <row r="6">
          <cell r="G6" t="str">
            <v>butane</v>
          </cell>
        </row>
        <row r="7">
          <cell r="G7" t="str">
            <v>butene</v>
          </cell>
        </row>
        <row r="8">
          <cell r="G8" t="str">
            <v>carbon dioxide</v>
          </cell>
        </row>
        <row r="9">
          <cell r="G9" t="str">
            <v>carbon monoxide</v>
          </cell>
        </row>
        <row r="10">
          <cell r="G10" t="str">
            <v>carbonyl sulfide</v>
          </cell>
        </row>
        <row r="11">
          <cell r="G11" t="str">
            <v>cis-butene</v>
          </cell>
        </row>
        <row r="12">
          <cell r="G12" t="str">
            <v>cyclohexane</v>
          </cell>
        </row>
        <row r="13">
          <cell r="G13" t="str">
            <v>cyclopentane</v>
          </cell>
        </row>
        <row r="14">
          <cell r="G14" t="str">
            <v>cyclopropane</v>
          </cell>
        </row>
        <row r="15">
          <cell r="G15" t="str">
            <v>D4</v>
          </cell>
        </row>
        <row r="16">
          <cell r="G16" t="str">
            <v>D5</v>
          </cell>
        </row>
        <row r="17">
          <cell r="G17" t="str">
            <v>D6</v>
          </cell>
        </row>
        <row r="18">
          <cell r="G18" t="str">
            <v>decane</v>
          </cell>
        </row>
        <row r="19">
          <cell r="G19" t="str">
            <v>diethyl ether</v>
          </cell>
        </row>
        <row r="20">
          <cell r="G20" t="str">
            <v>deuterium</v>
          </cell>
        </row>
        <row r="21">
          <cell r="G21" t="str">
            <v>dimethyl carbonate</v>
          </cell>
        </row>
        <row r="22">
          <cell r="G22" t="str">
            <v>dimethylether</v>
          </cell>
        </row>
        <row r="23">
          <cell r="G23" t="str">
            <v>dodecane</v>
          </cell>
        </row>
        <row r="24">
          <cell r="G24" t="str">
            <v>ethylbenzene</v>
          </cell>
        </row>
        <row r="25">
          <cell r="G25" t="str">
            <v>ethane</v>
          </cell>
        </row>
        <row r="26">
          <cell r="G26" t="str">
            <v>ethanol</v>
          </cell>
        </row>
        <row r="27">
          <cell r="G27" t="str">
            <v>ethylene</v>
          </cell>
        </row>
        <row r="28">
          <cell r="G28" t="str">
            <v>fluorine</v>
          </cell>
        </row>
        <row r="29">
          <cell r="G29" t="str">
            <v>hydrogen chloride</v>
          </cell>
        </row>
        <row r="30">
          <cell r="G30" t="str">
            <v>heavy water</v>
          </cell>
        </row>
        <row r="31">
          <cell r="G31" t="str">
            <v>helium</v>
          </cell>
        </row>
        <row r="32">
          <cell r="G32" t="str">
            <v>heptane</v>
          </cell>
        </row>
        <row r="33">
          <cell r="G33" t="str">
            <v>hexane</v>
          </cell>
        </row>
        <row r="34">
          <cell r="G34" t="str">
            <v>hydrogen (normal)</v>
          </cell>
        </row>
        <row r="35">
          <cell r="G35" t="str">
            <v>hydrogen sulfide</v>
          </cell>
        </row>
        <row r="36">
          <cell r="G36" t="str">
            <v>isoctane</v>
          </cell>
        </row>
        <row r="37">
          <cell r="G37" t="str">
            <v>isobutane</v>
          </cell>
        </row>
        <row r="38">
          <cell r="G38" t="str">
            <v>isobutene</v>
          </cell>
        </row>
        <row r="39">
          <cell r="G39" t="str">
            <v>isohexane</v>
          </cell>
        </row>
        <row r="40">
          <cell r="G40" t="str">
            <v>isopentane</v>
          </cell>
        </row>
        <row r="41">
          <cell r="G41" t="str">
            <v>krypton</v>
          </cell>
        </row>
        <row r="42">
          <cell r="G42" t="str">
            <v>md2m</v>
          </cell>
        </row>
        <row r="43">
          <cell r="G43" t="str">
            <v>md3m</v>
          </cell>
        </row>
        <row r="44">
          <cell r="G44" t="str">
            <v>md4m</v>
          </cell>
        </row>
        <row r="45">
          <cell r="G45" t="str">
            <v>mdm</v>
          </cell>
        </row>
        <row r="46">
          <cell r="G46" t="str">
            <v>methane</v>
          </cell>
        </row>
        <row r="47">
          <cell r="G47" t="str">
            <v>methanol</v>
          </cell>
        </row>
        <row r="48">
          <cell r="G48" t="str">
            <v>methyl linoleate</v>
          </cell>
        </row>
        <row r="49">
          <cell r="G49" t="str">
            <v>methyl linolenate</v>
          </cell>
        </row>
        <row r="50">
          <cell r="G50" t="str">
            <v>methyl oleate</v>
          </cell>
        </row>
        <row r="51">
          <cell r="G51" t="str">
            <v>methyl palmitate</v>
          </cell>
        </row>
        <row r="52">
          <cell r="G52" t="str">
            <v>methyl stearate</v>
          </cell>
        </row>
        <row r="53">
          <cell r="G53" t="str">
            <v>methylcyclohexane</v>
          </cell>
        </row>
        <row r="54">
          <cell r="G54" t="str">
            <v>MM</v>
          </cell>
        </row>
        <row r="55">
          <cell r="G55" t="str">
            <v>m-xylene</v>
          </cell>
        </row>
        <row r="56">
          <cell r="G56" t="str">
            <v>neon</v>
          </cell>
        </row>
        <row r="57">
          <cell r="G57" t="str">
            <v>neopentane</v>
          </cell>
        </row>
        <row r="58">
          <cell r="G58" t="str">
            <v>nitrogen</v>
          </cell>
        </row>
        <row r="59">
          <cell r="G59" t="str">
            <v>nitrogen triflouride</v>
          </cell>
        </row>
        <row r="60">
          <cell r="G60" t="str">
            <v>nitrous oxide</v>
          </cell>
        </row>
        <row r="61">
          <cell r="G61" t="str">
            <v>nonane</v>
          </cell>
        </row>
        <row r="62">
          <cell r="G62" t="str">
            <v>Novec-649</v>
          </cell>
        </row>
        <row r="63">
          <cell r="G63" t="str">
            <v>octane</v>
          </cell>
        </row>
        <row r="64">
          <cell r="G64" t="str">
            <v>orthohydrogen</v>
          </cell>
        </row>
        <row r="65">
          <cell r="G65" t="str">
            <v>oxygen</v>
          </cell>
        </row>
        <row r="66">
          <cell r="G66" t="str">
            <v>o-xylene</v>
          </cell>
        </row>
        <row r="67">
          <cell r="G67" t="str">
            <v>parahydrogen</v>
          </cell>
        </row>
        <row r="68">
          <cell r="G68" t="str">
            <v>pentane</v>
          </cell>
        </row>
        <row r="69">
          <cell r="G69" t="str">
            <v>perfluorobutane</v>
          </cell>
        </row>
        <row r="70">
          <cell r="G70" t="str">
            <v>perfluoropentane</v>
          </cell>
        </row>
        <row r="71">
          <cell r="G71" t="str">
            <v>propane</v>
          </cell>
        </row>
        <row r="72">
          <cell r="G72" t="str">
            <v>propylcyclohexane</v>
          </cell>
        </row>
        <row r="73">
          <cell r="G73" t="str">
            <v>propylene</v>
          </cell>
        </row>
        <row r="74">
          <cell r="G74" t="str">
            <v>propyne</v>
          </cell>
        </row>
        <row r="75">
          <cell r="G75" t="str">
            <v>p-xylene</v>
          </cell>
        </row>
        <row r="76">
          <cell r="G76" t="str">
            <v>R11</v>
          </cell>
        </row>
        <row r="77">
          <cell r="G77" t="str">
            <v>R113</v>
          </cell>
        </row>
        <row r="78">
          <cell r="G78" t="str">
            <v>R114</v>
          </cell>
        </row>
        <row r="79">
          <cell r="G79" t="str">
            <v>R115</v>
          </cell>
        </row>
        <row r="80">
          <cell r="G80" t="str">
            <v>R116</v>
          </cell>
        </row>
        <row r="81">
          <cell r="G81" t="str">
            <v>R12</v>
          </cell>
        </row>
        <row r="82">
          <cell r="G82" t="str">
            <v>R1216</v>
          </cell>
        </row>
        <row r="83">
          <cell r="G83" t="str">
            <v>R123</v>
          </cell>
        </row>
        <row r="84">
          <cell r="G84" t="str">
            <v>R1233zd(E)</v>
          </cell>
        </row>
        <row r="85">
          <cell r="G85" t="str">
            <v>R1234yf</v>
          </cell>
        </row>
        <row r="86">
          <cell r="G86" t="str">
            <v>R1234ze(E)</v>
          </cell>
        </row>
        <row r="87">
          <cell r="G87" t="str">
            <v>R124</v>
          </cell>
        </row>
        <row r="88">
          <cell r="G88" t="str">
            <v>R125</v>
          </cell>
        </row>
        <row r="89">
          <cell r="G89" t="str">
            <v>R13</v>
          </cell>
        </row>
        <row r="90">
          <cell r="G90" t="str">
            <v>R134a</v>
          </cell>
        </row>
        <row r="91">
          <cell r="G91" t="str">
            <v>R14</v>
          </cell>
        </row>
        <row r="92">
          <cell r="G92" t="str">
            <v>R141b</v>
          </cell>
        </row>
        <row r="93">
          <cell r="G93" t="str">
            <v>R142b</v>
          </cell>
        </row>
        <row r="94">
          <cell r="G94" t="str">
            <v>R143a</v>
          </cell>
        </row>
        <row r="95">
          <cell r="G95" t="str">
            <v>R152a</v>
          </cell>
        </row>
        <row r="96">
          <cell r="G96" t="str">
            <v>R161</v>
          </cell>
        </row>
        <row r="97">
          <cell r="G97" t="str">
            <v>R21</v>
          </cell>
        </row>
        <row r="98">
          <cell r="G98" t="str">
            <v>R218</v>
          </cell>
        </row>
        <row r="99">
          <cell r="G99" t="str">
            <v>R22</v>
          </cell>
        </row>
        <row r="100">
          <cell r="G100" t="str">
            <v>R227ea</v>
          </cell>
        </row>
        <row r="101">
          <cell r="G101" t="str">
            <v>R23</v>
          </cell>
        </row>
        <row r="102">
          <cell r="G102" t="str">
            <v>R236ea</v>
          </cell>
        </row>
        <row r="103">
          <cell r="G103" t="str">
            <v>R236fa</v>
          </cell>
        </row>
        <row r="104">
          <cell r="G104" t="str">
            <v>R245ca</v>
          </cell>
        </row>
        <row r="105">
          <cell r="G105" t="str">
            <v>R245fa</v>
          </cell>
        </row>
        <row r="106">
          <cell r="G106" t="str">
            <v>R32</v>
          </cell>
        </row>
        <row r="107">
          <cell r="G107" t="str">
            <v>R365mfc</v>
          </cell>
        </row>
        <row r="108">
          <cell r="G108" t="str">
            <v>R40</v>
          </cell>
        </row>
        <row r="109">
          <cell r="G109" t="str">
            <v>R41</v>
          </cell>
        </row>
        <row r="110">
          <cell r="G110" t="str">
            <v>RC318</v>
          </cell>
        </row>
        <row r="111">
          <cell r="G111" t="str">
            <v>RE143a</v>
          </cell>
        </row>
        <row r="112">
          <cell r="G112" t="str">
            <v>RE245cb2</v>
          </cell>
        </row>
        <row r="113">
          <cell r="G113" t="str">
            <v>RE245fa2</v>
          </cell>
        </row>
        <row r="114">
          <cell r="G114" t="str">
            <v>RE347mcc</v>
          </cell>
        </row>
        <row r="115">
          <cell r="G115" t="str">
            <v>sulfur dioxide</v>
          </cell>
        </row>
        <row r="116">
          <cell r="G116" t="str">
            <v>sulfur hexafluoride</v>
          </cell>
        </row>
        <row r="117">
          <cell r="G117" t="str">
            <v>toluene</v>
          </cell>
        </row>
        <row r="118">
          <cell r="G118" t="str">
            <v>trans-butene</v>
          </cell>
        </row>
        <row r="119">
          <cell r="G119" t="str">
            <v>trifluoroiodomethane</v>
          </cell>
        </row>
        <row r="120">
          <cell r="G120" t="str">
            <v>undecane</v>
          </cell>
        </row>
        <row r="121">
          <cell r="G121" t="str">
            <v>water</v>
          </cell>
        </row>
        <row r="122">
          <cell r="G122" t="str">
            <v>xenon</v>
          </cell>
        </row>
        <row r="123">
          <cell r="G123" t="str">
            <v>air</v>
          </cell>
        </row>
        <row r="124">
          <cell r="G124" t="str">
            <v>R401A</v>
          </cell>
        </row>
        <row r="125">
          <cell r="G125" t="str">
            <v>R401B</v>
          </cell>
        </row>
        <row r="126">
          <cell r="G126" t="str">
            <v>R401C</v>
          </cell>
        </row>
        <row r="127">
          <cell r="G127" t="str">
            <v>R402A</v>
          </cell>
        </row>
        <row r="128">
          <cell r="G128" t="str">
            <v>R402B</v>
          </cell>
        </row>
        <row r="129">
          <cell r="G129" t="str">
            <v>R403A</v>
          </cell>
        </row>
        <row r="130">
          <cell r="G130" t="str">
            <v>R403B</v>
          </cell>
        </row>
        <row r="131">
          <cell r="G131" t="str">
            <v>R404A</v>
          </cell>
        </row>
        <row r="132">
          <cell r="G132" t="str">
            <v>R405A</v>
          </cell>
        </row>
        <row r="133">
          <cell r="G133" t="str">
            <v>R406A</v>
          </cell>
        </row>
        <row r="134">
          <cell r="G134" t="str">
            <v>R407A</v>
          </cell>
        </row>
        <row r="135">
          <cell r="G135" t="str">
            <v>R407B</v>
          </cell>
        </row>
        <row r="136">
          <cell r="G136" t="str">
            <v>R407C</v>
          </cell>
        </row>
        <row r="137">
          <cell r="G137" t="str">
            <v>R407D</v>
          </cell>
        </row>
        <row r="138">
          <cell r="G138" t="str">
            <v>R407E</v>
          </cell>
        </row>
        <row r="139">
          <cell r="G139" t="str">
            <v>R407F</v>
          </cell>
        </row>
        <row r="140">
          <cell r="G140" t="str">
            <v>R408A</v>
          </cell>
        </row>
        <row r="141">
          <cell r="G141" t="str">
            <v>R409A</v>
          </cell>
        </row>
        <row r="142">
          <cell r="G142" t="str">
            <v>R409B</v>
          </cell>
        </row>
        <row r="143">
          <cell r="G143" t="str">
            <v>R410A</v>
          </cell>
        </row>
        <row r="144">
          <cell r="G144" t="str">
            <v>R410B</v>
          </cell>
        </row>
        <row r="145">
          <cell r="G145" t="str">
            <v>R411A</v>
          </cell>
        </row>
        <row r="146">
          <cell r="G146" t="str">
            <v>R411B</v>
          </cell>
        </row>
        <row r="147">
          <cell r="G147" t="str">
            <v>R412A</v>
          </cell>
        </row>
        <row r="148">
          <cell r="G148" t="str">
            <v>R413A</v>
          </cell>
        </row>
        <row r="149">
          <cell r="G149" t="str">
            <v>R414A</v>
          </cell>
        </row>
        <row r="150">
          <cell r="G150" t="str">
            <v>R414B</v>
          </cell>
        </row>
        <row r="151">
          <cell r="G151" t="str">
            <v>R415A</v>
          </cell>
        </row>
        <row r="152">
          <cell r="G152" t="str">
            <v>R415B</v>
          </cell>
        </row>
        <row r="153">
          <cell r="G153" t="str">
            <v>R416A</v>
          </cell>
        </row>
        <row r="154">
          <cell r="G154" t="str">
            <v>R417A</v>
          </cell>
        </row>
        <row r="155">
          <cell r="G155" t="str">
            <v>R418A</v>
          </cell>
        </row>
        <row r="156">
          <cell r="G156" t="str">
            <v>R419A</v>
          </cell>
        </row>
        <row r="157">
          <cell r="G157" t="str">
            <v>R420A</v>
          </cell>
        </row>
        <row r="158">
          <cell r="G158" t="str">
            <v>R421A</v>
          </cell>
        </row>
        <row r="159">
          <cell r="G159" t="str">
            <v>R421B</v>
          </cell>
        </row>
        <row r="160">
          <cell r="G160" t="str">
            <v>R422A</v>
          </cell>
        </row>
        <row r="161">
          <cell r="G161" t="str">
            <v>R422B</v>
          </cell>
        </row>
        <row r="162">
          <cell r="G162" t="str">
            <v>R422C</v>
          </cell>
        </row>
        <row r="163">
          <cell r="G163" t="str">
            <v>R422D</v>
          </cell>
        </row>
        <row r="164">
          <cell r="G164" t="str">
            <v>R423A</v>
          </cell>
        </row>
        <row r="165">
          <cell r="G165" t="str">
            <v>R424A</v>
          </cell>
        </row>
        <row r="166">
          <cell r="G166" t="str">
            <v>R425A</v>
          </cell>
        </row>
        <row r="167">
          <cell r="G167" t="str">
            <v>R426A</v>
          </cell>
        </row>
        <row r="168">
          <cell r="G168" t="str">
            <v>R427A</v>
          </cell>
        </row>
        <row r="169">
          <cell r="G169" t="str">
            <v>R428A</v>
          </cell>
        </row>
        <row r="170">
          <cell r="G170" t="str">
            <v>R429A</v>
          </cell>
        </row>
        <row r="171">
          <cell r="G171" t="str">
            <v>R430A</v>
          </cell>
        </row>
        <row r="172">
          <cell r="G172" t="str">
            <v>R431A</v>
          </cell>
        </row>
        <row r="173">
          <cell r="G173" t="str">
            <v>R432A</v>
          </cell>
        </row>
        <row r="174">
          <cell r="G174" t="str">
            <v>R433A</v>
          </cell>
        </row>
        <row r="175">
          <cell r="G175" t="str">
            <v>R434A</v>
          </cell>
        </row>
        <row r="176">
          <cell r="G176" t="str">
            <v>R435A</v>
          </cell>
        </row>
        <row r="177">
          <cell r="G177" t="str">
            <v>R436A</v>
          </cell>
        </row>
        <row r="178">
          <cell r="G178" t="str">
            <v>R436B</v>
          </cell>
        </row>
        <row r="179">
          <cell r="G179" t="str">
            <v>R437A</v>
          </cell>
        </row>
        <row r="180">
          <cell r="G180" t="str">
            <v>R438A</v>
          </cell>
        </row>
        <row r="181">
          <cell r="G181" t="str">
            <v>R441A</v>
          </cell>
        </row>
        <row r="182">
          <cell r="G182" t="str">
            <v>R442A</v>
          </cell>
        </row>
        <row r="183">
          <cell r="G183" t="str">
            <v>R443A</v>
          </cell>
        </row>
        <row r="184">
          <cell r="G184" t="str">
            <v>R444A</v>
          </cell>
        </row>
        <row r="185">
          <cell r="G185" t="str">
            <v>R500</v>
          </cell>
        </row>
        <row r="186">
          <cell r="G186" t="str">
            <v>R501</v>
          </cell>
        </row>
        <row r="187">
          <cell r="G187" t="str">
            <v>R502</v>
          </cell>
        </row>
        <row r="188">
          <cell r="G188" t="str">
            <v>R503</v>
          </cell>
        </row>
        <row r="189">
          <cell r="G189" t="str">
            <v>R504</v>
          </cell>
        </row>
        <row r="190">
          <cell r="G190" t="str">
            <v>R507A</v>
          </cell>
        </row>
        <row r="191">
          <cell r="G191" t="str">
            <v>R508A</v>
          </cell>
        </row>
        <row r="192">
          <cell r="G192" t="str">
            <v>R508B</v>
          </cell>
        </row>
        <row r="193">
          <cell r="G193" t="str">
            <v>R509A</v>
          </cell>
        </row>
        <row r="194">
          <cell r="G194" t="str">
            <v>R510A</v>
          </cell>
        </row>
        <row r="195">
          <cell r="G195" t="str">
            <v>R512A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:AX175"/>
  <sheetViews>
    <sheetView zoomScale="80" zoomScaleNormal="80" workbookViewId="0">
      <selection activeCell="AR15" sqref="AR15"/>
    </sheetView>
  </sheetViews>
  <sheetFormatPr defaultRowHeight="15" x14ac:dyDescent="0.25"/>
  <cols>
    <col min="1" max="2" width="2.5703125" customWidth="1"/>
    <col min="3" max="18" width="3.140625" customWidth="1"/>
    <col min="19" max="19" width="0.85546875" customWidth="1"/>
    <col min="20" max="37" width="3.140625" customWidth="1"/>
    <col min="38" max="38" width="0" hidden="1" customWidth="1"/>
    <col min="39" max="39" width="0.85546875" customWidth="1"/>
    <col min="40" max="40" width="9.5703125" bestFit="1" customWidth="1"/>
    <col min="41" max="41" width="2.5703125" customWidth="1"/>
    <col min="45" max="45" width="12" bestFit="1" customWidth="1"/>
    <col min="46" max="46" width="12" customWidth="1"/>
  </cols>
  <sheetData>
    <row r="1" spans="1:50" x14ac:dyDescent="0.2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3"/>
      <c r="S1" s="4" t="s">
        <v>0</v>
      </c>
      <c r="T1" s="5"/>
      <c r="U1" s="5"/>
      <c r="V1" s="6"/>
      <c r="W1" s="7" t="s">
        <v>1</v>
      </c>
      <c r="X1" s="7"/>
      <c r="Y1" s="7"/>
      <c r="Z1" s="7"/>
      <c r="AA1" s="7"/>
      <c r="AB1" s="8" t="s">
        <v>2</v>
      </c>
      <c r="AC1" s="5"/>
      <c r="AD1" s="5"/>
      <c r="AE1" s="7"/>
      <c r="AF1" s="7"/>
      <c r="AG1" s="7"/>
      <c r="AH1" s="7"/>
      <c r="AI1" s="7"/>
      <c r="AJ1" s="7"/>
      <c r="AK1" s="7"/>
      <c r="AL1" s="9"/>
      <c r="AM1" s="3"/>
      <c r="AN1" s="10"/>
      <c r="AO1" s="9"/>
      <c r="AP1" s="9"/>
      <c r="AQ1" s="9"/>
      <c r="AR1" s="9"/>
      <c r="AS1" s="9"/>
      <c r="AT1" s="9"/>
      <c r="AU1" s="9"/>
      <c r="AV1" s="9"/>
      <c r="AW1" s="9"/>
      <c r="AX1" s="9"/>
    </row>
    <row r="2" spans="1:50" ht="20.25" x14ac:dyDescent="0.3">
      <c r="A2" s="185"/>
      <c r="B2" s="186"/>
      <c r="C2" s="186"/>
      <c r="D2" s="186"/>
      <c r="E2" s="11"/>
      <c r="F2" s="12"/>
      <c r="G2" s="11"/>
      <c r="H2" s="186"/>
      <c r="I2" s="186"/>
      <c r="J2" s="186"/>
      <c r="K2" s="186"/>
      <c r="L2" s="186"/>
      <c r="M2" s="186"/>
      <c r="N2" s="186"/>
      <c r="O2" s="186"/>
      <c r="P2" s="186"/>
      <c r="Q2" s="186"/>
      <c r="R2" s="187"/>
      <c r="S2" s="13" t="s">
        <v>3</v>
      </c>
      <c r="T2" s="13"/>
      <c r="U2" s="13"/>
      <c r="V2" s="12"/>
      <c r="W2" s="13"/>
      <c r="X2" s="13"/>
      <c r="Y2" s="13"/>
      <c r="Z2" s="14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9"/>
      <c r="AM2" s="16"/>
      <c r="AN2" s="10"/>
      <c r="AO2" s="9"/>
      <c r="AP2" s="9"/>
      <c r="AQ2" s="9"/>
      <c r="AR2" s="9"/>
      <c r="AS2" s="9"/>
      <c r="AT2" s="9"/>
      <c r="AU2" s="9"/>
      <c r="AV2" s="9"/>
      <c r="AW2" s="9"/>
      <c r="AX2" s="9"/>
    </row>
    <row r="3" spans="1:50" x14ac:dyDescent="0.25">
      <c r="A3" s="17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9"/>
      <c r="S3" s="13" t="s">
        <v>4</v>
      </c>
      <c r="T3" s="13"/>
      <c r="U3" s="13"/>
      <c r="V3" s="13"/>
      <c r="W3" s="13"/>
      <c r="X3" s="13"/>
      <c r="Y3" s="12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9"/>
      <c r="AM3" s="20"/>
      <c r="AN3" s="10"/>
      <c r="AO3" s="9"/>
      <c r="AP3" s="9"/>
      <c r="AQ3" s="9"/>
      <c r="AR3" s="9"/>
      <c r="AS3" s="9"/>
      <c r="AT3" s="9"/>
      <c r="AU3" s="9"/>
      <c r="AV3" s="9"/>
      <c r="AW3" s="9"/>
      <c r="AX3" s="9"/>
    </row>
    <row r="4" spans="1:50" x14ac:dyDescent="0.25">
      <c r="A4" s="188" t="s">
        <v>5</v>
      </c>
      <c r="B4" s="189"/>
      <c r="C4" s="189"/>
      <c r="D4" s="189"/>
      <c r="E4" s="189"/>
      <c r="F4" s="189"/>
      <c r="G4" s="186"/>
      <c r="H4" s="186"/>
      <c r="I4" s="186"/>
      <c r="J4" s="186"/>
      <c r="K4" s="186"/>
      <c r="L4" s="186"/>
      <c r="M4" s="186"/>
      <c r="N4" s="186"/>
      <c r="O4" s="186"/>
      <c r="P4" s="186"/>
      <c r="Q4" s="186"/>
      <c r="R4" s="187"/>
      <c r="S4" s="13" t="s">
        <v>6</v>
      </c>
      <c r="T4" s="13"/>
      <c r="U4" s="13"/>
      <c r="V4" s="13"/>
      <c r="W4" s="12"/>
      <c r="X4" s="21"/>
      <c r="Y4" s="21"/>
      <c r="Z4" s="21"/>
      <c r="AA4" s="21"/>
      <c r="AB4" s="22" t="s">
        <v>7</v>
      </c>
      <c r="AC4" s="22"/>
      <c r="AD4" s="476"/>
      <c r="AE4" s="476"/>
      <c r="AF4" s="476"/>
      <c r="AG4" s="476"/>
      <c r="AH4" s="476"/>
      <c r="AI4" s="476"/>
      <c r="AJ4" s="476"/>
      <c r="AK4" s="476"/>
      <c r="AL4" s="9"/>
      <c r="AM4" s="20"/>
      <c r="AN4" s="10"/>
      <c r="AO4" s="9"/>
      <c r="AP4" s="9"/>
      <c r="AQ4" s="9"/>
      <c r="AR4" s="9"/>
      <c r="AS4" s="9"/>
      <c r="AT4" s="9"/>
      <c r="AU4" s="9"/>
      <c r="AV4" s="9"/>
      <c r="AW4" s="9"/>
      <c r="AX4" s="9"/>
    </row>
    <row r="5" spans="1:50" x14ac:dyDescent="0.25">
      <c r="A5" s="190" t="s">
        <v>8</v>
      </c>
      <c r="B5" s="186"/>
      <c r="C5" s="186"/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186"/>
      <c r="O5" s="186"/>
      <c r="P5" s="186"/>
      <c r="Q5" s="186"/>
      <c r="R5" s="187"/>
      <c r="S5" s="13" t="s">
        <v>9</v>
      </c>
      <c r="T5" s="13"/>
      <c r="U5" s="13"/>
      <c r="V5" s="191" t="s">
        <v>10</v>
      </c>
      <c r="W5" s="21"/>
      <c r="X5" s="32" t="s">
        <v>11</v>
      </c>
      <c r="Y5" s="32"/>
      <c r="Z5" s="23">
        <v>7</v>
      </c>
      <c r="AA5" s="15"/>
      <c r="AB5" s="22" t="s">
        <v>12</v>
      </c>
      <c r="AC5" s="21"/>
      <c r="AD5" s="21"/>
      <c r="AE5" s="21"/>
      <c r="AF5" s="21"/>
      <c r="AG5" s="21"/>
      <c r="AH5" s="21"/>
      <c r="AI5" s="21"/>
      <c r="AJ5" s="21"/>
      <c r="AK5" s="21"/>
      <c r="AL5" s="9"/>
      <c r="AM5" s="20"/>
      <c r="AN5" s="10"/>
      <c r="AO5" s="9"/>
      <c r="AP5" s="9"/>
      <c r="AQ5" s="9"/>
      <c r="AR5" s="9"/>
      <c r="AS5" s="9"/>
      <c r="AT5" s="9"/>
      <c r="AU5" s="9"/>
      <c r="AV5" s="9"/>
      <c r="AW5" s="9"/>
      <c r="AX5" s="9"/>
    </row>
    <row r="6" spans="1:50" x14ac:dyDescent="0.25">
      <c r="A6" s="190" t="s">
        <v>284</v>
      </c>
      <c r="B6" s="192"/>
      <c r="C6" s="192"/>
      <c r="D6" s="192"/>
      <c r="E6" s="192"/>
      <c r="F6" s="192"/>
      <c r="G6" s="192"/>
      <c r="H6" s="192"/>
      <c r="I6" s="192"/>
      <c r="J6" s="192"/>
      <c r="K6" s="192"/>
      <c r="L6" s="192"/>
      <c r="M6" s="192"/>
      <c r="N6" s="192"/>
      <c r="O6" s="192"/>
      <c r="P6" s="192"/>
      <c r="Q6" s="192"/>
      <c r="R6" s="193"/>
      <c r="S6" s="24" t="s">
        <v>1</v>
      </c>
      <c r="T6" s="24" t="s">
        <v>1</v>
      </c>
      <c r="U6" s="24" t="s">
        <v>1</v>
      </c>
      <c r="V6" s="24" t="s">
        <v>1</v>
      </c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18"/>
      <c r="AM6" s="19"/>
      <c r="AN6" s="10"/>
      <c r="AO6" s="9"/>
      <c r="AP6" s="9"/>
      <c r="AQ6" s="9"/>
      <c r="AR6" s="9"/>
      <c r="AS6" s="9"/>
      <c r="AT6" s="9"/>
      <c r="AU6" s="9"/>
      <c r="AV6" s="9"/>
      <c r="AW6" s="9"/>
      <c r="AX6" s="9"/>
    </row>
    <row r="7" spans="1:50" x14ac:dyDescent="0.25">
      <c r="A7" s="26">
        <v>1</v>
      </c>
      <c r="B7" s="4" t="s">
        <v>13</v>
      </c>
      <c r="C7" s="5"/>
      <c r="D7" s="5"/>
      <c r="E7" s="5"/>
      <c r="F7" s="5"/>
      <c r="G7" s="27"/>
      <c r="H7" s="5" t="s">
        <v>14</v>
      </c>
      <c r="I7" s="5"/>
      <c r="J7" s="5"/>
      <c r="K7" s="5"/>
      <c r="L7" s="27"/>
      <c r="M7" s="5" t="s">
        <v>15</v>
      </c>
      <c r="N7" s="5"/>
      <c r="O7" s="5"/>
      <c r="P7" s="5"/>
      <c r="Q7" s="28"/>
      <c r="R7" s="5" t="s">
        <v>16</v>
      </c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29"/>
      <c r="AN7" s="10"/>
      <c r="AO7" s="9"/>
      <c r="AP7" s="9"/>
      <c r="AQ7" s="9"/>
      <c r="AR7" s="9"/>
      <c r="AS7" s="9"/>
      <c r="AT7" s="9"/>
      <c r="AU7" s="9"/>
      <c r="AV7" s="9"/>
      <c r="AW7" s="9"/>
      <c r="AX7" s="9"/>
    </row>
    <row r="8" spans="1:50" x14ac:dyDescent="0.25">
      <c r="A8" s="30">
        <f t="shared" ref="A8:A53" si="0">A7+1</f>
        <v>2</v>
      </c>
      <c r="B8" s="31" t="s">
        <v>17</v>
      </c>
      <c r="C8" s="13"/>
      <c r="D8" s="32"/>
      <c r="E8" s="477"/>
      <c r="F8" s="477"/>
      <c r="G8" s="477"/>
      <c r="H8" s="477"/>
      <c r="I8" s="477"/>
      <c r="J8" s="477"/>
      <c r="K8" s="477"/>
      <c r="L8" s="477"/>
      <c r="M8" s="477"/>
      <c r="N8" s="477"/>
      <c r="O8" s="477"/>
      <c r="P8" s="477"/>
      <c r="Q8" s="477"/>
      <c r="R8" s="477"/>
      <c r="S8" s="477"/>
      <c r="T8" s="477"/>
      <c r="U8" s="32"/>
      <c r="V8" s="13" t="s">
        <v>18</v>
      </c>
      <c r="W8" s="13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3"/>
      <c r="AM8" s="33"/>
      <c r="AN8" s="10"/>
      <c r="AO8" s="9"/>
      <c r="AP8" s="9"/>
      <c r="AQ8" s="9"/>
      <c r="AR8" s="9"/>
      <c r="AS8" s="9"/>
      <c r="AT8" s="9"/>
      <c r="AU8" s="9"/>
      <c r="AV8" s="9"/>
      <c r="AW8" s="9"/>
      <c r="AX8" s="9"/>
    </row>
    <row r="9" spans="1:50" x14ac:dyDescent="0.25">
      <c r="A9" s="30">
        <f t="shared" si="0"/>
        <v>3</v>
      </c>
      <c r="B9" s="31" t="s">
        <v>19</v>
      </c>
      <c r="C9" s="13"/>
      <c r="D9" s="12"/>
      <c r="E9" s="476"/>
      <c r="F9" s="476"/>
      <c r="G9" s="476"/>
      <c r="H9" s="476"/>
      <c r="I9" s="476"/>
      <c r="J9" s="476"/>
      <c r="K9" s="476"/>
      <c r="L9" s="476"/>
      <c r="M9" s="476"/>
      <c r="N9" s="476"/>
      <c r="O9" s="476"/>
      <c r="P9" s="476"/>
      <c r="Q9" s="476"/>
      <c r="R9" s="476"/>
      <c r="S9" s="476"/>
      <c r="T9" s="476"/>
      <c r="U9" s="12"/>
      <c r="V9" s="13" t="s">
        <v>20</v>
      </c>
      <c r="W9" s="13"/>
      <c r="X9" s="13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3"/>
      <c r="AM9" s="33"/>
      <c r="AN9" s="10"/>
      <c r="AO9" s="9"/>
      <c r="AP9" s="9"/>
      <c r="AQ9" s="9"/>
      <c r="AR9" s="9"/>
      <c r="AS9" s="9"/>
      <c r="AT9" s="9"/>
      <c r="AU9" s="9"/>
      <c r="AV9" s="9"/>
      <c r="AW9" s="9"/>
      <c r="AX9" s="9"/>
    </row>
    <row r="10" spans="1:50" x14ac:dyDescent="0.25">
      <c r="A10" s="30">
        <f t="shared" si="0"/>
        <v>4</v>
      </c>
      <c r="B10" s="31" t="s">
        <v>21</v>
      </c>
      <c r="C10" s="13"/>
      <c r="D10" s="13"/>
      <c r="E10" s="476"/>
      <c r="F10" s="476"/>
      <c r="G10" s="476"/>
      <c r="H10" s="476"/>
      <c r="I10" s="476"/>
      <c r="J10" s="476"/>
      <c r="K10" s="476"/>
      <c r="L10" s="476"/>
      <c r="M10" s="476"/>
      <c r="N10" s="476"/>
      <c r="O10" s="476"/>
      <c r="P10" s="476"/>
      <c r="Q10" s="476"/>
      <c r="R10" s="476"/>
      <c r="S10" s="476"/>
      <c r="T10" s="476"/>
      <c r="U10" s="12"/>
      <c r="V10" s="13" t="s">
        <v>22</v>
      </c>
      <c r="W10" s="13"/>
      <c r="X10" s="13"/>
      <c r="Y10" s="13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3"/>
      <c r="AM10" s="33"/>
      <c r="AN10" s="10"/>
      <c r="AO10" s="9"/>
      <c r="AP10" s="9"/>
      <c r="AQ10" s="9"/>
      <c r="AR10" s="9"/>
      <c r="AS10" s="9"/>
      <c r="AT10" s="9"/>
      <c r="AU10" s="9"/>
      <c r="AV10" s="9"/>
      <c r="AW10" s="9"/>
      <c r="AX10" s="9"/>
    </row>
    <row r="11" spans="1:50" x14ac:dyDescent="0.25">
      <c r="A11" s="30">
        <f t="shared" si="0"/>
        <v>5</v>
      </c>
      <c r="B11" s="31" t="s">
        <v>23</v>
      </c>
      <c r="C11" s="13"/>
      <c r="D11" s="13"/>
      <c r="E11" s="34"/>
      <c r="F11" s="3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3"/>
      <c r="V11" s="13" t="s">
        <v>24</v>
      </c>
      <c r="W11" s="13"/>
      <c r="X11" s="13"/>
      <c r="Y11" s="13"/>
      <c r="Z11" s="13"/>
      <c r="AA11" s="12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3"/>
      <c r="AM11" s="33"/>
      <c r="AN11" s="10"/>
      <c r="AO11" s="9"/>
      <c r="AP11" s="9"/>
      <c r="AQ11" s="9"/>
      <c r="AR11" s="9"/>
      <c r="AS11" s="9"/>
      <c r="AT11" s="9"/>
      <c r="AU11" s="9"/>
      <c r="AV11" s="9"/>
      <c r="AW11" s="9"/>
      <c r="AX11" s="9"/>
    </row>
    <row r="12" spans="1:50" x14ac:dyDescent="0.25">
      <c r="A12" s="30">
        <f t="shared" si="0"/>
        <v>6</v>
      </c>
      <c r="B12" s="13" t="s">
        <v>25</v>
      </c>
      <c r="C12" s="13"/>
      <c r="D12" s="13"/>
      <c r="E12" s="13"/>
      <c r="F12" s="13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2"/>
      <c r="V12" s="12" t="s">
        <v>26</v>
      </c>
      <c r="W12" s="13"/>
      <c r="X12" s="13"/>
      <c r="Y12" s="13"/>
      <c r="Z12" s="13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3"/>
      <c r="AM12" s="33"/>
      <c r="AN12" s="10"/>
      <c r="AO12" s="9"/>
      <c r="AP12" s="9"/>
      <c r="AQ12" s="9"/>
      <c r="AR12" s="9"/>
      <c r="AS12" s="9"/>
      <c r="AT12" s="9"/>
      <c r="AU12" s="9"/>
      <c r="AV12" s="9"/>
      <c r="AW12" s="9"/>
      <c r="AX12" s="9"/>
    </row>
    <row r="13" spans="1:50" x14ac:dyDescent="0.25">
      <c r="A13" s="30">
        <f t="shared" si="0"/>
        <v>7</v>
      </c>
      <c r="B13" s="31"/>
      <c r="C13" s="13"/>
      <c r="D13" s="13"/>
      <c r="E13" s="13"/>
      <c r="F13" s="13"/>
      <c r="G13" s="12"/>
      <c r="H13" s="12"/>
      <c r="I13" s="12"/>
      <c r="J13" s="12"/>
      <c r="K13" s="12"/>
      <c r="L13" s="13"/>
      <c r="M13" s="13"/>
      <c r="N13" s="13"/>
      <c r="O13" s="12"/>
      <c r="P13" s="12"/>
      <c r="Q13" s="12"/>
      <c r="R13" s="12"/>
      <c r="S13" s="12"/>
      <c r="T13" s="12"/>
      <c r="U13" s="12"/>
      <c r="V13" s="13"/>
      <c r="W13" s="13"/>
      <c r="X13" s="13"/>
      <c r="Y13" s="13"/>
      <c r="Z13" s="13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3"/>
      <c r="AM13" s="33"/>
      <c r="AN13" s="10"/>
      <c r="AO13" s="9"/>
      <c r="AP13" s="9"/>
      <c r="AQ13" s="9"/>
      <c r="AR13" s="9"/>
      <c r="AS13" s="9"/>
      <c r="AT13" s="9"/>
      <c r="AU13" s="9"/>
      <c r="AV13" s="9"/>
      <c r="AW13" s="9"/>
      <c r="AX13" s="9"/>
    </row>
    <row r="14" spans="1:50" x14ac:dyDescent="0.25">
      <c r="A14" s="30">
        <f t="shared" si="0"/>
        <v>8</v>
      </c>
      <c r="B14" s="31" t="s">
        <v>27</v>
      </c>
      <c r="C14" s="13"/>
      <c r="D14" s="13"/>
      <c r="E14" s="13"/>
      <c r="F14" s="13"/>
      <c r="G14" s="13"/>
      <c r="H14" s="13"/>
      <c r="I14" s="13"/>
      <c r="J14" s="13"/>
      <c r="K14" s="13"/>
      <c r="L14" s="13" t="s">
        <v>28</v>
      </c>
      <c r="M14" s="13"/>
      <c r="N14" s="13"/>
      <c r="O14" s="13"/>
      <c r="P14" s="13"/>
      <c r="Q14" s="13"/>
      <c r="R14" s="13" t="s">
        <v>29</v>
      </c>
      <c r="S14" s="13"/>
      <c r="T14" s="13"/>
      <c r="U14" s="13"/>
      <c r="V14" s="13"/>
      <c r="W14" s="34"/>
      <c r="X14" s="9"/>
      <c r="Y14" s="13"/>
      <c r="Z14" s="13" t="s">
        <v>30</v>
      </c>
      <c r="AA14" s="13"/>
      <c r="AB14" s="13"/>
      <c r="AC14" s="13"/>
      <c r="AD14" s="13"/>
      <c r="AE14" s="9"/>
      <c r="AF14" s="13"/>
      <c r="AG14" s="13"/>
      <c r="AH14" s="13"/>
      <c r="AI14" s="13"/>
      <c r="AJ14" s="13"/>
      <c r="AK14" s="13"/>
      <c r="AL14" s="13"/>
      <c r="AM14" s="33"/>
      <c r="AN14" s="10"/>
      <c r="AO14" s="9"/>
      <c r="AP14" s="9"/>
      <c r="AQ14" s="9"/>
      <c r="AR14" s="9"/>
      <c r="AS14" s="9"/>
      <c r="AT14" s="9"/>
      <c r="AU14" s="9"/>
      <c r="AV14" s="9"/>
      <c r="AW14" s="9"/>
      <c r="AX14" s="9"/>
    </row>
    <row r="15" spans="1:50" x14ac:dyDescent="0.25">
      <c r="A15" s="30">
        <f t="shared" si="0"/>
        <v>9</v>
      </c>
      <c r="B15" s="458" t="s">
        <v>31</v>
      </c>
      <c r="C15" s="459"/>
      <c r="D15" s="459"/>
      <c r="E15" s="459"/>
      <c r="F15" s="459"/>
      <c r="G15" s="459"/>
      <c r="H15" s="459"/>
      <c r="I15" s="459"/>
      <c r="J15" s="459"/>
      <c r="K15" s="459"/>
      <c r="L15" s="459"/>
      <c r="M15" s="459"/>
      <c r="N15" s="459"/>
      <c r="O15" s="459"/>
      <c r="P15" s="459"/>
      <c r="Q15" s="459"/>
      <c r="R15" s="459"/>
      <c r="S15" s="459"/>
      <c r="T15" s="459"/>
      <c r="U15" s="459"/>
      <c r="V15" s="459"/>
      <c r="W15" s="459"/>
      <c r="X15" s="459"/>
      <c r="Y15" s="459"/>
      <c r="Z15" s="459"/>
      <c r="AA15" s="459"/>
      <c r="AB15" s="459"/>
      <c r="AC15" s="459"/>
      <c r="AD15" s="459"/>
      <c r="AE15" s="459"/>
      <c r="AF15" s="459"/>
      <c r="AG15" s="459"/>
      <c r="AH15" s="459"/>
      <c r="AI15" s="459"/>
      <c r="AJ15" s="459"/>
      <c r="AK15" s="459"/>
      <c r="AL15" s="459"/>
      <c r="AM15" s="460"/>
      <c r="AN15" s="10"/>
      <c r="AO15" s="9"/>
      <c r="AP15" s="9"/>
      <c r="AQ15" s="9"/>
      <c r="AR15" s="9"/>
      <c r="AS15" s="9"/>
      <c r="AT15" s="9"/>
      <c r="AU15" s="9"/>
      <c r="AV15" s="9"/>
      <c r="AW15" s="9"/>
      <c r="AX15" s="9"/>
    </row>
    <row r="16" spans="1:50" x14ac:dyDescent="0.25">
      <c r="A16" s="30">
        <f t="shared" si="0"/>
        <v>10</v>
      </c>
      <c r="B16" s="478" t="s">
        <v>32</v>
      </c>
      <c r="C16" s="479"/>
      <c r="D16" s="479"/>
      <c r="E16" s="479"/>
      <c r="F16" s="479"/>
      <c r="G16" s="479"/>
      <c r="H16" s="479"/>
      <c r="I16" s="479"/>
      <c r="J16" s="479"/>
      <c r="K16" s="479"/>
      <c r="L16" s="479"/>
      <c r="M16" s="479"/>
      <c r="N16" s="479"/>
      <c r="O16" s="479"/>
      <c r="P16" s="479"/>
      <c r="Q16" s="479"/>
      <c r="R16" s="479"/>
      <c r="S16" s="13"/>
      <c r="T16" s="458" t="s">
        <v>33</v>
      </c>
      <c r="U16" s="459"/>
      <c r="V16" s="459"/>
      <c r="W16" s="459"/>
      <c r="X16" s="459"/>
      <c r="Y16" s="460"/>
      <c r="Z16" s="458" t="s">
        <v>34</v>
      </c>
      <c r="AA16" s="459"/>
      <c r="AB16" s="459"/>
      <c r="AC16" s="459"/>
      <c r="AD16" s="459"/>
      <c r="AE16" s="459"/>
      <c r="AF16" s="459"/>
      <c r="AG16" s="459"/>
      <c r="AH16" s="459"/>
      <c r="AI16" s="459"/>
      <c r="AJ16" s="459"/>
      <c r="AK16" s="459"/>
      <c r="AL16" s="459"/>
      <c r="AM16" s="460"/>
      <c r="AN16" s="10"/>
      <c r="AO16" s="9"/>
      <c r="AP16" s="9"/>
      <c r="AQ16" s="9"/>
      <c r="AR16" s="9"/>
      <c r="AS16" s="9"/>
      <c r="AT16" s="9"/>
      <c r="AU16" s="9"/>
      <c r="AV16" s="9"/>
      <c r="AW16" s="9"/>
      <c r="AX16" s="9"/>
    </row>
    <row r="17" spans="1:50" x14ac:dyDescent="0.25">
      <c r="A17" s="30">
        <f t="shared" si="0"/>
        <v>11</v>
      </c>
      <c r="B17" s="194"/>
      <c r="C17" s="195"/>
      <c r="D17" s="195"/>
      <c r="E17" s="195"/>
      <c r="F17" s="195"/>
      <c r="G17" s="195"/>
      <c r="H17" s="195"/>
      <c r="I17" s="195"/>
      <c r="J17" s="195"/>
      <c r="K17" s="195"/>
      <c r="L17" s="195"/>
      <c r="M17" s="195"/>
      <c r="N17" s="195"/>
      <c r="O17" s="195"/>
      <c r="P17" s="195"/>
      <c r="Q17" s="195"/>
      <c r="R17" s="195"/>
      <c r="S17" s="13"/>
      <c r="T17" s="458" t="s">
        <v>35</v>
      </c>
      <c r="U17" s="459"/>
      <c r="V17" s="460"/>
      <c r="W17" s="458" t="s">
        <v>346</v>
      </c>
      <c r="X17" s="459"/>
      <c r="Y17" s="460"/>
      <c r="Z17" s="458" t="s">
        <v>36</v>
      </c>
      <c r="AA17" s="459"/>
      <c r="AB17" s="460"/>
      <c r="AC17" s="458" t="s">
        <v>36</v>
      </c>
      <c r="AD17" s="459"/>
      <c r="AE17" s="460"/>
      <c r="AF17" s="458" t="s">
        <v>35</v>
      </c>
      <c r="AG17" s="459"/>
      <c r="AH17" s="460"/>
      <c r="AI17" s="458" t="s">
        <v>36</v>
      </c>
      <c r="AJ17" s="459"/>
      <c r="AK17" s="459"/>
      <c r="AL17" s="459"/>
      <c r="AM17" s="460"/>
      <c r="AN17" s="10"/>
      <c r="AO17" s="9"/>
      <c r="AP17" s="9"/>
      <c r="AQ17" s="50"/>
      <c r="AR17" s="50"/>
      <c r="AS17" s="50"/>
      <c r="AT17" s="9"/>
      <c r="AU17" s="9"/>
      <c r="AV17" s="9"/>
      <c r="AW17" s="9"/>
      <c r="AX17" s="9"/>
    </row>
    <row r="18" spans="1:50" x14ac:dyDescent="0.25">
      <c r="A18" s="30">
        <f t="shared" si="0"/>
        <v>12</v>
      </c>
      <c r="B18" s="36"/>
      <c r="C18" s="13"/>
      <c r="D18" s="13"/>
      <c r="E18" s="13"/>
      <c r="F18" s="13"/>
      <c r="G18" s="13"/>
      <c r="H18" s="13"/>
      <c r="I18" s="13"/>
      <c r="J18" s="13"/>
      <c r="K18" s="15"/>
      <c r="L18" s="15"/>
      <c r="M18" s="13"/>
      <c r="N18" s="13"/>
      <c r="O18" s="13"/>
      <c r="P18" s="12"/>
      <c r="Q18" s="13"/>
      <c r="R18" s="13"/>
      <c r="S18" s="13"/>
      <c r="T18" s="37"/>
      <c r="U18" s="38"/>
      <c r="V18" s="39"/>
      <c r="W18" s="464" t="s">
        <v>347</v>
      </c>
      <c r="X18" s="465"/>
      <c r="Y18" s="466"/>
      <c r="Z18" s="38"/>
      <c r="AA18" s="38"/>
      <c r="AB18" s="39"/>
      <c r="AC18" s="38"/>
      <c r="AD18" s="38"/>
      <c r="AE18" s="39"/>
      <c r="AF18" s="12"/>
      <c r="AG18" s="12"/>
      <c r="AH18" s="12"/>
      <c r="AI18" s="40"/>
      <c r="AJ18" s="12"/>
      <c r="AK18" s="12"/>
      <c r="AL18" s="9"/>
      <c r="AM18" s="41"/>
      <c r="AN18" s="10"/>
      <c r="AO18" s="9"/>
      <c r="AP18" s="9"/>
      <c r="AQ18" s="50"/>
      <c r="AR18" s="50"/>
      <c r="AS18" s="50"/>
      <c r="AT18" s="9"/>
      <c r="AU18" s="9"/>
      <c r="AV18" s="9"/>
      <c r="AW18" s="9"/>
      <c r="AX18" s="9"/>
    </row>
    <row r="19" spans="1:50" x14ac:dyDescent="0.25">
      <c r="A19" s="30">
        <f t="shared" si="0"/>
        <v>13</v>
      </c>
      <c r="B19" s="13"/>
      <c r="C19" s="13" t="s">
        <v>37</v>
      </c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37"/>
      <c r="U19" s="38"/>
      <c r="V19" s="39"/>
      <c r="W19" s="38"/>
      <c r="X19" s="38"/>
      <c r="Y19" s="39"/>
      <c r="Z19" s="38"/>
      <c r="AA19" s="38"/>
      <c r="AB19" s="39"/>
      <c r="AC19" s="38"/>
      <c r="AD19" s="38"/>
      <c r="AE19" s="38"/>
      <c r="AF19" s="45"/>
      <c r="AG19" s="44"/>
      <c r="AH19" s="44"/>
      <c r="AI19" s="45"/>
      <c r="AJ19" s="44"/>
      <c r="AK19" s="44"/>
      <c r="AL19" s="54"/>
      <c r="AM19" s="46"/>
      <c r="AN19" s="10"/>
      <c r="AO19" s="9"/>
      <c r="AP19" s="9"/>
      <c r="AQ19" s="50"/>
      <c r="AR19" s="50"/>
      <c r="AS19" s="50"/>
      <c r="AT19" s="9"/>
      <c r="AU19" s="9"/>
      <c r="AV19" s="9"/>
      <c r="AW19" s="9"/>
      <c r="AX19" s="9"/>
    </row>
    <row r="20" spans="1:50" x14ac:dyDescent="0.25">
      <c r="A20" s="30">
        <f t="shared" si="0"/>
        <v>14</v>
      </c>
      <c r="B20" s="36"/>
      <c r="C20" s="13" t="s">
        <v>285</v>
      </c>
      <c r="D20" s="13"/>
      <c r="E20" s="13"/>
      <c r="F20" s="13"/>
      <c r="G20" s="13"/>
      <c r="H20" s="13"/>
      <c r="I20" s="13"/>
      <c r="J20" s="13"/>
      <c r="K20" s="12"/>
      <c r="L20" s="13"/>
      <c r="M20" s="13"/>
      <c r="N20" s="13"/>
      <c r="O20" s="13"/>
      <c r="P20" s="13"/>
      <c r="Q20" s="13"/>
      <c r="R20" s="13"/>
      <c r="S20" s="13"/>
      <c r="T20" s="380"/>
      <c r="U20" s="381"/>
      <c r="V20" s="382"/>
      <c r="W20" s="461"/>
      <c r="X20" s="462"/>
      <c r="Y20" s="463"/>
      <c r="Z20" s="381"/>
      <c r="AA20" s="381"/>
      <c r="AB20" s="382"/>
      <c r="AC20" s="38"/>
      <c r="AD20" s="38"/>
      <c r="AE20" s="39"/>
      <c r="AF20" s="38"/>
      <c r="AG20" s="38"/>
      <c r="AH20" s="38"/>
      <c r="AI20" s="37"/>
      <c r="AJ20" s="38"/>
      <c r="AK20" s="38"/>
      <c r="AL20" s="9"/>
      <c r="AM20" s="39"/>
      <c r="AN20" s="10"/>
      <c r="AO20" s="9"/>
      <c r="AP20" s="9"/>
      <c r="AQ20" s="50"/>
      <c r="AR20" s="50"/>
      <c r="AS20" s="50"/>
      <c r="AT20" s="9"/>
      <c r="AU20" s="9"/>
      <c r="AV20" s="9"/>
      <c r="AW20" s="9"/>
      <c r="AX20" s="9"/>
    </row>
    <row r="21" spans="1:50" x14ac:dyDescent="0.25">
      <c r="A21" s="30">
        <f t="shared" si="0"/>
        <v>15</v>
      </c>
      <c r="B21" s="36"/>
      <c r="C21" s="13" t="s">
        <v>38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480">
        <v>53640</v>
      </c>
      <c r="U21" s="481"/>
      <c r="V21" s="482"/>
      <c r="W21" s="480">
        <v>228914</v>
      </c>
      <c r="X21" s="481"/>
      <c r="Y21" s="482"/>
      <c r="Z21" s="452">
        <v>282554</v>
      </c>
      <c r="AA21" s="453"/>
      <c r="AB21" s="454"/>
      <c r="AC21" s="483"/>
      <c r="AD21" s="484"/>
      <c r="AE21" s="485"/>
      <c r="AF21" s="38"/>
      <c r="AG21" s="38"/>
      <c r="AH21" s="38"/>
      <c r="AI21" s="37"/>
      <c r="AJ21" s="38"/>
      <c r="AK21" s="38"/>
      <c r="AL21" s="9"/>
      <c r="AM21" s="39"/>
      <c r="AN21" s="10"/>
      <c r="AO21" s="9"/>
      <c r="AP21" s="9"/>
      <c r="AQ21" s="50"/>
      <c r="AR21" s="50"/>
      <c r="AS21" s="50"/>
      <c r="AT21" s="9"/>
      <c r="AU21" s="9"/>
      <c r="AV21" s="9"/>
      <c r="AW21" s="9"/>
      <c r="AX21" s="9"/>
    </row>
    <row r="22" spans="1:50" ht="15.75" thickBot="1" x14ac:dyDescent="0.3">
      <c r="A22" s="30">
        <f t="shared" si="0"/>
        <v>16</v>
      </c>
      <c r="B22" s="36"/>
      <c r="C22" s="42" t="s">
        <v>39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383"/>
      <c r="U22" s="384"/>
      <c r="V22" s="385"/>
      <c r="W22" s="383"/>
      <c r="X22" s="384"/>
      <c r="Y22" s="385"/>
      <c r="Z22" s="383"/>
      <c r="AA22" s="384"/>
      <c r="AB22" s="385"/>
      <c r="AC22" s="43"/>
      <c r="AD22" s="43"/>
      <c r="AE22" s="43"/>
      <c r="AF22" s="12"/>
      <c r="AG22" s="12"/>
      <c r="AH22" s="12"/>
      <c r="AI22" s="12"/>
      <c r="AJ22" s="12"/>
      <c r="AK22" s="12"/>
      <c r="AL22" s="9"/>
      <c r="AM22" s="41"/>
      <c r="AN22" s="10"/>
      <c r="AO22" s="9"/>
      <c r="AP22" s="9"/>
      <c r="AQ22" s="50"/>
      <c r="AR22" s="50"/>
      <c r="AS22" s="50"/>
      <c r="AT22" s="9"/>
      <c r="AU22" s="9"/>
      <c r="AV22" s="9"/>
      <c r="AW22" s="9"/>
      <c r="AX22" s="9"/>
    </row>
    <row r="23" spans="1:50" ht="15.75" thickBot="1" x14ac:dyDescent="0.3">
      <c r="A23" s="30">
        <f t="shared" si="0"/>
        <v>17</v>
      </c>
      <c r="B23" s="36"/>
      <c r="C23" s="13" t="s">
        <v>40</v>
      </c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452">
        <v>1.6995</v>
      </c>
      <c r="U23" s="453"/>
      <c r="V23" s="454"/>
      <c r="W23" s="386"/>
      <c r="X23" s="387"/>
      <c r="Y23" s="388"/>
      <c r="Z23" s="452">
        <v>3.4830000000000001</v>
      </c>
      <c r="AA23" s="453"/>
      <c r="AB23" s="454"/>
      <c r="AC23" s="455"/>
      <c r="AD23" s="456"/>
      <c r="AE23" s="457"/>
      <c r="AF23" s="44"/>
      <c r="AG23" s="44"/>
      <c r="AH23" s="44"/>
      <c r="AI23" s="45"/>
      <c r="AJ23" s="44"/>
      <c r="AK23" s="44"/>
      <c r="AL23" s="9"/>
      <c r="AM23" s="46"/>
      <c r="AN23" s="10"/>
      <c r="AO23" s="9"/>
      <c r="AP23" s="9"/>
      <c r="AQ23" s="486" t="s">
        <v>310</v>
      </c>
      <c r="AR23" s="487"/>
      <c r="AS23" s="487"/>
      <c r="AT23" s="488"/>
      <c r="AU23" s="9"/>
      <c r="AV23" s="9"/>
      <c r="AW23" s="9"/>
      <c r="AX23" s="9"/>
    </row>
    <row r="24" spans="1:50" ht="15.75" thickBot="1" x14ac:dyDescent="0.3">
      <c r="A24" s="30">
        <f t="shared" si="0"/>
        <v>18</v>
      </c>
      <c r="B24" s="36"/>
      <c r="C24" s="13" t="s">
        <v>41</v>
      </c>
      <c r="D24" s="13"/>
      <c r="E24" s="13"/>
      <c r="F24" s="13"/>
      <c r="G24" s="13"/>
      <c r="H24" s="12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452">
        <v>-23.914999999999999</v>
      </c>
      <c r="U24" s="453"/>
      <c r="V24" s="454"/>
      <c r="W24" s="452">
        <v>-1.1499999999999999</v>
      </c>
      <c r="X24" s="453"/>
      <c r="Y24" s="454"/>
      <c r="Z24" s="452">
        <v>1.17</v>
      </c>
      <c r="AA24" s="453"/>
      <c r="AB24" s="454"/>
      <c r="AC24" s="455"/>
      <c r="AD24" s="456"/>
      <c r="AE24" s="457"/>
      <c r="AF24" s="44"/>
      <c r="AG24" s="44"/>
      <c r="AH24" s="44"/>
      <c r="AI24" s="45"/>
      <c r="AJ24" s="44"/>
      <c r="AK24" s="44"/>
      <c r="AL24" s="9"/>
      <c r="AM24" s="46"/>
      <c r="AN24" s="10"/>
      <c r="AO24" s="9"/>
      <c r="AP24" s="9"/>
      <c r="AQ24" s="489" t="s">
        <v>345</v>
      </c>
      <c r="AR24" s="490"/>
      <c r="AS24" s="249">
        <v>1</v>
      </c>
      <c r="AT24" s="249">
        <v>2</v>
      </c>
      <c r="AU24" s="9"/>
      <c r="AV24" s="9"/>
      <c r="AW24" s="9"/>
      <c r="AX24" s="9"/>
    </row>
    <row r="25" spans="1:50" x14ac:dyDescent="0.25">
      <c r="A25" s="30">
        <f t="shared" si="0"/>
        <v>19</v>
      </c>
      <c r="B25" s="36"/>
      <c r="C25" s="13" t="s">
        <v>42</v>
      </c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386"/>
      <c r="U25" s="387"/>
      <c r="V25" s="388"/>
      <c r="W25" s="386"/>
      <c r="X25" s="387"/>
      <c r="Y25" s="388"/>
      <c r="Z25" s="386"/>
      <c r="AA25" s="387"/>
      <c r="AB25" s="388"/>
      <c r="AC25" s="48"/>
      <c r="AD25" s="48"/>
      <c r="AE25" s="49"/>
      <c r="AF25" s="44"/>
      <c r="AG25" s="44"/>
      <c r="AH25" s="44"/>
      <c r="AI25" s="45"/>
      <c r="AJ25" s="44"/>
      <c r="AK25" s="44"/>
      <c r="AL25" s="9"/>
      <c r="AM25" s="46"/>
      <c r="AN25" s="10"/>
      <c r="AO25" s="9"/>
      <c r="AP25" s="50"/>
      <c r="AQ25" s="425" t="s">
        <v>311</v>
      </c>
      <c r="AR25" s="426"/>
      <c r="AS25" s="240">
        <v>0.80577006125804551</v>
      </c>
      <c r="AT25" s="240">
        <v>0.89464555474377661</v>
      </c>
      <c r="AU25" s="9"/>
      <c r="AV25" s="9"/>
      <c r="AW25" s="9"/>
      <c r="AX25" s="9"/>
    </row>
    <row r="26" spans="1:50" x14ac:dyDescent="0.25">
      <c r="A26" s="30">
        <f t="shared" si="0"/>
        <v>20</v>
      </c>
      <c r="B26" s="36"/>
      <c r="C26" s="13" t="s">
        <v>43</v>
      </c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386"/>
      <c r="U26" s="387"/>
      <c r="V26" s="388"/>
      <c r="W26" s="386"/>
      <c r="X26" s="387"/>
      <c r="Y26" s="388"/>
      <c r="Z26" s="386"/>
      <c r="AA26" s="387"/>
      <c r="AB26" s="388"/>
      <c r="AC26" s="48"/>
      <c r="AD26" s="48"/>
      <c r="AE26" s="49"/>
      <c r="AF26" s="44"/>
      <c r="AG26" s="44"/>
      <c r="AH26" s="44"/>
      <c r="AI26" s="45"/>
      <c r="AJ26" s="44"/>
      <c r="AK26" s="44"/>
      <c r="AL26" s="9"/>
      <c r="AM26" s="46"/>
      <c r="AN26" s="10"/>
      <c r="AO26" s="9"/>
      <c r="AP26" s="50"/>
      <c r="AQ26" s="427" t="s">
        <v>312</v>
      </c>
      <c r="AR26" s="428"/>
      <c r="AS26" s="235">
        <v>3444336.0804700097</v>
      </c>
      <c r="AT26" s="256">
        <v>11333353.513971122</v>
      </c>
      <c r="AU26" s="50"/>
      <c r="AV26" s="50"/>
      <c r="AW26" s="9"/>
      <c r="AX26" s="9"/>
    </row>
    <row r="27" spans="1:50" x14ac:dyDescent="0.25">
      <c r="A27" s="30">
        <f t="shared" si="0"/>
        <v>21</v>
      </c>
      <c r="B27" s="34"/>
      <c r="C27" s="51" t="s">
        <v>286</v>
      </c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386"/>
      <c r="U27" s="387"/>
      <c r="V27" s="388"/>
      <c r="W27" s="386"/>
      <c r="X27" s="387"/>
      <c r="Y27" s="388"/>
      <c r="Z27" s="386"/>
      <c r="AA27" s="387"/>
      <c r="AB27" s="388"/>
      <c r="AC27" s="467"/>
      <c r="AD27" s="468"/>
      <c r="AE27" s="469"/>
      <c r="AF27" s="44"/>
      <c r="AG27" s="44"/>
      <c r="AH27" s="44"/>
      <c r="AI27" s="45"/>
      <c r="AJ27" s="44"/>
      <c r="AK27" s="44"/>
      <c r="AL27" s="9"/>
      <c r="AM27" s="46"/>
      <c r="AN27" s="10"/>
      <c r="AO27" s="9"/>
      <c r="AP27" s="50"/>
      <c r="AQ27" s="427" t="s">
        <v>313</v>
      </c>
      <c r="AR27" s="428"/>
      <c r="AS27" s="239">
        <v>1.8381739631224414</v>
      </c>
      <c r="AT27" s="239">
        <v>4.5857473240873201</v>
      </c>
      <c r="AU27" s="50"/>
      <c r="AV27" s="50"/>
      <c r="AW27" s="9"/>
      <c r="AX27" s="9"/>
    </row>
    <row r="28" spans="1:50" x14ac:dyDescent="0.25">
      <c r="A28" s="30">
        <f t="shared" si="0"/>
        <v>22</v>
      </c>
      <c r="B28" s="34"/>
      <c r="C28" s="51" t="s">
        <v>287</v>
      </c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386"/>
      <c r="U28" s="387"/>
      <c r="V28" s="388"/>
      <c r="W28" s="429"/>
      <c r="X28" s="430"/>
      <c r="Y28" s="431"/>
      <c r="Z28" s="386"/>
      <c r="AA28" s="387"/>
      <c r="AB28" s="388"/>
      <c r="AC28" s="48"/>
      <c r="AD28" s="48"/>
      <c r="AE28" s="49"/>
      <c r="AF28" s="44"/>
      <c r="AG28" s="44"/>
      <c r="AH28" s="44"/>
      <c r="AI28" s="45"/>
      <c r="AJ28" s="44"/>
      <c r="AK28" s="44"/>
      <c r="AL28" s="9"/>
      <c r="AM28" s="46"/>
      <c r="AN28" s="10"/>
      <c r="AO28" s="9"/>
      <c r="AP28" s="50"/>
      <c r="AQ28" s="427" t="s">
        <v>314</v>
      </c>
      <c r="AR28" s="428"/>
      <c r="AS28" s="239">
        <v>6.2577332211443376E-2</v>
      </c>
      <c r="AT28" s="239">
        <v>0.11835058514485503</v>
      </c>
      <c r="AU28" s="50"/>
      <c r="AV28" s="50"/>
      <c r="AW28" s="9"/>
      <c r="AX28" s="9"/>
    </row>
    <row r="29" spans="1:50" x14ac:dyDescent="0.25">
      <c r="A29" s="30">
        <f t="shared" si="0"/>
        <v>23</v>
      </c>
      <c r="B29" s="34"/>
      <c r="C29" s="13" t="s">
        <v>288</v>
      </c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470">
        <v>14614</v>
      </c>
      <c r="U29" s="471"/>
      <c r="V29" s="472"/>
      <c r="W29" s="470"/>
      <c r="X29" s="471"/>
      <c r="Y29" s="472"/>
      <c r="Z29" s="473">
        <v>39350</v>
      </c>
      <c r="AA29" s="474"/>
      <c r="AB29" s="475"/>
      <c r="AC29" s="455"/>
      <c r="AD29" s="456"/>
      <c r="AE29" s="457"/>
      <c r="AF29" s="44"/>
      <c r="AG29" s="44"/>
      <c r="AH29" s="44"/>
      <c r="AI29" s="45"/>
      <c r="AJ29" s="44"/>
      <c r="AK29" s="44"/>
      <c r="AL29" s="9"/>
      <c r="AM29" s="46"/>
      <c r="AN29" s="10"/>
      <c r="AO29" s="9"/>
      <c r="AP29" s="50"/>
      <c r="AQ29" s="427" t="s">
        <v>315</v>
      </c>
      <c r="AR29" s="428"/>
      <c r="AS29" s="239">
        <v>2.0910686906253764</v>
      </c>
      <c r="AT29" s="239">
        <v>3.9702680261087946</v>
      </c>
      <c r="AU29" s="50"/>
      <c r="AV29" s="50"/>
      <c r="AW29" s="9"/>
      <c r="AX29" s="9"/>
    </row>
    <row r="30" spans="1:50" x14ac:dyDescent="0.25">
      <c r="A30" s="30">
        <f t="shared" si="0"/>
        <v>24</v>
      </c>
      <c r="B30" s="36"/>
      <c r="C30" s="42" t="s">
        <v>44</v>
      </c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383"/>
      <c r="U30" s="384"/>
      <c r="V30" s="385"/>
      <c r="W30" s="429"/>
      <c r="X30" s="430"/>
      <c r="Y30" s="431"/>
      <c r="Z30" s="383"/>
      <c r="AA30" s="384"/>
      <c r="AB30" s="385"/>
      <c r="AC30" s="52"/>
      <c r="AD30" s="52"/>
      <c r="AE30" s="52"/>
      <c r="AF30" s="12"/>
      <c r="AG30" s="12"/>
      <c r="AH30" s="12"/>
      <c r="AI30" s="40"/>
      <c r="AJ30" s="12"/>
      <c r="AK30" s="12"/>
      <c r="AL30" s="9"/>
      <c r="AM30" s="41"/>
      <c r="AN30" s="10"/>
      <c r="AO30" s="9"/>
      <c r="AP30" s="50"/>
      <c r="AQ30" s="427" t="s">
        <v>316</v>
      </c>
      <c r="AR30" s="428"/>
      <c r="AS30" s="239">
        <v>1.4986605874131345</v>
      </c>
      <c r="AT30" s="239">
        <v>2.3572446787190606</v>
      </c>
      <c r="AU30" s="50"/>
      <c r="AV30" s="50"/>
      <c r="AW30" s="9"/>
      <c r="AX30" s="9"/>
    </row>
    <row r="31" spans="1:50" x14ac:dyDescent="0.25">
      <c r="A31" s="30">
        <f t="shared" si="0"/>
        <v>25</v>
      </c>
      <c r="B31" s="36"/>
      <c r="C31" s="13" t="s">
        <v>40</v>
      </c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452">
        <f>Z23</f>
        <v>3.4830000000000001</v>
      </c>
      <c r="U31" s="453"/>
      <c r="V31" s="454"/>
      <c r="W31" s="429"/>
      <c r="X31" s="430"/>
      <c r="Y31" s="431"/>
      <c r="Z31" s="452">
        <v>17.527999999999999</v>
      </c>
      <c r="AA31" s="453"/>
      <c r="AB31" s="454"/>
      <c r="AC31" s="455"/>
      <c r="AD31" s="456"/>
      <c r="AE31" s="457"/>
      <c r="AF31" s="45"/>
      <c r="AG31" s="44"/>
      <c r="AH31" s="44"/>
      <c r="AI31" s="45"/>
      <c r="AJ31" s="44"/>
      <c r="AK31" s="44"/>
      <c r="AL31" s="9"/>
      <c r="AM31" s="46"/>
      <c r="AN31" s="10"/>
      <c r="AO31" s="9"/>
      <c r="AP31" s="50"/>
      <c r="AQ31" s="491"/>
      <c r="AR31" s="492"/>
      <c r="AS31" s="237"/>
      <c r="AT31" s="237"/>
      <c r="AU31" s="50"/>
      <c r="AV31" s="50"/>
      <c r="AW31" s="9"/>
      <c r="AX31" s="9"/>
    </row>
    <row r="32" spans="1:50" x14ac:dyDescent="0.25">
      <c r="A32" s="30">
        <f t="shared" si="0"/>
        <v>26</v>
      </c>
      <c r="B32" s="36"/>
      <c r="C32" s="13" t="s">
        <v>41</v>
      </c>
      <c r="D32" s="13"/>
      <c r="E32" s="13"/>
      <c r="F32" s="13"/>
      <c r="G32" s="13"/>
      <c r="H32" s="12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452">
        <v>10.44</v>
      </c>
      <c r="U32" s="453"/>
      <c r="V32" s="454"/>
      <c r="W32" s="429"/>
      <c r="X32" s="430"/>
      <c r="Y32" s="431"/>
      <c r="Z32" s="452">
        <v>75.44</v>
      </c>
      <c r="AA32" s="453"/>
      <c r="AB32" s="454"/>
      <c r="AC32" s="455"/>
      <c r="AD32" s="456"/>
      <c r="AE32" s="457"/>
      <c r="AF32" s="45"/>
      <c r="AG32" s="44"/>
      <c r="AH32" s="44"/>
      <c r="AI32" s="45"/>
      <c r="AJ32" s="44"/>
      <c r="AK32" s="44"/>
      <c r="AL32" s="9"/>
      <c r="AM32" s="46"/>
      <c r="AN32" s="10"/>
      <c r="AO32" s="9"/>
      <c r="AP32" s="50"/>
      <c r="AQ32" s="427" t="s">
        <v>317</v>
      </c>
      <c r="AR32" s="428"/>
      <c r="AS32" s="236">
        <v>0.69764585396711076</v>
      </c>
      <c r="AT32" s="236">
        <v>0.84214168812256252</v>
      </c>
      <c r="AU32" s="50"/>
      <c r="AV32" s="50"/>
      <c r="AW32" s="9"/>
      <c r="AX32" s="9"/>
    </row>
    <row r="33" spans="1:50" ht="15.75" thickBot="1" x14ac:dyDescent="0.3">
      <c r="A33" s="30">
        <f t="shared" si="0"/>
        <v>27</v>
      </c>
      <c r="B33" s="36"/>
      <c r="C33" s="51" t="s">
        <v>289</v>
      </c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386"/>
      <c r="U33" s="387"/>
      <c r="V33" s="387"/>
      <c r="W33" s="386"/>
      <c r="X33" s="387"/>
      <c r="Y33" s="387"/>
      <c r="Z33" s="386"/>
      <c r="AA33" s="387"/>
      <c r="AB33" s="387"/>
      <c r="AC33" s="53"/>
      <c r="AD33" s="48"/>
      <c r="AE33" s="48"/>
      <c r="AF33" s="45"/>
      <c r="AG33" s="44"/>
      <c r="AH33" s="44"/>
      <c r="AI33" s="45"/>
      <c r="AJ33" s="44"/>
      <c r="AK33" s="44"/>
      <c r="AL33" s="9"/>
      <c r="AM33" s="46"/>
      <c r="AN33" s="10"/>
      <c r="AO33" s="9"/>
      <c r="AP33" s="50"/>
      <c r="AQ33" s="498" t="s">
        <v>330</v>
      </c>
      <c r="AR33" s="499"/>
      <c r="AS33" s="238">
        <v>719.21536737229644</v>
      </c>
      <c r="AT33" s="238">
        <v>7704.2571725638518</v>
      </c>
      <c r="AU33" s="50" t="s">
        <v>318</v>
      </c>
      <c r="AV33" s="50"/>
      <c r="AW33" s="9"/>
      <c r="AX33" s="9"/>
    </row>
    <row r="34" spans="1:50" ht="15.75" thickBot="1" x14ac:dyDescent="0.3">
      <c r="A34" s="30">
        <f t="shared" si="0"/>
        <v>28</v>
      </c>
      <c r="B34" s="36"/>
      <c r="C34" s="51" t="s">
        <v>290</v>
      </c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386"/>
      <c r="U34" s="387"/>
      <c r="V34" s="387"/>
      <c r="W34" s="386"/>
      <c r="X34" s="387"/>
      <c r="Y34" s="387"/>
      <c r="Z34" s="386"/>
      <c r="AA34" s="387"/>
      <c r="AB34" s="387"/>
      <c r="AC34" s="53"/>
      <c r="AD34" s="48"/>
      <c r="AE34" s="48"/>
      <c r="AF34" s="45"/>
      <c r="AG34" s="44"/>
      <c r="AH34" s="44"/>
      <c r="AI34" s="45"/>
      <c r="AJ34" s="44"/>
      <c r="AK34" s="44"/>
      <c r="AL34" s="9"/>
      <c r="AM34" s="46"/>
      <c r="AN34" s="10"/>
      <c r="AO34" s="9"/>
      <c r="AP34" s="50"/>
      <c r="AQ34" s="494" t="s">
        <v>355</v>
      </c>
      <c r="AR34" s="495"/>
      <c r="AS34" s="238">
        <v>14000.072579891636</v>
      </c>
      <c r="AT34" s="238">
        <v>38924.251414575934</v>
      </c>
      <c r="AU34" s="50" t="s">
        <v>321</v>
      </c>
      <c r="AV34" s="50"/>
      <c r="AW34" s="9"/>
      <c r="AX34" s="9"/>
    </row>
    <row r="35" spans="1:50" ht="15.75" thickBot="1" x14ac:dyDescent="0.3">
      <c r="A35" s="30">
        <f t="shared" si="0"/>
        <v>29</v>
      </c>
      <c r="B35" s="36"/>
      <c r="C35" s="13" t="s">
        <v>45</v>
      </c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386"/>
      <c r="U35" s="387"/>
      <c r="V35" s="387"/>
      <c r="W35" s="386"/>
      <c r="X35" s="387"/>
      <c r="Y35" s="387"/>
      <c r="Z35" s="386"/>
      <c r="AA35" s="387"/>
      <c r="AB35" s="387"/>
      <c r="AC35" s="455"/>
      <c r="AD35" s="456"/>
      <c r="AE35" s="457"/>
      <c r="AF35" s="12"/>
      <c r="AG35" s="12"/>
      <c r="AH35" s="12"/>
      <c r="AI35" s="40"/>
      <c r="AJ35" s="12"/>
      <c r="AK35" s="12"/>
      <c r="AL35" s="9"/>
      <c r="AM35" s="41"/>
      <c r="AN35" s="10"/>
      <c r="AO35" s="9"/>
      <c r="AP35" s="50"/>
      <c r="AQ35" s="494" t="s">
        <v>356</v>
      </c>
      <c r="AR35" s="495"/>
      <c r="AS35" s="257"/>
      <c r="AT35" s="238">
        <v>1.0595085461752092</v>
      </c>
      <c r="AU35" s="50" t="s">
        <v>148</v>
      </c>
      <c r="AV35" s="50"/>
      <c r="AW35" s="9"/>
      <c r="AX35" s="9"/>
    </row>
    <row r="36" spans="1:50" ht="15.75" thickBot="1" x14ac:dyDescent="0.3">
      <c r="A36" s="30">
        <f t="shared" si="0"/>
        <v>30</v>
      </c>
      <c r="B36" s="36"/>
      <c r="C36" s="13" t="s">
        <v>46</v>
      </c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452">
        <v>636</v>
      </c>
      <c r="U36" s="453"/>
      <c r="V36" s="454"/>
      <c r="W36" s="387"/>
      <c r="X36" s="387"/>
      <c r="Y36" s="387"/>
      <c r="Z36" s="452">
        <v>7718</v>
      </c>
      <c r="AA36" s="453"/>
      <c r="AB36" s="454"/>
      <c r="AC36" s="53"/>
      <c r="AD36" s="48"/>
      <c r="AE36" s="48"/>
      <c r="AF36" s="44"/>
      <c r="AG36" s="44"/>
      <c r="AH36" s="44"/>
      <c r="AI36" s="44"/>
      <c r="AJ36" s="44"/>
      <c r="AK36" s="44"/>
      <c r="AL36" s="54"/>
      <c r="AM36" s="46"/>
      <c r="AN36" s="10"/>
      <c r="AO36" s="9"/>
      <c r="AP36" s="50"/>
      <c r="AQ36" s="494" t="s">
        <v>358</v>
      </c>
      <c r="AR36" s="495"/>
      <c r="AS36" s="496">
        <v>31259.452441734171</v>
      </c>
      <c r="AT36" s="497"/>
      <c r="AU36" s="50" t="s">
        <v>321</v>
      </c>
      <c r="AV36" s="50"/>
      <c r="AW36" s="9"/>
      <c r="AX36" s="9"/>
    </row>
    <row r="37" spans="1:50" ht="15.75" thickBot="1" x14ac:dyDescent="0.3">
      <c r="A37" s="30">
        <f t="shared" si="0"/>
        <v>31</v>
      </c>
      <c r="B37" s="36"/>
      <c r="C37" s="13" t="s">
        <v>47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389"/>
      <c r="U37" s="390"/>
      <c r="V37" s="390"/>
      <c r="W37" s="390"/>
      <c r="X37" s="390"/>
      <c r="Y37" s="390"/>
      <c r="Z37" s="390"/>
      <c r="AA37" s="390"/>
      <c r="AB37" s="391"/>
      <c r="AC37" s="258"/>
      <c r="AD37" s="258"/>
      <c r="AE37" s="259"/>
      <c r="AF37" s="44"/>
      <c r="AG37" s="44"/>
      <c r="AH37" s="44"/>
      <c r="AI37" s="44"/>
      <c r="AJ37" s="44"/>
      <c r="AK37" s="44"/>
      <c r="AL37" s="54"/>
      <c r="AM37" s="46"/>
      <c r="AN37" s="10"/>
      <c r="AO37" s="9"/>
      <c r="AP37" s="50"/>
      <c r="AQ37" s="494" t="s">
        <v>361</v>
      </c>
      <c r="AR37" s="495"/>
      <c r="AS37" s="496">
        <v>4.1042866922269026</v>
      </c>
      <c r="AT37" s="497"/>
      <c r="AU37" s="50"/>
      <c r="AV37" s="50"/>
      <c r="AW37" s="9"/>
      <c r="AX37" s="47"/>
    </row>
    <row r="38" spans="1:50" ht="15.75" thickBot="1" x14ac:dyDescent="0.3">
      <c r="A38" s="30">
        <f t="shared" si="0"/>
        <v>32</v>
      </c>
      <c r="B38" s="36"/>
      <c r="C38" s="13" t="s">
        <v>48</v>
      </c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452">
        <v>5162</v>
      </c>
      <c r="U38" s="453"/>
      <c r="V38" s="453"/>
      <c r="W38" s="453"/>
      <c r="X38" s="453"/>
      <c r="Y38" s="453"/>
      <c r="Z38" s="453"/>
      <c r="AA38" s="453"/>
      <c r="AB38" s="454"/>
      <c r="AC38" s="48"/>
      <c r="AD38" s="48"/>
      <c r="AE38" s="49"/>
      <c r="AF38" s="44"/>
      <c r="AG38" s="44"/>
      <c r="AH38" s="44"/>
      <c r="AI38" s="44"/>
      <c r="AJ38" s="44"/>
      <c r="AK38" s="44"/>
      <c r="AL38" s="54"/>
      <c r="AM38" s="46"/>
      <c r="AN38" s="10"/>
      <c r="AO38" s="9"/>
      <c r="AP38" s="50"/>
      <c r="AQ38" s="50"/>
      <c r="AR38" s="50"/>
      <c r="AS38" s="50"/>
      <c r="AT38" s="50"/>
      <c r="AU38" s="50"/>
      <c r="AV38" s="50"/>
      <c r="AW38" s="9"/>
      <c r="AX38" s="9"/>
    </row>
    <row r="39" spans="1:50" ht="15" customHeight="1" x14ac:dyDescent="0.25">
      <c r="A39" s="30">
        <f t="shared" si="0"/>
        <v>33</v>
      </c>
      <c r="B39" s="36"/>
      <c r="C39" s="13" t="s">
        <v>49</v>
      </c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392"/>
      <c r="U39" s="393"/>
      <c r="V39" s="394"/>
      <c r="W39" s="387"/>
      <c r="X39" s="387"/>
      <c r="Y39" s="387"/>
      <c r="Z39" s="395"/>
      <c r="AA39" s="395"/>
      <c r="AB39" s="396"/>
      <c r="AC39" s="55"/>
      <c r="AD39" s="55"/>
      <c r="AE39" s="56"/>
      <c r="AF39" s="38"/>
      <c r="AG39" s="38"/>
      <c r="AH39" s="38"/>
      <c r="AI39" s="37"/>
      <c r="AJ39" s="38"/>
      <c r="AK39" s="38"/>
      <c r="AL39" s="9"/>
      <c r="AM39" s="39"/>
      <c r="AN39" s="10"/>
      <c r="AO39" s="9"/>
      <c r="AP39" s="507" t="s">
        <v>406</v>
      </c>
      <c r="AQ39" s="508"/>
      <c r="AR39" s="508"/>
      <c r="AS39" s="509"/>
      <c r="AT39" s="504" t="s">
        <v>402</v>
      </c>
      <c r="AU39" s="9"/>
      <c r="AV39" s="9"/>
      <c r="AW39" s="9"/>
      <c r="AX39" s="9"/>
    </row>
    <row r="40" spans="1:50" ht="15.75" thickBot="1" x14ac:dyDescent="0.3">
      <c r="A40" s="30">
        <f t="shared" si="0"/>
        <v>34</v>
      </c>
      <c r="B40" s="36"/>
      <c r="C40" s="13" t="s">
        <v>50</v>
      </c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452">
        <v>34550</v>
      </c>
      <c r="U40" s="453"/>
      <c r="V40" s="454"/>
      <c r="W40" s="387"/>
      <c r="X40" s="387"/>
      <c r="Y40" s="387"/>
      <c r="Z40" s="452">
        <v>83420</v>
      </c>
      <c r="AA40" s="453"/>
      <c r="AB40" s="454"/>
      <c r="AC40" s="455"/>
      <c r="AD40" s="456"/>
      <c r="AE40" s="457"/>
      <c r="AF40" s="44"/>
      <c r="AG40" s="44"/>
      <c r="AH40" s="44"/>
      <c r="AI40" s="45"/>
      <c r="AJ40" s="44"/>
      <c r="AK40" s="44"/>
      <c r="AL40" s="9"/>
      <c r="AM40" s="46"/>
      <c r="AN40" s="10"/>
      <c r="AO40" s="9"/>
      <c r="AP40" s="355" t="s">
        <v>400</v>
      </c>
      <c r="AQ40" s="510" t="s">
        <v>403</v>
      </c>
      <c r="AR40" s="510"/>
      <c r="AS40" s="356" t="s">
        <v>404</v>
      </c>
      <c r="AT40" s="504"/>
      <c r="AU40" s="9"/>
      <c r="AV40" s="9"/>
      <c r="AW40" s="9"/>
      <c r="AX40" s="9"/>
    </row>
    <row r="41" spans="1:50" x14ac:dyDescent="0.25">
      <c r="A41" s="30">
        <f t="shared" si="0"/>
        <v>35</v>
      </c>
      <c r="B41" s="36"/>
      <c r="C41" s="13" t="s">
        <v>51</v>
      </c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500">
        <v>0.84599999999999997</v>
      </c>
      <c r="U41" s="501"/>
      <c r="V41" s="502"/>
      <c r="W41" s="387"/>
      <c r="X41" s="387"/>
      <c r="Y41" s="387"/>
      <c r="Z41" s="500">
        <v>0.85199999999999998</v>
      </c>
      <c r="AA41" s="501"/>
      <c r="AB41" s="502"/>
      <c r="AC41" s="455"/>
      <c r="AD41" s="456"/>
      <c r="AE41" s="457"/>
      <c r="AF41" s="44"/>
      <c r="AG41" s="44"/>
      <c r="AH41" s="44"/>
      <c r="AI41" s="45"/>
      <c r="AJ41" s="44"/>
      <c r="AK41" s="44"/>
      <c r="AL41" s="9"/>
      <c r="AM41" s="46"/>
      <c r="AN41" s="10"/>
      <c r="AO41" s="9"/>
      <c r="AP41" s="357" t="s">
        <v>321</v>
      </c>
      <c r="AQ41" s="511" t="s">
        <v>405</v>
      </c>
      <c r="AR41" s="511"/>
      <c r="AS41" s="358" t="s">
        <v>65</v>
      </c>
      <c r="AT41" s="504"/>
      <c r="AU41" s="9"/>
      <c r="AV41" s="9"/>
      <c r="AW41" s="9"/>
      <c r="AX41" s="9"/>
    </row>
    <row r="42" spans="1:50" x14ac:dyDescent="0.25">
      <c r="A42" s="30">
        <f t="shared" si="0"/>
        <v>36</v>
      </c>
      <c r="B42" s="36"/>
      <c r="C42" s="13" t="s">
        <v>52</v>
      </c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397"/>
      <c r="U42" s="398"/>
      <c r="V42" s="399"/>
      <c r="W42" s="398"/>
      <c r="X42" s="398"/>
      <c r="Y42" s="399"/>
      <c r="Z42" s="398"/>
      <c r="AA42" s="398"/>
      <c r="AB42" s="399"/>
      <c r="AC42" s="6"/>
      <c r="AD42" s="6"/>
      <c r="AE42" s="57"/>
      <c r="AF42" s="6"/>
      <c r="AG42" s="6"/>
      <c r="AH42" s="6"/>
      <c r="AI42" s="1"/>
      <c r="AJ42" s="6"/>
      <c r="AK42" s="6"/>
      <c r="AL42" s="9"/>
      <c r="AM42" s="57"/>
      <c r="AN42" s="10"/>
      <c r="AO42" s="9"/>
      <c r="AP42" s="359">
        <v>11000</v>
      </c>
      <c r="AQ42" s="503">
        <v>38.5</v>
      </c>
      <c r="AR42" s="503"/>
      <c r="AS42" s="360">
        <v>0.75</v>
      </c>
      <c r="AT42" s="504"/>
      <c r="AU42" s="9"/>
      <c r="AV42" s="9"/>
      <c r="AW42" s="9"/>
      <c r="AX42" s="9"/>
    </row>
    <row r="43" spans="1:50" x14ac:dyDescent="0.25">
      <c r="A43" s="30">
        <f t="shared" si="0"/>
        <v>37</v>
      </c>
      <c r="B43" s="36"/>
      <c r="C43" s="13" t="s">
        <v>53</v>
      </c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400"/>
      <c r="U43" s="401"/>
      <c r="V43" s="401"/>
      <c r="W43" s="401"/>
      <c r="X43" s="401"/>
      <c r="Y43" s="402"/>
      <c r="Z43" s="400"/>
      <c r="AA43" s="401"/>
      <c r="AB43" s="401"/>
      <c r="AC43" s="44"/>
      <c r="AD43" s="44"/>
      <c r="AE43" s="46"/>
      <c r="AF43" s="44"/>
      <c r="AG43" s="44"/>
      <c r="AH43" s="44"/>
      <c r="AI43" s="44"/>
      <c r="AJ43" s="44"/>
      <c r="AK43" s="44"/>
      <c r="AL43" s="54"/>
      <c r="AM43" s="46"/>
      <c r="AN43" s="10"/>
      <c r="AO43" s="9"/>
      <c r="AP43" s="359">
        <v>13000</v>
      </c>
      <c r="AQ43" s="503">
        <v>36</v>
      </c>
      <c r="AR43" s="503"/>
      <c r="AS43" s="360">
        <v>0.72</v>
      </c>
      <c r="AT43" s="504"/>
      <c r="AU43" s="9"/>
      <c r="AV43" s="9"/>
      <c r="AW43" s="9"/>
      <c r="AX43" s="9"/>
    </row>
    <row r="44" spans="1:50" x14ac:dyDescent="0.25">
      <c r="A44" s="30">
        <f t="shared" si="0"/>
        <v>38</v>
      </c>
      <c r="B44" s="36"/>
      <c r="C44" s="13" t="s">
        <v>54</v>
      </c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380"/>
      <c r="U44" s="381"/>
      <c r="V44" s="382"/>
      <c r="W44" s="381"/>
      <c r="X44" s="381"/>
      <c r="Y44" s="382"/>
      <c r="Z44" s="381"/>
      <c r="AA44" s="381"/>
      <c r="AB44" s="382"/>
      <c r="AC44" s="38"/>
      <c r="AD44" s="38"/>
      <c r="AE44" s="39"/>
      <c r="AF44" s="38"/>
      <c r="AG44" s="38"/>
      <c r="AH44" s="38"/>
      <c r="AI44" s="37"/>
      <c r="AJ44" s="38"/>
      <c r="AK44" s="38"/>
      <c r="AL44" s="9"/>
      <c r="AM44" s="39"/>
      <c r="AN44" s="10"/>
      <c r="AO44" s="9"/>
      <c r="AP44" s="359">
        <v>14000.072579891636</v>
      </c>
      <c r="AQ44" s="512">
        <v>33.675007997094966</v>
      </c>
      <c r="AR44" s="513"/>
      <c r="AS44" s="360">
        <v>0.69764585396711076</v>
      </c>
      <c r="AT44" s="504"/>
      <c r="AU44" s="9"/>
      <c r="AV44" s="9"/>
      <c r="AW44" s="9"/>
      <c r="AX44" s="9"/>
    </row>
    <row r="45" spans="1:50" x14ac:dyDescent="0.25">
      <c r="A45" s="30">
        <f t="shared" si="0"/>
        <v>39</v>
      </c>
      <c r="B45" s="31"/>
      <c r="C45" s="42" t="s">
        <v>55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13"/>
      <c r="AL45" s="13"/>
      <c r="AM45" s="33"/>
      <c r="AN45" s="10"/>
      <c r="AO45" s="9"/>
      <c r="AP45" s="359"/>
      <c r="AQ45" s="503"/>
      <c r="AR45" s="503"/>
      <c r="AS45" s="360"/>
      <c r="AT45" s="504"/>
      <c r="AU45" s="9"/>
      <c r="AV45" s="9"/>
      <c r="AW45" s="9"/>
      <c r="AX45" s="9"/>
    </row>
    <row r="46" spans="1:50" x14ac:dyDescent="0.25">
      <c r="A46" s="30">
        <f t="shared" si="0"/>
        <v>40</v>
      </c>
      <c r="B46" s="31"/>
      <c r="C46" s="13" t="s">
        <v>56</v>
      </c>
      <c r="D46" s="13"/>
      <c r="E46" s="13"/>
      <c r="F46" s="34"/>
      <c r="G46" s="13" t="s">
        <v>57</v>
      </c>
      <c r="H46" s="13"/>
      <c r="I46" s="13"/>
      <c r="J46" s="13"/>
      <c r="K46" s="13"/>
      <c r="L46" s="13"/>
      <c r="M46" s="34"/>
      <c r="N46" s="34"/>
      <c r="O46" s="13" t="s">
        <v>58</v>
      </c>
      <c r="P46" s="13"/>
      <c r="Q46" s="13"/>
      <c r="R46" s="13"/>
      <c r="S46" s="13"/>
      <c r="T46" s="34"/>
      <c r="U46" s="13" t="s">
        <v>59</v>
      </c>
      <c r="V46" s="13"/>
      <c r="W46" s="13"/>
      <c r="X46" s="13"/>
      <c r="Y46" s="13"/>
      <c r="Z46" s="34"/>
      <c r="AA46" s="13" t="s">
        <v>60</v>
      </c>
      <c r="AB46" s="13"/>
      <c r="AC46" s="13"/>
      <c r="AD46" s="13"/>
      <c r="AE46" s="34"/>
      <c r="AF46" s="13" t="s">
        <v>61</v>
      </c>
      <c r="AG46" s="13"/>
      <c r="AH46" s="13"/>
      <c r="AI46" s="13"/>
      <c r="AJ46" s="13"/>
      <c r="AK46" s="9"/>
      <c r="AL46" s="13"/>
      <c r="AM46" s="33"/>
      <c r="AN46" s="10"/>
      <c r="AO46" s="9"/>
      <c r="AP46" s="359"/>
      <c r="AQ46" s="503"/>
      <c r="AR46" s="503"/>
      <c r="AS46" s="360"/>
      <c r="AT46" s="504"/>
      <c r="AU46" s="9"/>
      <c r="AV46" s="9"/>
      <c r="AW46" s="9"/>
      <c r="AX46" s="9"/>
    </row>
    <row r="47" spans="1:50" x14ac:dyDescent="0.25">
      <c r="A47" s="30">
        <f t="shared" si="0"/>
        <v>41</v>
      </c>
      <c r="B47" s="31"/>
      <c r="C47" s="13"/>
      <c r="D47" s="13"/>
      <c r="E47" s="13"/>
      <c r="F47" s="13"/>
      <c r="G47" s="13" t="s">
        <v>62</v>
      </c>
      <c r="H47" s="13"/>
      <c r="I47" s="15"/>
      <c r="J47" s="15"/>
      <c r="K47" s="13" t="s">
        <v>63</v>
      </c>
      <c r="L47" s="13"/>
      <c r="M47" s="13"/>
      <c r="N47" s="13"/>
      <c r="O47" s="13" t="s">
        <v>64</v>
      </c>
      <c r="P47" s="13"/>
      <c r="Q47" s="13"/>
      <c r="R47" s="13"/>
      <c r="S47" s="13"/>
      <c r="T47" s="13"/>
      <c r="U47" s="13" t="s">
        <v>62</v>
      </c>
      <c r="V47" s="13"/>
      <c r="W47" s="15"/>
      <c r="X47" s="15"/>
      <c r="Y47" s="13" t="s">
        <v>65</v>
      </c>
      <c r="Z47" s="13"/>
      <c r="AA47" s="13" t="s">
        <v>66</v>
      </c>
      <c r="AB47" s="13"/>
      <c r="AC47" s="13"/>
      <c r="AD47" s="13"/>
      <c r="AE47" s="13"/>
      <c r="AF47" s="13" t="s">
        <v>62</v>
      </c>
      <c r="AG47" s="13"/>
      <c r="AH47" s="15"/>
      <c r="AI47" s="15"/>
      <c r="AJ47" s="15"/>
      <c r="AK47" s="15"/>
      <c r="AL47" s="13"/>
      <c r="AM47" s="33"/>
      <c r="AN47" s="10"/>
      <c r="AO47" s="9"/>
      <c r="AP47" s="359"/>
      <c r="AQ47" s="503"/>
      <c r="AR47" s="503"/>
      <c r="AS47" s="360"/>
      <c r="AT47" s="504"/>
      <c r="AU47" s="9"/>
      <c r="AV47" s="9"/>
      <c r="AW47" s="9"/>
      <c r="AX47" s="9"/>
    </row>
    <row r="48" spans="1:50" x14ac:dyDescent="0.25">
      <c r="A48" s="30">
        <f t="shared" si="0"/>
        <v>42</v>
      </c>
      <c r="B48" s="31"/>
      <c r="C48" s="13"/>
      <c r="D48" s="13"/>
      <c r="E48" s="13"/>
      <c r="F48" s="13"/>
      <c r="G48" s="13" t="s">
        <v>67</v>
      </c>
      <c r="H48" s="15"/>
      <c r="I48" s="15"/>
      <c r="J48" s="15"/>
      <c r="K48" s="13" t="s">
        <v>63</v>
      </c>
      <c r="L48" s="13"/>
      <c r="M48" s="13"/>
      <c r="N48" s="13"/>
      <c r="O48" s="13" t="s">
        <v>68</v>
      </c>
      <c r="P48" s="13"/>
      <c r="Q48" s="13"/>
      <c r="R48" s="13"/>
      <c r="S48" s="13"/>
      <c r="T48" s="13"/>
      <c r="U48" s="13" t="s">
        <v>67</v>
      </c>
      <c r="V48" s="15"/>
      <c r="W48" s="15"/>
      <c r="X48" s="15"/>
      <c r="Y48" s="13" t="s">
        <v>65</v>
      </c>
      <c r="Z48" s="13"/>
      <c r="AA48" s="13" t="s">
        <v>67</v>
      </c>
      <c r="AB48" s="15"/>
      <c r="AC48" s="15">
        <v>5</v>
      </c>
      <c r="AD48" s="15"/>
      <c r="AE48" s="13"/>
      <c r="AF48" s="13" t="s">
        <v>67</v>
      </c>
      <c r="AG48" s="15"/>
      <c r="AH48" s="15"/>
      <c r="AI48" s="15"/>
      <c r="AJ48" s="15"/>
      <c r="AK48" s="15"/>
      <c r="AL48" s="13"/>
      <c r="AM48" s="33"/>
      <c r="AN48" s="10"/>
      <c r="AO48" s="9"/>
      <c r="AP48" s="359"/>
      <c r="AQ48" s="503"/>
      <c r="AR48" s="503"/>
      <c r="AS48" s="360"/>
      <c r="AT48" s="504"/>
      <c r="AU48" s="9"/>
      <c r="AV48" s="9"/>
      <c r="AW48" s="9"/>
      <c r="AX48" s="9"/>
    </row>
    <row r="49" spans="1:50" ht="15.75" thickBot="1" x14ac:dyDescent="0.3">
      <c r="A49" s="30">
        <f t="shared" si="0"/>
        <v>43</v>
      </c>
      <c r="B49" s="31"/>
      <c r="C49" s="13" t="s">
        <v>69</v>
      </c>
      <c r="D49" s="13"/>
      <c r="E49" s="13"/>
      <c r="F49" s="34"/>
      <c r="G49" s="13" t="s">
        <v>70</v>
      </c>
      <c r="H49" s="13"/>
      <c r="I49" s="13"/>
      <c r="J49" s="13"/>
      <c r="K49" s="13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3"/>
      <c r="AM49" s="33"/>
      <c r="AN49" s="10"/>
      <c r="AO49" s="9"/>
      <c r="AP49" s="361"/>
      <c r="AQ49" s="493"/>
      <c r="AR49" s="493"/>
      <c r="AS49" s="362"/>
      <c r="AT49" s="504"/>
      <c r="AU49" s="9"/>
      <c r="AV49" s="9"/>
      <c r="AW49" s="9"/>
      <c r="AX49" s="9"/>
    </row>
    <row r="50" spans="1:50" x14ac:dyDescent="0.25">
      <c r="A50" s="30">
        <f t="shared" si="0"/>
        <v>44</v>
      </c>
      <c r="B50" s="31"/>
      <c r="C50" s="12"/>
      <c r="D50" s="13"/>
      <c r="E50" s="13"/>
      <c r="F50" s="13" t="s">
        <v>71</v>
      </c>
      <c r="G50" s="13"/>
      <c r="H50" s="13"/>
      <c r="I50" s="34"/>
      <c r="J50" s="13" t="s">
        <v>72</v>
      </c>
      <c r="K50" s="13"/>
      <c r="L50" s="13"/>
      <c r="M50" s="13"/>
      <c r="N50" s="34"/>
      <c r="O50" s="13" t="s">
        <v>73</v>
      </c>
      <c r="P50" s="13"/>
      <c r="Q50" s="13"/>
      <c r="R50" s="13"/>
      <c r="S50" s="13"/>
      <c r="T50" s="34"/>
      <c r="U50" s="13" t="s">
        <v>74</v>
      </c>
      <c r="V50" s="13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3"/>
      <c r="AM50" s="33"/>
      <c r="AN50" s="10"/>
      <c r="AO50" s="9"/>
      <c r="AP50" s="507" t="s">
        <v>407</v>
      </c>
      <c r="AQ50" s="508"/>
      <c r="AR50" s="508"/>
      <c r="AS50" s="509"/>
      <c r="AT50" s="504"/>
      <c r="AU50" s="9"/>
      <c r="AV50" s="9"/>
      <c r="AW50" s="9"/>
      <c r="AX50" s="9"/>
    </row>
    <row r="51" spans="1:50" ht="15.75" thickBot="1" x14ac:dyDescent="0.3">
      <c r="A51" s="30">
        <f t="shared" si="0"/>
        <v>45</v>
      </c>
      <c r="B51" s="31"/>
      <c r="C51" s="13"/>
      <c r="D51" s="13"/>
      <c r="E51" s="13"/>
      <c r="F51" s="13" t="s">
        <v>75</v>
      </c>
      <c r="G51" s="13"/>
      <c r="H51" s="15"/>
      <c r="I51" s="15"/>
      <c r="J51" s="15"/>
      <c r="K51" s="15"/>
      <c r="L51" s="13" t="s">
        <v>76</v>
      </c>
      <c r="M51" s="13"/>
      <c r="N51" s="13"/>
      <c r="O51" s="15"/>
      <c r="P51" s="15"/>
      <c r="Q51" s="15"/>
      <c r="R51" s="13" t="s">
        <v>63</v>
      </c>
      <c r="S51" s="13"/>
      <c r="T51" s="13"/>
      <c r="U51" s="13"/>
      <c r="V51" s="13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3"/>
      <c r="AM51" s="33"/>
      <c r="AN51" s="10"/>
      <c r="AO51" s="9"/>
      <c r="AP51" s="355" t="s">
        <v>400</v>
      </c>
      <c r="AQ51" s="510" t="s">
        <v>403</v>
      </c>
      <c r="AR51" s="510"/>
      <c r="AS51" s="356" t="s">
        <v>404</v>
      </c>
      <c r="AT51" s="504"/>
      <c r="AU51" s="9"/>
      <c r="AV51" s="9"/>
      <c r="AW51" s="9"/>
      <c r="AX51" s="9"/>
    </row>
    <row r="52" spans="1:50" x14ac:dyDescent="0.25">
      <c r="A52" s="30">
        <f t="shared" si="0"/>
        <v>46</v>
      </c>
      <c r="B52" s="36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33"/>
      <c r="AN52" s="10"/>
      <c r="AO52" s="9"/>
      <c r="AP52" s="357" t="s">
        <v>321</v>
      </c>
      <c r="AQ52" s="511" t="s">
        <v>405</v>
      </c>
      <c r="AR52" s="511"/>
      <c r="AS52" s="358" t="s">
        <v>65</v>
      </c>
      <c r="AT52" s="504"/>
      <c r="AU52" s="9"/>
      <c r="AV52" s="9"/>
      <c r="AW52" s="9"/>
      <c r="AX52" s="9"/>
    </row>
    <row r="53" spans="1:50" x14ac:dyDescent="0.25">
      <c r="A53" s="30">
        <f t="shared" si="0"/>
        <v>47</v>
      </c>
      <c r="B53" s="31"/>
      <c r="C53" s="13" t="s">
        <v>77</v>
      </c>
      <c r="D53" s="13"/>
      <c r="E53" s="13"/>
      <c r="F53" s="13"/>
      <c r="G53" s="13"/>
      <c r="H53" s="13"/>
      <c r="I53" s="13"/>
      <c r="J53" s="34"/>
      <c r="K53" s="3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3"/>
      <c r="AM53" s="33"/>
      <c r="AN53" s="10"/>
      <c r="AO53" s="9"/>
      <c r="AP53" s="359">
        <v>30000</v>
      </c>
      <c r="AQ53" s="503">
        <v>87.5</v>
      </c>
      <c r="AR53" s="503"/>
      <c r="AS53" s="360">
        <v>0.82</v>
      </c>
      <c r="AT53" s="504"/>
      <c r="AU53" s="9"/>
      <c r="AV53" s="9"/>
      <c r="AW53" s="9"/>
      <c r="AX53" s="9"/>
    </row>
    <row r="54" spans="1:50" x14ac:dyDescent="0.25">
      <c r="A54" s="30"/>
      <c r="B54" s="25"/>
      <c r="C54" s="25"/>
      <c r="D54" s="25"/>
      <c r="E54" s="25"/>
      <c r="F54" s="25"/>
      <c r="G54" s="25"/>
      <c r="H54" s="25"/>
      <c r="I54" s="25"/>
      <c r="J54" s="24"/>
      <c r="K54" s="58"/>
      <c r="L54" s="24"/>
      <c r="M54" s="25"/>
      <c r="N54" s="25"/>
      <c r="O54" s="24"/>
      <c r="P54" s="25"/>
      <c r="Q54" s="24"/>
      <c r="R54" s="25"/>
      <c r="S54" s="25"/>
      <c r="T54" s="25"/>
      <c r="U54" s="24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59"/>
      <c r="AN54" s="10"/>
      <c r="AO54" s="9"/>
      <c r="AP54" s="359">
        <v>35000</v>
      </c>
      <c r="AQ54" s="503">
        <v>85</v>
      </c>
      <c r="AR54" s="503"/>
      <c r="AS54" s="360">
        <v>0.84</v>
      </c>
      <c r="AT54" s="504"/>
      <c r="AU54" s="9"/>
      <c r="AV54" s="9"/>
      <c r="AW54" s="9"/>
      <c r="AX54" s="9"/>
    </row>
    <row r="55" spans="1:50" x14ac:dyDescent="0.25">
      <c r="A55" s="30">
        <f>A53+1</f>
        <v>48</v>
      </c>
      <c r="B55" s="60" t="s">
        <v>78</v>
      </c>
      <c r="C55" s="13"/>
      <c r="D55" s="13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3"/>
      <c r="AM55" s="33"/>
      <c r="AN55" s="10"/>
      <c r="AO55" s="9"/>
      <c r="AP55" s="359">
        <v>38924.251414575934</v>
      </c>
      <c r="AQ55" s="512">
        <v>82.664107065268283</v>
      </c>
      <c r="AR55" s="513"/>
      <c r="AS55" s="360">
        <v>0.84214168812256252</v>
      </c>
      <c r="AT55" s="504"/>
      <c r="AU55" s="9"/>
      <c r="AV55" s="9"/>
      <c r="AW55" s="9"/>
      <c r="AX55" s="9"/>
    </row>
    <row r="56" spans="1:50" x14ac:dyDescent="0.25">
      <c r="A56" s="30">
        <f>A55+1</f>
        <v>49</v>
      </c>
      <c r="B56" s="61" t="s">
        <v>291</v>
      </c>
      <c r="C56" s="62"/>
      <c r="D56" s="62"/>
      <c r="E56" s="62"/>
      <c r="F56" s="62"/>
      <c r="G56" s="62"/>
      <c r="H56" s="62"/>
      <c r="I56" s="62"/>
      <c r="J56" s="62"/>
      <c r="K56" s="62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  <c r="AC56" s="62"/>
      <c r="AD56" s="62"/>
      <c r="AE56" s="62"/>
      <c r="AF56" s="62"/>
      <c r="AG56" s="62"/>
      <c r="AH56" s="62"/>
      <c r="AI56" s="62"/>
      <c r="AJ56" s="62"/>
      <c r="AK56" s="62"/>
      <c r="AL56" s="13"/>
      <c r="AM56" s="33"/>
      <c r="AN56" s="10"/>
      <c r="AO56" s="9"/>
      <c r="AP56" s="359"/>
      <c r="AQ56" s="503"/>
      <c r="AR56" s="503"/>
      <c r="AS56" s="360"/>
      <c r="AT56" s="504"/>
      <c r="AU56" s="9"/>
      <c r="AV56" s="9"/>
      <c r="AW56" s="9"/>
      <c r="AX56" s="9"/>
    </row>
    <row r="57" spans="1:50" x14ac:dyDescent="0.25">
      <c r="A57" s="63"/>
      <c r="B57" s="64" t="s">
        <v>79</v>
      </c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65"/>
      <c r="AK57" s="65"/>
      <c r="AL57" s="65"/>
      <c r="AM57" s="65"/>
      <c r="AN57" s="10"/>
      <c r="AO57" s="9"/>
      <c r="AP57" s="359"/>
      <c r="AQ57" s="503"/>
      <c r="AR57" s="503"/>
      <c r="AS57" s="360"/>
      <c r="AT57" s="504"/>
      <c r="AU57" s="9"/>
      <c r="AV57" s="9"/>
      <c r="AW57" s="9"/>
      <c r="AX57" s="9"/>
    </row>
    <row r="58" spans="1:50" x14ac:dyDescent="0.25">
      <c r="A58" s="66">
        <v>1</v>
      </c>
      <c r="B58" s="66">
        <v>2</v>
      </c>
      <c r="C58" s="66">
        <v>3</v>
      </c>
      <c r="D58" s="66">
        <v>4</v>
      </c>
      <c r="E58" s="66">
        <v>5</v>
      </c>
      <c r="F58" s="66">
        <v>6</v>
      </c>
      <c r="G58" s="66">
        <v>7</v>
      </c>
      <c r="H58" s="66">
        <v>8</v>
      </c>
      <c r="I58" s="66">
        <v>9</v>
      </c>
      <c r="J58" s="66">
        <v>10</v>
      </c>
      <c r="K58" s="66">
        <v>11</v>
      </c>
      <c r="L58" s="66">
        <v>12</v>
      </c>
      <c r="M58" s="66">
        <v>13</v>
      </c>
      <c r="N58" s="66">
        <v>14</v>
      </c>
      <c r="O58" s="66">
        <v>15</v>
      </c>
      <c r="P58" s="66">
        <v>16</v>
      </c>
      <c r="Q58" s="66">
        <v>17</v>
      </c>
      <c r="R58" s="66">
        <v>18</v>
      </c>
      <c r="S58" s="66">
        <v>19</v>
      </c>
      <c r="T58" s="66">
        <v>20</v>
      </c>
      <c r="U58" s="66">
        <v>21</v>
      </c>
      <c r="V58" s="66">
        <v>22</v>
      </c>
      <c r="W58" s="66">
        <v>23</v>
      </c>
      <c r="X58" s="66">
        <v>24</v>
      </c>
      <c r="Y58" s="66">
        <v>25</v>
      </c>
      <c r="Z58" s="66">
        <v>26</v>
      </c>
      <c r="AA58" s="66">
        <v>27</v>
      </c>
      <c r="AB58" s="66">
        <v>28</v>
      </c>
      <c r="AC58" s="66">
        <v>29</v>
      </c>
      <c r="AD58" s="66">
        <v>30</v>
      </c>
      <c r="AE58" s="66">
        <v>31</v>
      </c>
      <c r="AF58" s="66">
        <v>32</v>
      </c>
      <c r="AG58" s="66">
        <v>33</v>
      </c>
      <c r="AH58" s="66">
        <v>34</v>
      </c>
      <c r="AI58" s="66">
        <v>35</v>
      </c>
      <c r="AJ58" s="66">
        <v>36</v>
      </c>
      <c r="AK58" s="66">
        <v>37</v>
      </c>
      <c r="AL58" s="66">
        <v>38</v>
      </c>
      <c r="AM58" s="66">
        <v>39</v>
      </c>
      <c r="AN58" s="9"/>
      <c r="AO58" s="9"/>
      <c r="AP58" s="359"/>
      <c r="AQ58" s="503"/>
      <c r="AR58" s="503"/>
      <c r="AS58" s="360"/>
      <c r="AT58" s="504"/>
      <c r="AU58" s="9"/>
      <c r="AV58" s="9"/>
      <c r="AW58" s="9"/>
      <c r="AX58" s="9"/>
    </row>
    <row r="59" spans="1:50" x14ac:dyDescent="0.25">
      <c r="A59" s="67"/>
      <c r="B59" s="68"/>
      <c r="C59" s="68"/>
      <c r="D59" s="68"/>
      <c r="E59" s="68"/>
      <c r="F59" s="68"/>
      <c r="G59" s="68"/>
      <c r="H59" s="68"/>
      <c r="I59" s="68"/>
      <c r="J59" s="68"/>
      <c r="K59" s="68"/>
      <c r="L59" s="68"/>
      <c r="M59" s="68"/>
      <c r="N59" s="68"/>
      <c r="O59" s="68"/>
      <c r="P59" s="68"/>
      <c r="Q59" s="68"/>
      <c r="R59" s="68"/>
      <c r="S59" s="69"/>
      <c r="T59" s="70" t="s">
        <v>1</v>
      </c>
      <c r="U59" s="65" t="s">
        <v>1</v>
      </c>
      <c r="V59" s="71" t="s">
        <v>1</v>
      </c>
      <c r="W59" s="65" t="s">
        <v>1</v>
      </c>
      <c r="X59" s="65" t="s">
        <v>1</v>
      </c>
      <c r="Y59" s="65" t="s">
        <v>1</v>
      </c>
      <c r="Z59" s="65" t="s">
        <v>1</v>
      </c>
      <c r="AA59" s="65" t="s">
        <v>1</v>
      </c>
      <c r="AB59" s="65" t="s">
        <v>1</v>
      </c>
      <c r="AC59" s="65" t="s">
        <v>1</v>
      </c>
      <c r="AD59" s="65" t="s">
        <v>1</v>
      </c>
      <c r="AE59" s="65" t="s">
        <v>1</v>
      </c>
      <c r="AF59" s="65" t="s">
        <v>1</v>
      </c>
      <c r="AG59" s="65" t="s">
        <v>1</v>
      </c>
      <c r="AH59" s="65" t="s">
        <v>1</v>
      </c>
      <c r="AI59" s="65" t="s">
        <v>1</v>
      </c>
      <c r="AJ59" s="65" t="s">
        <v>1</v>
      </c>
      <c r="AK59" s="65" t="s">
        <v>1</v>
      </c>
      <c r="AL59" s="68"/>
      <c r="AM59" s="69"/>
      <c r="AN59" s="10"/>
      <c r="AO59" s="9"/>
      <c r="AP59" s="359"/>
      <c r="AQ59" s="503"/>
      <c r="AR59" s="503"/>
      <c r="AS59" s="360"/>
      <c r="AT59" s="504"/>
      <c r="AU59" s="9"/>
      <c r="AV59" s="9"/>
      <c r="AW59" s="9"/>
      <c r="AX59" s="9"/>
    </row>
    <row r="60" spans="1:50" ht="21" thickBot="1" x14ac:dyDescent="0.35">
      <c r="A60" s="72"/>
      <c r="B60" s="196"/>
      <c r="C60" s="196"/>
      <c r="D60" s="196"/>
      <c r="E60" s="73"/>
      <c r="F60" s="196"/>
      <c r="G60" s="196"/>
      <c r="H60" s="196"/>
      <c r="I60" s="196"/>
      <c r="J60" s="196"/>
      <c r="K60" s="196"/>
      <c r="L60" s="196"/>
      <c r="M60" s="196"/>
      <c r="N60" s="196"/>
      <c r="O60" s="196"/>
      <c r="P60" s="196"/>
      <c r="Q60" s="196"/>
      <c r="R60" s="196"/>
      <c r="S60" s="74"/>
      <c r="T60" s="75"/>
      <c r="U60" s="75"/>
      <c r="V60" s="76"/>
      <c r="W60" s="75"/>
      <c r="X60" s="75"/>
      <c r="Y60" s="75"/>
      <c r="Z60" s="76"/>
      <c r="AA60" s="76"/>
      <c r="AB60" s="76"/>
      <c r="AC60" s="76"/>
      <c r="AD60" s="76"/>
      <c r="AE60" s="76"/>
      <c r="AF60" s="76"/>
      <c r="AG60" s="76"/>
      <c r="AH60" s="76"/>
      <c r="AI60" s="76"/>
      <c r="AJ60" s="76"/>
      <c r="AK60" s="75"/>
      <c r="AL60" s="10"/>
      <c r="AM60" s="77"/>
      <c r="AN60" s="10"/>
      <c r="AO60" s="9"/>
      <c r="AP60" s="361"/>
      <c r="AQ60" s="493"/>
      <c r="AR60" s="493"/>
      <c r="AS60" s="362"/>
      <c r="AT60" s="504"/>
      <c r="AU60" s="9"/>
      <c r="AV60" s="9"/>
      <c r="AW60" s="9"/>
      <c r="AX60" s="9"/>
    </row>
    <row r="61" spans="1:50" x14ac:dyDescent="0.25">
      <c r="A61" s="78"/>
      <c r="B61" s="79"/>
      <c r="C61" s="79"/>
      <c r="D61" s="79"/>
      <c r="E61" s="79" t="s">
        <v>80</v>
      </c>
      <c r="F61" s="79"/>
      <c r="G61" s="79"/>
      <c r="H61" s="79"/>
      <c r="I61" s="79"/>
      <c r="J61" s="79"/>
      <c r="K61" s="79"/>
      <c r="L61" s="79"/>
      <c r="M61" s="79"/>
      <c r="N61" s="79"/>
      <c r="O61" s="79"/>
      <c r="P61" s="79"/>
      <c r="Q61" s="79"/>
      <c r="R61" s="79"/>
      <c r="S61" s="80"/>
      <c r="T61" s="75" t="s">
        <v>81</v>
      </c>
      <c r="U61" s="75"/>
      <c r="V61" s="75"/>
      <c r="W61" s="448">
        <v>0</v>
      </c>
      <c r="X61" s="448"/>
      <c r="Y61" s="448"/>
      <c r="Z61" s="448"/>
      <c r="AA61" s="448"/>
      <c r="AB61" s="76" t="s">
        <v>2</v>
      </c>
      <c r="AC61" s="76"/>
      <c r="AD61" s="76"/>
      <c r="AE61" s="448" t="s">
        <v>82</v>
      </c>
      <c r="AF61" s="448"/>
      <c r="AG61" s="448"/>
      <c r="AH61" s="448"/>
      <c r="AI61" s="448"/>
      <c r="AJ61" s="448"/>
      <c r="AK61" s="448"/>
      <c r="AL61" s="10"/>
      <c r="AM61" s="74"/>
      <c r="AN61" s="10"/>
      <c r="AO61" s="9"/>
      <c r="AP61" s="9"/>
      <c r="AQ61" s="9"/>
      <c r="AR61" s="9"/>
      <c r="AS61" s="9"/>
      <c r="AT61" s="9"/>
      <c r="AU61" s="9"/>
      <c r="AV61" s="9"/>
      <c r="AW61" s="9"/>
      <c r="AX61" s="9"/>
    </row>
    <row r="62" spans="1:50" x14ac:dyDescent="0.25">
      <c r="A62" s="198" t="s">
        <v>5</v>
      </c>
      <c r="B62" s="196"/>
      <c r="C62" s="196"/>
      <c r="D62" s="196"/>
      <c r="E62" s="196"/>
      <c r="F62" s="196"/>
      <c r="G62" s="196"/>
      <c r="H62" s="196"/>
      <c r="I62" s="196"/>
      <c r="J62" s="196"/>
      <c r="K62" s="196"/>
      <c r="L62" s="196"/>
      <c r="M62" s="196"/>
      <c r="N62" s="196"/>
      <c r="O62" s="196"/>
      <c r="P62" s="196"/>
      <c r="Q62" s="196"/>
      <c r="R62" s="196"/>
      <c r="S62" s="74"/>
      <c r="T62" s="75" t="s">
        <v>83</v>
      </c>
      <c r="U62" s="75"/>
      <c r="V62" s="75"/>
      <c r="W62" s="76"/>
      <c r="X62" s="449" t="s">
        <v>82</v>
      </c>
      <c r="Y62" s="449"/>
      <c r="Z62" s="449"/>
      <c r="AA62" s="449"/>
      <c r="AB62" s="81" t="s">
        <v>7</v>
      </c>
      <c r="AC62" s="81"/>
      <c r="AD62" s="448" t="s">
        <v>82</v>
      </c>
      <c r="AE62" s="448"/>
      <c r="AF62" s="448"/>
      <c r="AG62" s="448"/>
      <c r="AH62" s="448"/>
      <c r="AI62" s="448"/>
      <c r="AJ62" s="448"/>
      <c r="AK62" s="448"/>
      <c r="AL62" s="10"/>
      <c r="AM62" s="74"/>
      <c r="AN62" s="10"/>
      <c r="AO62" s="9"/>
      <c r="AP62" s="9"/>
      <c r="AQ62" s="9"/>
      <c r="AR62" s="9"/>
      <c r="AS62" s="9"/>
      <c r="AT62" s="9"/>
      <c r="AU62" s="9"/>
      <c r="AV62" s="9"/>
      <c r="AW62" s="9"/>
      <c r="AX62" s="9"/>
    </row>
    <row r="63" spans="1:50" x14ac:dyDescent="0.25">
      <c r="A63" s="199" t="s">
        <v>8</v>
      </c>
      <c r="B63" s="196"/>
      <c r="C63" s="196"/>
      <c r="D63" s="196"/>
      <c r="E63" s="196"/>
      <c r="F63" s="196"/>
      <c r="G63" s="196"/>
      <c r="H63" s="196"/>
      <c r="I63" s="196"/>
      <c r="J63" s="196"/>
      <c r="K63" s="196"/>
      <c r="L63" s="196"/>
      <c r="M63" s="196"/>
      <c r="N63" s="196"/>
      <c r="O63" s="196"/>
      <c r="P63" s="196"/>
      <c r="Q63" s="196"/>
      <c r="R63" s="196"/>
      <c r="S63" s="74"/>
      <c r="T63" s="75" t="s">
        <v>84</v>
      </c>
      <c r="U63" s="75"/>
      <c r="V63" s="200">
        <v>2</v>
      </c>
      <c r="W63" s="197"/>
      <c r="X63" s="201" t="s">
        <v>11</v>
      </c>
      <c r="Y63" s="201"/>
      <c r="Z63" s="82">
        <v>7</v>
      </c>
      <c r="AA63" s="83"/>
      <c r="AB63" s="81" t="s">
        <v>12</v>
      </c>
      <c r="AC63" s="84" t="s">
        <v>82</v>
      </c>
      <c r="AD63" s="85"/>
      <c r="AE63" s="85"/>
      <c r="AF63" s="85"/>
      <c r="AG63" s="85"/>
      <c r="AH63" s="85"/>
      <c r="AI63" s="85"/>
      <c r="AJ63" s="85"/>
      <c r="AK63" s="84" t="s">
        <v>82</v>
      </c>
      <c r="AL63" s="10"/>
      <c r="AM63" s="74"/>
      <c r="AN63" s="10"/>
      <c r="AO63" s="9"/>
      <c r="AP63" s="9"/>
      <c r="AQ63" s="9"/>
      <c r="AR63" s="9"/>
      <c r="AS63" s="9"/>
      <c r="AT63" s="9"/>
      <c r="AU63" s="9"/>
      <c r="AV63" s="9"/>
      <c r="AW63" s="9"/>
      <c r="AX63" s="9"/>
    </row>
    <row r="64" spans="1:50" x14ac:dyDescent="0.25">
      <c r="A64" s="199" t="s">
        <v>284</v>
      </c>
      <c r="B64" s="202"/>
      <c r="C64" s="202"/>
      <c r="D64" s="202"/>
      <c r="E64" s="202"/>
      <c r="F64" s="202"/>
      <c r="G64" s="202"/>
      <c r="H64" s="202"/>
      <c r="I64" s="202"/>
      <c r="J64" s="202"/>
      <c r="K64" s="202"/>
      <c r="L64" s="202"/>
      <c r="M64" s="202"/>
      <c r="N64" s="202"/>
      <c r="O64" s="202"/>
      <c r="P64" s="202"/>
      <c r="Q64" s="202"/>
      <c r="R64" s="202"/>
      <c r="S64" s="86" t="s">
        <v>1</v>
      </c>
      <c r="T64" s="87" t="s">
        <v>1</v>
      </c>
      <c r="U64" s="87" t="s">
        <v>1</v>
      </c>
      <c r="V64" s="87" t="s">
        <v>1</v>
      </c>
      <c r="W64" s="88"/>
      <c r="X64" s="88"/>
      <c r="Y64" s="88"/>
      <c r="Z64" s="88"/>
      <c r="AA64" s="88"/>
      <c r="AB64" s="88"/>
      <c r="AC64" s="88"/>
      <c r="AD64" s="88"/>
      <c r="AE64" s="88"/>
      <c r="AF64" s="88"/>
      <c r="AG64" s="88"/>
      <c r="AH64" s="88"/>
      <c r="AI64" s="88"/>
      <c r="AJ64" s="88"/>
      <c r="AK64" s="88"/>
      <c r="AL64" s="79"/>
      <c r="AM64" s="80"/>
      <c r="AN64" s="10"/>
      <c r="AO64" s="9"/>
      <c r="AP64" s="9"/>
      <c r="AQ64" s="9"/>
      <c r="AR64" s="9"/>
      <c r="AS64" s="9"/>
      <c r="AT64" s="9"/>
      <c r="AU64" s="9"/>
      <c r="AV64" s="9"/>
      <c r="AW64" s="9"/>
      <c r="AX64" s="9"/>
    </row>
    <row r="65" spans="1:50" x14ac:dyDescent="0.25">
      <c r="A65" s="89">
        <v>1</v>
      </c>
      <c r="B65" s="87" t="s">
        <v>85</v>
      </c>
      <c r="C65" s="102"/>
      <c r="D65" s="102"/>
      <c r="E65" s="102"/>
      <c r="F65" s="102"/>
      <c r="G65" s="87"/>
      <c r="H65" s="87"/>
      <c r="I65" s="102"/>
      <c r="J65" s="102"/>
      <c r="K65" s="102"/>
      <c r="L65" s="102"/>
      <c r="M65" s="102"/>
      <c r="N65" s="102"/>
      <c r="O65" s="102"/>
      <c r="P65" s="102"/>
      <c r="Q65" s="102"/>
      <c r="R65" s="102"/>
      <c r="S65" s="102"/>
      <c r="T65" s="87"/>
      <c r="U65" s="102"/>
      <c r="V65" s="102"/>
      <c r="W65" s="102"/>
      <c r="X65" s="102"/>
      <c r="Y65" s="102"/>
      <c r="Z65" s="102"/>
      <c r="AA65" s="102"/>
      <c r="AB65" s="102"/>
      <c r="AC65" s="102"/>
      <c r="AD65" s="102"/>
      <c r="AE65" s="102"/>
      <c r="AF65" s="102"/>
      <c r="AG65" s="102"/>
      <c r="AH65" s="102"/>
      <c r="AI65" s="102"/>
      <c r="AJ65" s="102"/>
      <c r="AK65" s="102"/>
      <c r="AL65" s="79"/>
      <c r="AM65" s="104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</row>
    <row r="66" spans="1:50" x14ac:dyDescent="0.25">
      <c r="A66" s="90">
        <f t="shared" ref="A66:A113" si="1">A65+1</f>
        <v>2</v>
      </c>
      <c r="B66" s="91" t="s">
        <v>86</v>
      </c>
      <c r="C66" s="92"/>
      <c r="D66" s="71"/>
      <c r="E66" s="71"/>
      <c r="F66" s="71"/>
      <c r="G66" s="71"/>
      <c r="H66" s="71"/>
      <c r="I66" s="71"/>
      <c r="J66" s="71"/>
      <c r="K66" s="450" t="s">
        <v>87</v>
      </c>
      <c r="L66" s="451"/>
      <c r="M66" s="451"/>
      <c r="N66" s="451"/>
      <c r="O66" s="451"/>
      <c r="P66" s="451"/>
      <c r="Q66" s="203" t="s">
        <v>88</v>
      </c>
      <c r="R66" s="204"/>
      <c r="S66" s="204"/>
      <c r="T66" s="204"/>
      <c r="U66" s="204"/>
      <c r="V66" s="204"/>
      <c r="W66" s="105"/>
      <c r="X66" s="105"/>
      <c r="Y66" s="105"/>
      <c r="Z66" s="105"/>
      <c r="AA66" s="105"/>
      <c r="AB66" s="71"/>
      <c r="AC66" s="93"/>
      <c r="AD66" s="71"/>
      <c r="AE66" s="71"/>
      <c r="AF66" s="71"/>
      <c r="AG66" s="71"/>
      <c r="AH66" s="94"/>
      <c r="AI66" s="71"/>
      <c r="AJ66" s="71"/>
      <c r="AK66" s="71"/>
      <c r="AL66" s="123"/>
      <c r="AM66" s="93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</row>
    <row r="67" spans="1:50" ht="15" customHeight="1" x14ac:dyDescent="0.25">
      <c r="A67" s="90">
        <f t="shared" si="1"/>
        <v>3</v>
      </c>
      <c r="B67" s="95"/>
      <c r="C67" s="96" t="s">
        <v>89</v>
      </c>
      <c r="D67" s="96"/>
      <c r="E67" s="87"/>
      <c r="F67" s="96"/>
      <c r="G67" s="96"/>
      <c r="H67" s="96"/>
      <c r="I67" s="96"/>
      <c r="J67" s="96"/>
      <c r="K67" s="445" t="s">
        <v>35</v>
      </c>
      <c r="L67" s="446"/>
      <c r="M67" s="447"/>
      <c r="N67" s="445" t="s">
        <v>346</v>
      </c>
      <c r="O67" s="446"/>
      <c r="P67" s="447"/>
      <c r="Q67" s="445" t="s">
        <v>357</v>
      </c>
      <c r="R67" s="446"/>
      <c r="S67" s="446"/>
      <c r="T67" s="447"/>
      <c r="U67" s="97"/>
      <c r="V67" s="98" t="s">
        <v>90</v>
      </c>
      <c r="W67" s="99"/>
      <c r="X67" s="97"/>
      <c r="Y67" s="98" t="s">
        <v>91</v>
      </c>
      <c r="Z67" s="99"/>
      <c r="AA67" s="97"/>
      <c r="AB67" s="98" t="s">
        <v>92</v>
      </c>
      <c r="AC67" s="99"/>
      <c r="AD67" s="443" t="s">
        <v>93</v>
      </c>
      <c r="AE67" s="444"/>
      <c r="AF67" s="444"/>
      <c r="AG67" s="444"/>
      <c r="AH67" s="444"/>
      <c r="AI67" s="444"/>
      <c r="AJ67" s="444"/>
      <c r="AK67" s="444"/>
      <c r="AL67" s="444"/>
      <c r="AM67" s="100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</row>
    <row r="68" spans="1:50" ht="15.75" customHeight="1" x14ac:dyDescent="0.25">
      <c r="A68" s="90">
        <f t="shared" si="1"/>
        <v>4</v>
      </c>
      <c r="B68" s="96"/>
      <c r="C68" s="96"/>
      <c r="D68" s="96"/>
      <c r="E68" s="96"/>
      <c r="F68" s="96"/>
      <c r="G68" s="96"/>
      <c r="H68" s="205" t="s">
        <v>94</v>
      </c>
      <c r="I68" s="206"/>
      <c r="J68" s="207"/>
      <c r="K68" s="79"/>
      <c r="L68" s="96"/>
      <c r="M68" s="96"/>
      <c r="N68" s="101"/>
      <c r="O68" s="102"/>
      <c r="P68" s="102"/>
      <c r="Q68" s="103"/>
      <c r="R68" s="79"/>
      <c r="S68" s="102"/>
      <c r="T68" s="104"/>
      <c r="U68" s="103"/>
      <c r="V68" s="105"/>
      <c r="W68" s="106"/>
      <c r="X68" s="107"/>
      <c r="Y68" s="105"/>
      <c r="Z68" s="106"/>
      <c r="AA68" s="107"/>
      <c r="AB68" s="96"/>
      <c r="AC68" s="100"/>
      <c r="AD68" s="96"/>
      <c r="AE68" s="96"/>
      <c r="AF68" s="96"/>
      <c r="AG68" s="96"/>
      <c r="AH68" s="96"/>
      <c r="AI68" s="96"/>
      <c r="AJ68" s="96"/>
      <c r="AK68" s="96"/>
      <c r="AL68" s="96"/>
      <c r="AM68" s="100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</row>
    <row r="69" spans="1:50" x14ac:dyDescent="0.25">
      <c r="A69" s="90">
        <f t="shared" si="1"/>
        <v>5</v>
      </c>
      <c r="B69" s="419" t="s">
        <v>297</v>
      </c>
      <c r="C69" s="420"/>
      <c r="D69" s="420"/>
      <c r="E69" s="420"/>
      <c r="F69" s="420"/>
      <c r="G69" s="421"/>
      <c r="H69" s="211"/>
      <c r="I69" s="212"/>
      <c r="J69" s="207"/>
      <c r="K69" s="416">
        <v>0</v>
      </c>
      <c r="L69" s="417"/>
      <c r="M69" s="418"/>
      <c r="N69" s="416">
        <v>0</v>
      </c>
      <c r="O69" s="417"/>
      <c r="P69" s="418"/>
      <c r="Q69" s="103"/>
      <c r="R69" s="102"/>
      <c r="S69" s="102"/>
      <c r="T69" s="104"/>
      <c r="U69" s="103"/>
      <c r="V69" s="102"/>
      <c r="W69" s="104"/>
      <c r="X69" s="103"/>
      <c r="Y69" s="102"/>
      <c r="Z69" s="104"/>
      <c r="AA69" s="103"/>
      <c r="AB69" s="96"/>
      <c r="AC69" s="100"/>
      <c r="AD69" s="96"/>
      <c r="AE69" s="96"/>
      <c r="AF69" s="96"/>
      <c r="AG69" s="96"/>
      <c r="AH69" s="96"/>
      <c r="AI69" s="96"/>
      <c r="AJ69" s="96"/>
      <c r="AK69" s="96"/>
      <c r="AL69" s="96"/>
      <c r="AM69" s="100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</row>
    <row r="70" spans="1:50" x14ac:dyDescent="0.25">
      <c r="A70" s="90">
        <f t="shared" si="1"/>
        <v>6</v>
      </c>
      <c r="B70" s="419" t="s">
        <v>95</v>
      </c>
      <c r="C70" s="420"/>
      <c r="D70" s="420"/>
      <c r="E70" s="420"/>
      <c r="F70" s="420"/>
      <c r="G70" s="421"/>
      <c r="H70" s="211"/>
      <c r="I70" s="212"/>
      <c r="J70" s="207"/>
      <c r="K70" s="416">
        <v>8.6999999999999994E-3</v>
      </c>
      <c r="L70" s="417"/>
      <c r="M70" s="418"/>
      <c r="N70" s="416">
        <v>2.2599999999999999E-2</v>
      </c>
      <c r="O70" s="417"/>
      <c r="P70" s="418"/>
      <c r="Q70" s="103"/>
      <c r="R70" s="102"/>
      <c r="S70" s="102"/>
      <c r="T70" s="104"/>
      <c r="U70" s="103"/>
      <c r="V70" s="102"/>
      <c r="W70" s="104"/>
      <c r="X70" s="103"/>
      <c r="Y70" s="102"/>
      <c r="Z70" s="104"/>
      <c r="AA70" s="103"/>
      <c r="AB70" s="96"/>
      <c r="AC70" s="100"/>
      <c r="AD70" s="96"/>
      <c r="AE70" s="96"/>
      <c r="AF70" s="96"/>
      <c r="AG70" s="96"/>
      <c r="AH70" s="96"/>
      <c r="AI70" s="96"/>
      <c r="AJ70" s="96"/>
      <c r="AK70" s="96"/>
      <c r="AL70" s="96"/>
      <c r="AM70" s="100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</row>
    <row r="71" spans="1:50" x14ac:dyDescent="0.25">
      <c r="A71" s="90">
        <f t="shared" si="1"/>
        <v>7</v>
      </c>
      <c r="B71" s="419" t="s">
        <v>96</v>
      </c>
      <c r="C71" s="420"/>
      <c r="D71" s="420"/>
      <c r="E71" s="420"/>
      <c r="F71" s="420"/>
      <c r="G71" s="421"/>
      <c r="H71" s="211"/>
      <c r="I71" s="212"/>
      <c r="J71" s="207"/>
      <c r="K71" s="416">
        <v>0.96319999999999995</v>
      </c>
      <c r="L71" s="417"/>
      <c r="M71" s="418"/>
      <c r="N71" s="416">
        <v>0.95920000000000005</v>
      </c>
      <c r="O71" s="417"/>
      <c r="P71" s="418"/>
      <c r="Q71" s="103"/>
      <c r="R71" s="102"/>
      <c r="S71" s="102"/>
      <c r="T71" s="104"/>
      <c r="U71" s="103"/>
      <c r="V71" s="102"/>
      <c r="W71" s="104"/>
      <c r="X71" s="103"/>
      <c r="Y71" s="102"/>
      <c r="Z71" s="104"/>
      <c r="AA71" s="103"/>
      <c r="AB71" s="96"/>
      <c r="AC71" s="100"/>
      <c r="AD71" s="96"/>
      <c r="AE71" s="96"/>
      <c r="AF71" s="96"/>
      <c r="AG71" s="96"/>
      <c r="AH71" s="96"/>
      <c r="AI71" s="96"/>
      <c r="AJ71" s="96"/>
      <c r="AK71" s="96"/>
      <c r="AL71" s="96"/>
      <c r="AM71" s="100"/>
      <c r="AN71" s="108"/>
      <c r="AO71" s="109"/>
      <c r="AP71" s="110"/>
      <c r="AQ71" s="9"/>
      <c r="AR71" s="9"/>
      <c r="AS71" s="9"/>
      <c r="AT71" s="9"/>
      <c r="AU71" s="9"/>
      <c r="AV71" s="9"/>
      <c r="AW71" s="9"/>
      <c r="AX71" s="9"/>
    </row>
    <row r="72" spans="1:50" x14ac:dyDescent="0.25">
      <c r="A72" s="90">
        <f t="shared" si="1"/>
        <v>8</v>
      </c>
      <c r="B72" s="419" t="s">
        <v>97</v>
      </c>
      <c r="C72" s="420"/>
      <c r="D72" s="420"/>
      <c r="E72" s="420"/>
      <c r="F72" s="420"/>
      <c r="G72" s="421"/>
      <c r="H72" s="211"/>
      <c r="I72" s="212"/>
      <c r="J72" s="207"/>
      <c r="K72" s="416">
        <v>1.46E-2</v>
      </c>
      <c r="L72" s="417"/>
      <c r="M72" s="418"/>
      <c r="N72" s="416">
        <v>9.1999999999999998E-3</v>
      </c>
      <c r="O72" s="417"/>
      <c r="P72" s="418"/>
      <c r="Q72" s="103"/>
      <c r="R72" s="102"/>
      <c r="S72" s="102"/>
      <c r="T72" s="104"/>
      <c r="U72" s="103"/>
      <c r="V72" s="102"/>
      <c r="W72" s="104"/>
      <c r="X72" s="103"/>
      <c r="Y72" s="102"/>
      <c r="Z72" s="104"/>
      <c r="AA72" s="103"/>
      <c r="AB72" s="96"/>
      <c r="AC72" s="100"/>
      <c r="AD72" s="96"/>
      <c r="AE72" s="96"/>
      <c r="AF72" s="96"/>
      <c r="AG72" s="96"/>
      <c r="AH72" s="96"/>
      <c r="AI72" s="96"/>
      <c r="AJ72" s="96"/>
      <c r="AK72" s="96"/>
      <c r="AL72" s="96"/>
      <c r="AM72" s="100"/>
      <c r="AN72" s="108"/>
      <c r="AO72" s="109"/>
      <c r="AP72" s="110"/>
      <c r="AQ72" s="9"/>
      <c r="AR72" s="9"/>
      <c r="AS72" s="9"/>
      <c r="AT72" s="9"/>
      <c r="AU72" s="9"/>
      <c r="AV72" s="9"/>
      <c r="AW72" s="9"/>
      <c r="AX72" s="9"/>
    </row>
    <row r="73" spans="1:50" x14ac:dyDescent="0.25">
      <c r="A73" s="90">
        <f t="shared" si="1"/>
        <v>9</v>
      </c>
      <c r="B73" s="419" t="s">
        <v>98</v>
      </c>
      <c r="C73" s="420"/>
      <c r="D73" s="420"/>
      <c r="E73" s="420"/>
      <c r="F73" s="420"/>
      <c r="G73" s="421"/>
      <c r="H73" s="211"/>
      <c r="I73" s="212"/>
      <c r="J73" s="207"/>
      <c r="K73" s="416">
        <v>1.35E-2</v>
      </c>
      <c r="L73" s="417"/>
      <c r="M73" s="418"/>
      <c r="N73" s="416">
        <v>8.9999999999999993E-3</v>
      </c>
      <c r="O73" s="417"/>
      <c r="P73" s="418"/>
      <c r="Q73" s="103"/>
      <c r="R73" s="102"/>
      <c r="S73" s="102"/>
      <c r="T73" s="104"/>
      <c r="U73" s="103"/>
      <c r="V73" s="102"/>
      <c r="W73" s="104"/>
      <c r="X73" s="103"/>
      <c r="Y73" s="102"/>
      <c r="Z73" s="104"/>
      <c r="AA73" s="103"/>
      <c r="AB73" s="96"/>
      <c r="AC73" s="100"/>
      <c r="AD73" s="96"/>
      <c r="AE73" s="96"/>
      <c r="AF73" s="96"/>
      <c r="AG73" s="96"/>
      <c r="AH73" s="96"/>
      <c r="AI73" s="96"/>
      <c r="AJ73" s="96"/>
      <c r="AK73" s="96"/>
      <c r="AL73" s="96"/>
      <c r="AM73" s="100"/>
      <c r="AN73" s="108"/>
      <c r="AO73" s="109"/>
      <c r="AP73" s="110"/>
      <c r="AQ73" s="9"/>
      <c r="AR73" s="9"/>
      <c r="AS73" s="9"/>
      <c r="AT73" s="9"/>
      <c r="AU73" s="9"/>
      <c r="AV73" s="9"/>
      <c r="AW73" s="9"/>
      <c r="AX73" s="9"/>
    </row>
    <row r="74" spans="1:50" x14ac:dyDescent="0.25">
      <c r="A74" s="90">
        <f t="shared" si="1"/>
        <v>10</v>
      </c>
      <c r="B74" s="419" t="s">
        <v>99</v>
      </c>
      <c r="C74" s="420"/>
      <c r="D74" s="420"/>
      <c r="E74" s="420"/>
      <c r="F74" s="420"/>
      <c r="G74" s="421"/>
      <c r="H74" s="211"/>
      <c r="I74" s="212"/>
      <c r="J74" s="207"/>
      <c r="K74" s="416">
        <v>0</v>
      </c>
      <c r="L74" s="417"/>
      <c r="M74" s="418"/>
      <c r="N74" s="416">
        <v>0</v>
      </c>
      <c r="O74" s="417"/>
      <c r="P74" s="418"/>
      <c r="Q74" s="103"/>
      <c r="R74" s="102"/>
      <c r="S74" s="102"/>
      <c r="T74" s="104"/>
      <c r="U74" s="103"/>
      <c r="V74" s="102"/>
      <c r="W74" s="104"/>
      <c r="X74" s="103"/>
      <c r="Y74" s="102"/>
      <c r="Z74" s="104"/>
      <c r="AA74" s="103"/>
      <c r="AB74" s="96"/>
      <c r="AC74" s="100"/>
      <c r="AD74" s="96"/>
      <c r="AE74" s="96"/>
      <c r="AF74" s="96"/>
      <c r="AG74" s="96"/>
      <c r="AH74" s="96"/>
      <c r="AI74" s="96"/>
      <c r="AJ74" s="96"/>
      <c r="AK74" s="96"/>
      <c r="AL74" s="96"/>
      <c r="AM74" s="100"/>
      <c r="AN74" s="108"/>
      <c r="AO74" s="109"/>
      <c r="AP74" s="110"/>
      <c r="AQ74" s="9"/>
      <c r="AR74" s="9"/>
      <c r="AS74" s="9"/>
      <c r="AT74" s="9"/>
      <c r="AU74" s="9"/>
      <c r="AV74" s="9"/>
      <c r="AW74" s="9"/>
      <c r="AX74" s="9"/>
    </row>
    <row r="75" spans="1:50" x14ac:dyDescent="0.25">
      <c r="A75" s="90">
        <f t="shared" si="1"/>
        <v>11</v>
      </c>
      <c r="B75" s="419" t="s">
        <v>100</v>
      </c>
      <c r="C75" s="420"/>
      <c r="D75" s="420"/>
      <c r="E75" s="420"/>
      <c r="F75" s="420"/>
      <c r="G75" s="421"/>
      <c r="H75" s="211"/>
      <c r="I75" s="212"/>
      <c r="J75" s="207"/>
      <c r="K75" s="416">
        <v>0</v>
      </c>
      <c r="L75" s="417"/>
      <c r="M75" s="418"/>
      <c r="N75" s="416">
        <v>0</v>
      </c>
      <c r="O75" s="417"/>
      <c r="P75" s="418"/>
      <c r="Q75" s="101"/>
      <c r="R75" s="96"/>
      <c r="S75" s="96"/>
      <c r="T75" s="100"/>
      <c r="U75" s="101"/>
      <c r="V75" s="96"/>
      <c r="W75" s="100"/>
      <c r="X75" s="101"/>
      <c r="Y75" s="96"/>
      <c r="Z75" s="100"/>
      <c r="AA75" s="101"/>
      <c r="AB75" s="79"/>
      <c r="AC75" s="100"/>
      <c r="AD75" s="100" t="s">
        <v>101</v>
      </c>
      <c r="AE75" s="96"/>
      <c r="AF75" s="96"/>
      <c r="AG75" s="96"/>
      <c r="AH75" s="96"/>
      <c r="AI75" s="96"/>
      <c r="AJ75" s="96"/>
      <c r="AK75" s="96"/>
      <c r="AL75" s="96"/>
      <c r="AM75" s="100"/>
      <c r="AN75" s="108"/>
      <c r="AO75" s="109"/>
      <c r="AP75" s="110"/>
      <c r="AQ75" s="9"/>
      <c r="AR75" s="9"/>
      <c r="AS75" s="9"/>
      <c r="AT75" s="9"/>
      <c r="AU75" s="9"/>
      <c r="AV75" s="9"/>
      <c r="AW75" s="9"/>
      <c r="AX75" s="9"/>
    </row>
    <row r="76" spans="1:50" x14ac:dyDescent="0.25">
      <c r="A76" s="90">
        <f t="shared" si="1"/>
        <v>12</v>
      </c>
      <c r="B76" s="419" t="s">
        <v>102</v>
      </c>
      <c r="C76" s="420"/>
      <c r="D76" s="420"/>
      <c r="E76" s="420"/>
      <c r="F76" s="420"/>
      <c r="G76" s="421"/>
      <c r="H76" s="211"/>
      <c r="I76" s="212"/>
      <c r="J76" s="207"/>
      <c r="K76" s="416">
        <v>0</v>
      </c>
      <c r="L76" s="417"/>
      <c r="M76" s="418"/>
      <c r="N76" s="416">
        <v>0</v>
      </c>
      <c r="O76" s="417"/>
      <c r="P76" s="418"/>
      <c r="Q76" s="101"/>
      <c r="R76" s="96"/>
      <c r="S76" s="96"/>
      <c r="T76" s="100"/>
      <c r="U76" s="101"/>
      <c r="V76" s="96"/>
      <c r="W76" s="100"/>
      <c r="X76" s="101"/>
      <c r="Y76" s="96"/>
      <c r="Z76" s="100"/>
      <c r="AA76" s="101"/>
      <c r="AB76" s="96"/>
      <c r="AC76" s="100"/>
      <c r="AD76" s="96" t="s">
        <v>103</v>
      </c>
      <c r="AE76" s="96"/>
      <c r="AF76" s="96"/>
      <c r="AG76" s="96"/>
      <c r="AH76" s="96"/>
      <c r="AI76" s="96"/>
      <c r="AJ76" s="96"/>
      <c r="AK76" s="96"/>
      <c r="AL76" s="96"/>
      <c r="AM76" s="100"/>
      <c r="AN76" s="108"/>
      <c r="AO76" s="109"/>
      <c r="AP76" s="110"/>
      <c r="AQ76" s="9"/>
      <c r="AR76" s="9"/>
      <c r="AS76" s="9"/>
      <c r="AT76" s="9"/>
      <c r="AU76" s="9"/>
      <c r="AV76" s="9"/>
      <c r="AW76" s="9"/>
      <c r="AX76" s="9"/>
    </row>
    <row r="77" spans="1:50" x14ac:dyDescent="0.25">
      <c r="A77" s="90">
        <f t="shared" si="1"/>
        <v>13</v>
      </c>
      <c r="B77" s="419" t="s">
        <v>295</v>
      </c>
      <c r="C77" s="420"/>
      <c r="D77" s="420"/>
      <c r="E77" s="420"/>
      <c r="F77" s="420"/>
      <c r="G77" s="421"/>
      <c r="H77" s="211"/>
      <c r="I77" s="212"/>
      <c r="J77" s="207"/>
      <c r="K77" s="416">
        <v>0</v>
      </c>
      <c r="L77" s="417"/>
      <c r="M77" s="418"/>
      <c r="N77" s="416">
        <v>0</v>
      </c>
      <c r="O77" s="417"/>
      <c r="P77" s="418"/>
      <c r="Q77" s="101"/>
      <c r="R77" s="96"/>
      <c r="S77" s="96"/>
      <c r="T77" s="100"/>
      <c r="U77" s="101"/>
      <c r="V77" s="96"/>
      <c r="W77" s="100"/>
      <c r="X77" s="101"/>
      <c r="Y77" s="96"/>
      <c r="Z77" s="100"/>
      <c r="AA77" s="101"/>
      <c r="AB77" s="96"/>
      <c r="AC77" s="100"/>
      <c r="AD77" s="96"/>
      <c r="AE77" s="96"/>
      <c r="AF77" s="96"/>
      <c r="AG77" s="96"/>
      <c r="AH77" s="96"/>
      <c r="AI77" s="96"/>
      <c r="AJ77" s="96"/>
      <c r="AK77" s="96"/>
      <c r="AL77" s="96"/>
      <c r="AM77" s="100"/>
      <c r="AN77" s="108"/>
      <c r="AO77" s="109"/>
      <c r="AP77" s="110"/>
      <c r="AQ77" s="9"/>
      <c r="AR77" s="9"/>
      <c r="AS77" s="9"/>
      <c r="AT77" s="9"/>
      <c r="AU77" s="9"/>
      <c r="AV77" s="9"/>
      <c r="AW77" s="9"/>
      <c r="AX77" s="9"/>
    </row>
    <row r="78" spans="1:50" x14ac:dyDescent="0.25">
      <c r="A78" s="90">
        <f t="shared" si="1"/>
        <v>14</v>
      </c>
      <c r="B78" s="419" t="s">
        <v>104</v>
      </c>
      <c r="C78" s="420"/>
      <c r="D78" s="420"/>
      <c r="E78" s="420"/>
      <c r="F78" s="420"/>
      <c r="G78" s="421"/>
      <c r="H78" s="211"/>
      <c r="I78" s="212"/>
      <c r="J78" s="207"/>
      <c r="K78" s="416">
        <v>0</v>
      </c>
      <c r="L78" s="417"/>
      <c r="M78" s="418"/>
      <c r="N78" s="416">
        <v>0</v>
      </c>
      <c r="O78" s="417"/>
      <c r="P78" s="418"/>
      <c r="Q78" s="101"/>
      <c r="R78" s="96"/>
      <c r="S78" s="96"/>
      <c r="T78" s="100"/>
      <c r="U78" s="101"/>
      <c r="V78" s="96"/>
      <c r="W78" s="100"/>
      <c r="X78" s="101"/>
      <c r="Y78" s="96"/>
      <c r="Z78" s="100"/>
      <c r="AA78" s="101"/>
      <c r="AB78" s="96"/>
      <c r="AC78" s="100"/>
      <c r="AD78" s="96"/>
      <c r="AE78" s="96"/>
      <c r="AF78" s="96"/>
      <c r="AG78" s="96"/>
      <c r="AH78" s="96"/>
      <c r="AI78" s="96"/>
      <c r="AJ78" s="96"/>
      <c r="AK78" s="96"/>
      <c r="AL78" s="96"/>
      <c r="AM78" s="100"/>
      <c r="AN78" s="108"/>
      <c r="AO78" s="109"/>
      <c r="AP78" s="110"/>
      <c r="AQ78" s="9"/>
      <c r="AR78" s="9"/>
      <c r="AS78" s="9"/>
      <c r="AT78" s="9"/>
      <c r="AU78" s="9"/>
      <c r="AV78" s="9"/>
      <c r="AW78" s="9"/>
      <c r="AX78" s="9"/>
    </row>
    <row r="79" spans="1:50" x14ac:dyDescent="0.25">
      <c r="A79" s="90">
        <f t="shared" si="1"/>
        <v>15</v>
      </c>
      <c r="B79" s="419" t="s">
        <v>105</v>
      </c>
      <c r="C79" s="420"/>
      <c r="D79" s="420"/>
      <c r="E79" s="420"/>
      <c r="F79" s="420"/>
      <c r="G79" s="421"/>
      <c r="H79" s="211"/>
      <c r="I79" s="212"/>
      <c r="J79" s="207"/>
      <c r="K79" s="416">
        <v>0</v>
      </c>
      <c r="L79" s="417"/>
      <c r="M79" s="418"/>
      <c r="N79" s="416">
        <v>0</v>
      </c>
      <c r="O79" s="417"/>
      <c r="P79" s="418"/>
      <c r="Q79" s="101"/>
      <c r="R79" s="96"/>
      <c r="S79" s="96"/>
      <c r="T79" s="100"/>
      <c r="U79" s="101"/>
      <c r="V79" s="96"/>
      <c r="W79" s="100"/>
      <c r="X79" s="101"/>
      <c r="Y79" s="96"/>
      <c r="Z79" s="100"/>
      <c r="AA79" s="101"/>
      <c r="AB79" s="96"/>
      <c r="AC79" s="100"/>
      <c r="AD79" s="96"/>
      <c r="AE79" s="96"/>
      <c r="AF79" s="96"/>
      <c r="AG79" s="96"/>
      <c r="AH79" s="96"/>
      <c r="AI79" s="96"/>
      <c r="AJ79" s="96"/>
      <c r="AK79" s="96"/>
      <c r="AL79" s="96"/>
      <c r="AM79" s="100"/>
      <c r="AN79" s="108"/>
      <c r="AO79" s="109"/>
      <c r="AP79" s="110"/>
      <c r="AQ79" s="9"/>
      <c r="AR79" s="9"/>
      <c r="AS79" s="9"/>
      <c r="AT79" s="9"/>
      <c r="AU79" s="9"/>
      <c r="AV79" s="9"/>
      <c r="AW79" s="9"/>
      <c r="AX79" s="9"/>
    </row>
    <row r="80" spans="1:50" x14ac:dyDescent="0.25">
      <c r="A80" s="90">
        <f t="shared" si="1"/>
        <v>16</v>
      </c>
      <c r="B80" s="419" t="s">
        <v>106</v>
      </c>
      <c r="C80" s="420"/>
      <c r="D80" s="420"/>
      <c r="E80" s="420"/>
      <c r="F80" s="420"/>
      <c r="G80" s="421"/>
      <c r="H80" s="211"/>
      <c r="I80" s="212"/>
      <c r="J80" s="207"/>
      <c r="K80" s="416">
        <v>0</v>
      </c>
      <c r="L80" s="417"/>
      <c r="M80" s="418"/>
      <c r="N80" s="416">
        <v>0</v>
      </c>
      <c r="O80" s="417"/>
      <c r="P80" s="418"/>
      <c r="Q80" s="101"/>
      <c r="R80" s="96"/>
      <c r="S80" s="96"/>
      <c r="T80" s="100"/>
      <c r="U80" s="101"/>
      <c r="V80" s="96"/>
      <c r="W80" s="100"/>
      <c r="X80" s="101"/>
      <c r="Y80" s="96"/>
      <c r="Z80" s="100"/>
      <c r="AA80" s="101"/>
      <c r="AB80" s="96"/>
      <c r="AC80" s="100"/>
      <c r="AD80" s="96"/>
      <c r="AE80" s="96"/>
      <c r="AF80" s="96"/>
      <c r="AG80" s="96"/>
      <c r="AH80" s="96"/>
      <c r="AI80" s="96"/>
      <c r="AJ80" s="96"/>
      <c r="AK80" s="96"/>
      <c r="AL80" s="96"/>
      <c r="AM80" s="100"/>
      <c r="AN80" s="108"/>
      <c r="AO80" s="109"/>
      <c r="AP80" s="110"/>
      <c r="AQ80" s="9"/>
      <c r="AR80" s="9"/>
      <c r="AS80" s="9"/>
      <c r="AT80" s="9"/>
      <c r="AU80" s="9"/>
      <c r="AV80" s="9"/>
      <c r="AW80" s="9"/>
      <c r="AX80" s="9"/>
    </row>
    <row r="81" spans="1:50" x14ac:dyDescent="0.25">
      <c r="A81" s="90">
        <f>A80+1</f>
        <v>17</v>
      </c>
      <c r="B81" s="419" t="s">
        <v>107</v>
      </c>
      <c r="C81" s="420"/>
      <c r="D81" s="420"/>
      <c r="E81" s="420"/>
      <c r="F81" s="420"/>
      <c r="G81" s="421"/>
      <c r="H81" s="211"/>
      <c r="I81" s="212"/>
      <c r="J81" s="207"/>
      <c r="K81" s="416">
        <v>0</v>
      </c>
      <c r="L81" s="417"/>
      <c r="M81" s="418"/>
      <c r="N81" s="416">
        <v>0</v>
      </c>
      <c r="O81" s="417"/>
      <c r="P81" s="418"/>
      <c r="Q81" s="101"/>
      <c r="R81" s="96"/>
      <c r="S81" s="96"/>
      <c r="T81" s="100"/>
      <c r="U81" s="101"/>
      <c r="V81" s="96"/>
      <c r="W81" s="100"/>
      <c r="X81" s="101"/>
      <c r="Y81" s="96"/>
      <c r="Z81" s="100"/>
      <c r="AA81" s="101"/>
      <c r="AB81" s="96"/>
      <c r="AC81" s="100"/>
      <c r="AD81" s="96"/>
      <c r="AE81" s="96"/>
      <c r="AF81" s="96"/>
      <c r="AG81" s="96"/>
      <c r="AH81" s="96"/>
      <c r="AI81" s="96"/>
      <c r="AJ81" s="96"/>
      <c r="AK81" s="96"/>
      <c r="AL81" s="96"/>
      <c r="AM81" s="100"/>
      <c r="AN81" s="108"/>
      <c r="AO81" s="109"/>
      <c r="AP81" s="110"/>
      <c r="AQ81" s="9"/>
      <c r="AR81" s="9"/>
      <c r="AS81" s="9"/>
      <c r="AT81" s="9"/>
      <c r="AU81" s="9"/>
      <c r="AV81" s="9"/>
      <c r="AW81" s="9"/>
      <c r="AX81" s="9"/>
    </row>
    <row r="82" spans="1:50" x14ac:dyDescent="0.25">
      <c r="A82" s="90">
        <f t="shared" si="1"/>
        <v>18</v>
      </c>
      <c r="B82" s="419" t="s">
        <v>108</v>
      </c>
      <c r="C82" s="420"/>
      <c r="D82" s="420"/>
      <c r="E82" s="420"/>
      <c r="F82" s="420"/>
      <c r="G82" s="421"/>
      <c r="H82" s="211"/>
      <c r="I82" s="212"/>
      <c r="J82" s="207"/>
      <c r="K82" s="416">
        <v>0</v>
      </c>
      <c r="L82" s="417"/>
      <c r="M82" s="418"/>
      <c r="N82" s="416">
        <v>0</v>
      </c>
      <c r="O82" s="417"/>
      <c r="P82" s="418"/>
      <c r="Q82" s="111"/>
      <c r="R82" s="96"/>
      <c r="S82" s="96"/>
      <c r="T82" s="100"/>
      <c r="U82" s="101"/>
      <c r="V82" s="96"/>
      <c r="W82" s="100"/>
      <c r="X82" s="101"/>
      <c r="Y82" s="96"/>
      <c r="Z82" s="100"/>
      <c r="AA82" s="101"/>
      <c r="AB82" s="96"/>
      <c r="AC82" s="100"/>
      <c r="AD82" s="96"/>
      <c r="AE82" s="96"/>
      <c r="AF82" s="96"/>
      <c r="AG82" s="96"/>
      <c r="AH82" s="96"/>
      <c r="AI82" s="96"/>
      <c r="AJ82" s="96"/>
      <c r="AK82" s="96"/>
      <c r="AL82" s="96"/>
      <c r="AM82" s="100"/>
      <c r="AN82" s="108"/>
      <c r="AO82" s="109"/>
      <c r="AP82" s="110"/>
      <c r="AQ82" s="9"/>
      <c r="AR82" s="9"/>
      <c r="AS82" s="9"/>
      <c r="AT82" s="9"/>
      <c r="AU82" s="9"/>
      <c r="AV82" s="9"/>
      <c r="AW82" s="9"/>
      <c r="AX82" s="9"/>
    </row>
    <row r="83" spans="1:50" x14ac:dyDescent="0.25">
      <c r="A83" s="90">
        <f>A82+1</f>
        <v>19</v>
      </c>
      <c r="B83" s="419" t="s">
        <v>109</v>
      </c>
      <c r="C83" s="420"/>
      <c r="D83" s="420"/>
      <c r="E83" s="420"/>
      <c r="F83" s="420"/>
      <c r="G83" s="421"/>
      <c r="H83" s="211"/>
      <c r="I83" s="212"/>
      <c r="J83" s="207"/>
      <c r="K83" s="416">
        <v>0</v>
      </c>
      <c r="L83" s="417"/>
      <c r="M83" s="418"/>
      <c r="N83" s="416">
        <v>0</v>
      </c>
      <c r="O83" s="417"/>
      <c r="P83" s="418"/>
      <c r="Q83" s="101"/>
      <c r="R83" s="96"/>
      <c r="S83" s="96"/>
      <c r="T83" s="100"/>
      <c r="U83" s="101"/>
      <c r="V83" s="96"/>
      <c r="W83" s="100"/>
      <c r="X83" s="101"/>
      <c r="Y83" s="96"/>
      <c r="Z83" s="100"/>
      <c r="AA83" s="101"/>
      <c r="AB83" s="96"/>
      <c r="AC83" s="100"/>
      <c r="AD83" s="96"/>
      <c r="AE83" s="96"/>
      <c r="AF83" s="96"/>
      <c r="AG83" s="96"/>
      <c r="AH83" s="96"/>
      <c r="AI83" s="96"/>
      <c r="AJ83" s="96"/>
      <c r="AK83" s="96"/>
      <c r="AL83" s="96"/>
      <c r="AM83" s="100"/>
      <c r="AN83" s="108"/>
      <c r="AO83" s="109"/>
      <c r="AP83" s="110"/>
      <c r="AQ83" s="9"/>
      <c r="AR83" s="9"/>
      <c r="AS83" s="9"/>
      <c r="AT83" s="9"/>
      <c r="AU83" s="9"/>
      <c r="AV83" s="9"/>
      <c r="AW83" s="9"/>
      <c r="AX83" s="9"/>
    </row>
    <row r="84" spans="1:50" x14ac:dyDescent="0.25">
      <c r="A84" s="90">
        <f t="shared" si="1"/>
        <v>20</v>
      </c>
      <c r="B84" s="419" t="s">
        <v>110</v>
      </c>
      <c r="C84" s="420"/>
      <c r="D84" s="420"/>
      <c r="E84" s="420"/>
      <c r="F84" s="420"/>
      <c r="G84" s="421"/>
      <c r="H84" s="211"/>
      <c r="I84" s="212"/>
      <c r="J84" s="207"/>
      <c r="K84" s="416">
        <v>0</v>
      </c>
      <c r="L84" s="417"/>
      <c r="M84" s="418"/>
      <c r="N84" s="416">
        <v>0</v>
      </c>
      <c r="O84" s="417"/>
      <c r="P84" s="418"/>
      <c r="Q84" s="101"/>
      <c r="R84" s="96"/>
      <c r="S84" s="96"/>
      <c r="T84" s="100"/>
      <c r="U84" s="101"/>
      <c r="V84" s="96"/>
      <c r="W84" s="100"/>
      <c r="X84" s="101"/>
      <c r="Y84" s="96"/>
      <c r="Z84" s="100"/>
      <c r="AA84" s="101"/>
      <c r="AB84" s="96"/>
      <c r="AC84" s="100"/>
      <c r="AD84" s="96"/>
      <c r="AE84" s="96"/>
      <c r="AF84" s="96"/>
      <c r="AG84" s="96"/>
      <c r="AH84" s="96"/>
      <c r="AI84" s="96"/>
      <c r="AJ84" s="96"/>
      <c r="AK84" s="96"/>
      <c r="AL84" s="96"/>
      <c r="AM84" s="100"/>
      <c r="AN84" s="108"/>
      <c r="AO84" s="109"/>
      <c r="AP84" s="110"/>
      <c r="AQ84" s="9"/>
      <c r="AR84" s="9"/>
      <c r="AS84" s="9"/>
      <c r="AT84" s="9"/>
      <c r="AU84" s="9"/>
      <c r="AV84" s="9"/>
      <c r="AW84" s="9"/>
      <c r="AX84" s="9"/>
    </row>
    <row r="85" spans="1:50" x14ac:dyDescent="0.25">
      <c r="A85" s="90">
        <f t="shared" si="1"/>
        <v>21</v>
      </c>
      <c r="B85" s="419" t="s">
        <v>298</v>
      </c>
      <c r="C85" s="420"/>
      <c r="D85" s="420"/>
      <c r="E85" s="420"/>
      <c r="F85" s="420"/>
      <c r="G85" s="421"/>
      <c r="H85" s="211"/>
      <c r="I85" s="212"/>
      <c r="J85" s="207"/>
      <c r="K85" s="416">
        <v>0</v>
      </c>
      <c r="L85" s="417"/>
      <c r="M85" s="418"/>
      <c r="N85" s="416">
        <v>0</v>
      </c>
      <c r="O85" s="417"/>
      <c r="P85" s="418"/>
      <c r="Q85" s="101"/>
      <c r="R85" s="96"/>
      <c r="S85" s="96"/>
      <c r="T85" s="100"/>
      <c r="U85" s="101"/>
      <c r="V85" s="96"/>
      <c r="W85" s="100"/>
      <c r="X85" s="101"/>
      <c r="Y85" s="96"/>
      <c r="Z85" s="100"/>
      <c r="AA85" s="101"/>
      <c r="AB85" s="96"/>
      <c r="AC85" s="100"/>
      <c r="AD85" s="96"/>
      <c r="AE85" s="96"/>
      <c r="AF85" s="96"/>
      <c r="AG85" s="96"/>
      <c r="AH85" s="96"/>
      <c r="AI85" s="96"/>
      <c r="AJ85" s="96"/>
      <c r="AK85" s="96"/>
      <c r="AL85" s="96"/>
      <c r="AM85" s="100"/>
      <c r="AN85" s="108"/>
      <c r="AO85" s="109"/>
      <c r="AP85" s="110"/>
      <c r="AQ85" s="9"/>
      <c r="AR85" s="9"/>
      <c r="AS85" s="9"/>
      <c r="AT85" s="9"/>
      <c r="AU85" s="9"/>
      <c r="AV85" s="9"/>
      <c r="AW85" s="9"/>
      <c r="AX85" s="9"/>
    </row>
    <row r="86" spans="1:50" x14ac:dyDescent="0.25">
      <c r="A86" s="90">
        <f t="shared" si="1"/>
        <v>22</v>
      </c>
      <c r="B86" s="208"/>
      <c r="C86" s="209"/>
      <c r="D86" s="209"/>
      <c r="E86" s="209"/>
      <c r="F86" s="209"/>
      <c r="G86" s="210"/>
      <c r="H86" s="208"/>
      <c r="I86" s="209"/>
      <c r="J86" s="210"/>
      <c r="K86" s="209"/>
      <c r="L86" s="209"/>
      <c r="M86" s="210"/>
      <c r="N86" s="422">
        <v>0</v>
      </c>
      <c r="O86" s="423"/>
      <c r="P86" s="424"/>
      <c r="Q86" s="101"/>
      <c r="R86" s="96"/>
      <c r="S86" s="96"/>
      <c r="T86" s="100"/>
      <c r="U86" s="101"/>
      <c r="V86" s="96"/>
      <c r="W86" s="100"/>
      <c r="X86" s="101"/>
      <c r="Y86" s="96"/>
      <c r="Z86" s="100"/>
      <c r="AA86" s="101"/>
      <c r="AB86" s="96"/>
      <c r="AC86" s="100"/>
      <c r="AD86" s="96"/>
      <c r="AE86" s="96"/>
      <c r="AF86" s="96"/>
      <c r="AG86" s="96"/>
      <c r="AH86" s="96"/>
      <c r="AI86" s="96"/>
      <c r="AJ86" s="96"/>
      <c r="AK86" s="96"/>
      <c r="AL86" s="96"/>
      <c r="AM86" s="100"/>
      <c r="AN86" s="108"/>
      <c r="AO86" s="109"/>
      <c r="AP86" s="110"/>
      <c r="AQ86" s="9"/>
      <c r="AR86" s="9"/>
      <c r="AS86" s="9"/>
      <c r="AT86" s="9"/>
      <c r="AU86" s="9"/>
      <c r="AV86" s="9"/>
      <c r="AW86" s="9"/>
      <c r="AX86" s="9"/>
    </row>
    <row r="87" spans="1:50" x14ac:dyDescent="0.25">
      <c r="A87" s="90">
        <f>A86+1</f>
        <v>23</v>
      </c>
      <c r="B87" s="208"/>
      <c r="C87" s="209"/>
      <c r="D87" s="209"/>
      <c r="E87" s="209"/>
      <c r="F87" s="209"/>
      <c r="G87" s="210"/>
      <c r="H87" s="208"/>
      <c r="I87" s="209"/>
      <c r="J87" s="210"/>
      <c r="K87" s="209"/>
      <c r="L87" s="209"/>
      <c r="M87" s="210"/>
      <c r="N87" s="422">
        <v>0</v>
      </c>
      <c r="O87" s="423"/>
      <c r="P87" s="424"/>
      <c r="Q87" s="101"/>
      <c r="R87" s="96"/>
      <c r="S87" s="96"/>
      <c r="T87" s="100"/>
      <c r="U87" s="101"/>
      <c r="V87" s="96"/>
      <c r="W87" s="100"/>
      <c r="X87" s="101"/>
      <c r="Y87" s="96"/>
      <c r="Z87" s="100"/>
      <c r="AA87" s="101"/>
      <c r="AB87" s="96"/>
      <c r="AC87" s="100"/>
      <c r="AD87" s="96" t="s">
        <v>111</v>
      </c>
      <c r="AE87" s="96"/>
      <c r="AF87" s="96"/>
      <c r="AG87" s="96"/>
      <c r="AH87" s="112"/>
      <c r="AI87" s="96"/>
      <c r="AJ87" s="96"/>
      <c r="AK87" s="96"/>
      <c r="AL87" s="96"/>
      <c r="AM87" s="100"/>
      <c r="AN87" s="108"/>
      <c r="AO87" s="109"/>
      <c r="AP87" s="110"/>
      <c r="AQ87" s="9"/>
      <c r="AR87" s="9"/>
      <c r="AS87" s="9"/>
      <c r="AT87" s="9"/>
      <c r="AU87" s="9"/>
      <c r="AV87" s="9"/>
      <c r="AW87" s="9"/>
      <c r="AX87" s="9"/>
    </row>
    <row r="88" spans="1:50" x14ac:dyDescent="0.25">
      <c r="A88" s="90">
        <f t="shared" si="1"/>
        <v>24</v>
      </c>
      <c r="B88" s="208"/>
      <c r="C88" s="209"/>
      <c r="D88" s="209"/>
      <c r="E88" s="209"/>
      <c r="F88" s="209"/>
      <c r="G88" s="210"/>
      <c r="H88" s="208"/>
      <c r="I88" s="209"/>
      <c r="J88" s="210"/>
      <c r="K88" s="209"/>
      <c r="L88" s="209"/>
      <c r="M88" s="210"/>
      <c r="N88" s="422">
        <v>0</v>
      </c>
      <c r="O88" s="423"/>
      <c r="P88" s="424"/>
      <c r="Q88" s="101"/>
      <c r="R88" s="96"/>
      <c r="S88" s="96"/>
      <c r="T88" s="100"/>
      <c r="U88" s="101"/>
      <c r="V88" s="96"/>
      <c r="W88" s="100"/>
      <c r="X88" s="101"/>
      <c r="Y88" s="96"/>
      <c r="Z88" s="100"/>
      <c r="AA88" s="101"/>
      <c r="AB88" s="96"/>
      <c r="AC88" s="100"/>
      <c r="AD88" s="96"/>
      <c r="AE88" s="96"/>
      <c r="AF88" s="96"/>
      <c r="AG88" s="96"/>
      <c r="AH88" s="96"/>
      <c r="AI88" s="96"/>
      <c r="AJ88" s="96"/>
      <c r="AK88" s="96"/>
      <c r="AL88" s="96"/>
      <c r="AM88" s="100"/>
      <c r="AN88" s="108"/>
      <c r="AO88" s="109"/>
      <c r="AP88" s="110"/>
      <c r="AQ88" s="9"/>
      <c r="AR88" s="9"/>
      <c r="AS88" s="9"/>
      <c r="AT88" s="9"/>
      <c r="AU88" s="9"/>
      <c r="AV88" s="9"/>
      <c r="AW88" s="9"/>
      <c r="AX88" s="9"/>
    </row>
    <row r="89" spans="1:50" x14ac:dyDescent="0.25">
      <c r="A89" s="90">
        <f t="shared" si="1"/>
        <v>25</v>
      </c>
      <c r="B89" s="96" t="s">
        <v>112</v>
      </c>
      <c r="C89" s="113"/>
      <c r="D89" s="96"/>
      <c r="E89" s="96"/>
      <c r="F89" s="96"/>
      <c r="G89" s="96"/>
      <c r="H89" s="101"/>
      <c r="I89" s="96"/>
      <c r="J89" s="100"/>
      <c r="K89" s="437">
        <f>IF(SUM(K69:M88)=0,"",SUM(K69:M85))</f>
        <v>0.99999999999999989</v>
      </c>
      <c r="L89" s="438"/>
      <c r="M89" s="439"/>
      <c r="N89" s="437">
        <f>IF(SUM(N69:P88)=0,"",SUM(N69:P88))</f>
        <v>1</v>
      </c>
      <c r="O89" s="438"/>
      <c r="P89" s="439"/>
      <c r="Q89" s="101"/>
      <c r="R89" s="96"/>
      <c r="S89" s="96"/>
      <c r="T89" s="100"/>
      <c r="U89" s="101"/>
      <c r="V89" s="96"/>
      <c r="W89" s="100"/>
      <c r="X89" s="101"/>
      <c r="Y89" s="96"/>
      <c r="Z89" s="100"/>
      <c r="AA89" s="101"/>
      <c r="AB89" s="96"/>
      <c r="AC89" s="100"/>
      <c r="AD89" s="96"/>
      <c r="AE89" s="96"/>
      <c r="AF89" s="96"/>
      <c r="AG89" s="96"/>
      <c r="AH89" s="96"/>
      <c r="AI89" s="96"/>
      <c r="AJ89" s="96"/>
      <c r="AK89" s="96"/>
      <c r="AL89" s="96"/>
      <c r="AM89" s="100"/>
      <c r="AN89" s="10"/>
      <c r="AO89" s="9"/>
      <c r="AP89" s="9"/>
      <c r="AQ89" s="9"/>
      <c r="AR89" s="9"/>
      <c r="AS89" s="9"/>
      <c r="AT89" s="9"/>
      <c r="AU89" s="9"/>
      <c r="AV89" s="9"/>
      <c r="AW89" s="9"/>
      <c r="AX89" s="9"/>
    </row>
    <row r="90" spans="1:50" x14ac:dyDescent="0.25">
      <c r="A90" s="90">
        <f t="shared" si="1"/>
        <v>26</v>
      </c>
      <c r="B90" s="96" t="s">
        <v>113</v>
      </c>
      <c r="C90" s="113"/>
      <c r="D90" s="96"/>
      <c r="E90" s="96"/>
      <c r="F90" s="96"/>
      <c r="G90" s="96"/>
      <c r="H90" s="101"/>
      <c r="I90" s="96"/>
      <c r="J90" s="100"/>
      <c r="K90" s="440">
        <v>44.367735652000007</v>
      </c>
      <c r="L90" s="441"/>
      <c r="M90" s="442"/>
      <c r="N90" s="440">
        <v>44.033903047999999</v>
      </c>
      <c r="O90" s="441"/>
      <c r="P90" s="442"/>
      <c r="Q90" s="101"/>
      <c r="R90" s="96"/>
      <c r="S90" s="96"/>
      <c r="T90" s="100"/>
      <c r="U90" s="101"/>
      <c r="V90" s="96"/>
      <c r="W90" s="100"/>
      <c r="X90" s="101"/>
      <c r="Y90" s="96"/>
      <c r="Z90" s="100"/>
      <c r="AA90" s="101"/>
      <c r="AB90" s="96"/>
      <c r="AC90" s="100"/>
      <c r="AD90" s="96"/>
      <c r="AE90" s="96"/>
      <c r="AF90" s="96"/>
      <c r="AG90" s="96"/>
      <c r="AH90" s="96"/>
      <c r="AI90" s="96"/>
      <c r="AJ90" s="96"/>
      <c r="AK90" s="96"/>
      <c r="AL90" s="96"/>
      <c r="AM90" s="100"/>
      <c r="AN90" s="10"/>
      <c r="AO90" s="9"/>
      <c r="AP90" s="9"/>
      <c r="AQ90" s="9"/>
      <c r="AR90" s="9"/>
      <c r="AS90" s="9"/>
      <c r="AT90" s="9"/>
      <c r="AU90" s="9"/>
      <c r="AV90" s="9"/>
      <c r="AW90" s="9"/>
      <c r="AX90" s="9"/>
    </row>
    <row r="91" spans="1:50" x14ac:dyDescent="0.25">
      <c r="A91" s="90">
        <f t="shared" si="1"/>
        <v>27</v>
      </c>
      <c r="B91" s="114" t="s">
        <v>114</v>
      </c>
      <c r="C91" s="115"/>
      <c r="D91" s="115"/>
      <c r="E91" s="115"/>
      <c r="F91" s="115" t="s">
        <v>115</v>
      </c>
      <c r="G91" s="115"/>
      <c r="H91" s="10"/>
      <c r="I91" s="75"/>
      <c r="J91" s="75"/>
      <c r="K91" s="116" t="e">
        <f ca="1">FluidString(B69:B88,K69:K88)</f>
        <v>#NAME?</v>
      </c>
      <c r="L91" s="117"/>
      <c r="M91" s="117"/>
      <c r="N91" s="116" t="e">
        <f ca="1">FluidString(B69:B88,N69:N88)</f>
        <v>#NAME?</v>
      </c>
      <c r="O91" s="117"/>
      <c r="P91" s="117"/>
      <c r="Q91" s="75"/>
      <c r="R91" s="76"/>
      <c r="S91" s="118"/>
      <c r="T91" s="114" t="s">
        <v>116</v>
      </c>
      <c r="U91" s="75"/>
      <c r="V91" s="75"/>
      <c r="W91" s="75"/>
      <c r="X91" s="75"/>
      <c r="Y91" s="75"/>
      <c r="Z91" s="76"/>
      <c r="AA91" s="76"/>
      <c r="AB91" s="76"/>
      <c r="AC91" s="76"/>
      <c r="AD91" s="76"/>
      <c r="AE91" s="76"/>
      <c r="AF91" s="76"/>
      <c r="AG91" s="76"/>
      <c r="AH91" s="76"/>
      <c r="AI91" s="76"/>
      <c r="AJ91" s="76"/>
      <c r="AK91" s="75"/>
      <c r="AL91" s="76"/>
      <c r="AM91" s="118"/>
      <c r="AN91" s="10"/>
      <c r="AO91" s="9"/>
      <c r="AP91" s="9"/>
      <c r="AQ91" s="9"/>
      <c r="AR91" s="9"/>
      <c r="AS91" s="9"/>
      <c r="AT91" s="9"/>
      <c r="AU91" s="9"/>
      <c r="AV91" s="9"/>
      <c r="AW91" s="9"/>
      <c r="AX91" s="9"/>
    </row>
    <row r="92" spans="1:50" x14ac:dyDescent="0.25">
      <c r="A92" s="90">
        <f t="shared" si="1"/>
        <v>28</v>
      </c>
      <c r="B92" s="119"/>
      <c r="C92" s="120" t="s">
        <v>117</v>
      </c>
      <c r="D92" s="120"/>
      <c r="E92" s="120"/>
      <c r="F92" s="120"/>
      <c r="G92" s="119"/>
      <c r="H92" s="75" t="s">
        <v>118</v>
      </c>
      <c r="I92" s="120"/>
      <c r="J92" s="119"/>
      <c r="K92" s="120"/>
      <c r="L92" s="120"/>
      <c r="M92" s="119"/>
      <c r="N92" s="75" t="s">
        <v>119</v>
      </c>
      <c r="O92" s="120"/>
      <c r="P92" s="120"/>
      <c r="Q92" s="120"/>
      <c r="R92" s="120"/>
      <c r="S92" s="121"/>
      <c r="T92" s="119"/>
      <c r="U92" s="75" t="s">
        <v>120</v>
      </c>
      <c r="V92" s="75"/>
      <c r="W92" s="75"/>
      <c r="X92" s="75"/>
      <c r="Y92" s="75"/>
      <c r="Z92" s="75"/>
      <c r="AA92" s="75"/>
      <c r="AB92" s="75"/>
      <c r="AC92" s="75"/>
      <c r="AD92" s="75"/>
      <c r="AE92" s="75"/>
      <c r="AF92" s="75"/>
      <c r="AG92" s="75"/>
      <c r="AH92" s="75"/>
      <c r="AI92" s="75"/>
      <c r="AJ92" s="75"/>
      <c r="AK92" s="75"/>
      <c r="AL92" s="75"/>
      <c r="AM92" s="118"/>
      <c r="AN92" s="10"/>
      <c r="AO92" s="9"/>
      <c r="AP92" s="9"/>
      <c r="AQ92" s="9"/>
      <c r="AR92" s="9"/>
      <c r="AS92" s="9"/>
      <c r="AT92" s="9"/>
      <c r="AU92" s="9"/>
      <c r="AV92" s="9"/>
      <c r="AW92" s="9"/>
      <c r="AX92" s="9"/>
    </row>
    <row r="93" spans="1:50" x14ac:dyDescent="0.25">
      <c r="A93" s="90">
        <f t="shared" si="1"/>
        <v>29</v>
      </c>
      <c r="B93" s="75"/>
      <c r="C93" s="119"/>
      <c r="D93" s="120" t="s">
        <v>121</v>
      </c>
      <c r="E93" s="75"/>
      <c r="F93" s="75"/>
      <c r="G93" s="75"/>
      <c r="H93" s="119"/>
      <c r="I93" s="120" t="s">
        <v>122</v>
      </c>
      <c r="J93" s="75"/>
      <c r="K93" s="75"/>
      <c r="L93" s="75"/>
      <c r="M93" s="75"/>
      <c r="N93" s="119"/>
      <c r="O93" s="75" t="s">
        <v>123</v>
      </c>
      <c r="P93" s="75"/>
      <c r="Q93" s="75"/>
      <c r="R93" s="75"/>
      <c r="S93" s="118"/>
      <c r="T93" s="120"/>
      <c r="U93" s="120" t="s">
        <v>124</v>
      </c>
      <c r="V93" s="120"/>
      <c r="W93" s="120"/>
      <c r="X93" s="120"/>
      <c r="Y93" s="120"/>
      <c r="Z93" s="120"/>
      <c r="AA93" s="84"/>
      <c r="AB93" s="84"/>
      <c r="AC93" s="84"/>
      <c r="AD93" s="84"/>
      <c r="AE93" s="84"/>
      <c r="AF93" s="84"/>
      <c r="AG93" s="84"/>
      <c r="AH93" s="84"/>
      <c r="AI93" s="84"/>
      <c r="AJ93" s="84"/>
      <c r="AK93" s="84"/>
      <c r="AL93" s="75"/>
      <c r="AM93" s="122"/>
      <c r="AN93" s="10"/>
      <c r="AO93" s="9"/>
      <c r="AP93" s="9"/>
      <c r="AQ93" s="9"/>
      <c r="AR93" s="9"/>
      <c r="AS93" s="9"/>
      <c r="AT93" s="9"/>
      <c r="AU93" s="9"/>
      <c r="AV93" s="9"/>
      <c r="AW93" s="9"/>
      <c r="AX93" s="9"/>
    </row>
    <row r="94" spans="1:50" x14ac:dyDescent="0.25">
      <c r="A94" s="90">
        <f t="shared" si="1"/>
        <v>30</v>
      </c>
      <c r="B94" s="75"/>
      <c r="C94" s="119"/>
      <c r="D94" s="75" t="s">
        <v>125</v>
      </c>
      <c r="E94" s="75"/>
      <c r="F94" s="75"/>
      <c r="G94" s="75"/>
      <c r="H94" s="119"/>
      <c r="I94" s="75" t="s">
        <v>126</v>
      </c>
      <c r="J94" s="123"/>
      <c r="K94" s="75"/>
      <c r="L94" s="75"/>
      <c r="M94" s="75"/>
      <c r="N94" s="119"/>
      <c r="O94" s="84"/>
      <c r="P94" s="84"/>
      <c r="Q94" s="84"/>
      <c r="R94" s="84"/>
      <c r="S94" s="118"/>
      <c r="T94" s="119"/>
      <c r="U94" s="76" t="s">
        <v>127</v>
      </c>
      <c r="V94" s="123"/>
      <c r="W94" s="123"/>
      <c r="X94" s="123"/>
      <c r="Y94" s="123"/>
      <c r="Z94" s="123"/>
      <c r="AA94" s="123"/>
      <c r="AB94" s="123"/>
      <c r="AC94" s="123"/>
      <c r="AD94" s="123"/>
      <c r="AE94" s="123"/>
      <c r="AF94" s="123"/>
      <c r="AG94" s="123"/>
      <c r="AH94" s="123"/>
      <c r="AI94" s="123"/>
      <c r="AJ94" s="123"/>
      <c r="AK94" s="123"/>
      <c r="AL94" s="76"/>
      <c r="AM94" s="213"/>
      <c r="AN94" s="10"/>
      <c r="AO94" s="9"/>
      <c r="AP94" s="9"/>
      <c r="AQ94" s="9"/>
      <c r="AR94" s="9"/>
      <c r="AS94" s="9"/>
      <c r="AT94" s="9"/>
      <c r="AU94" s="9"/>
      <c r="AV94" s="9"/>
      <c r="AW94" s="9"/>
      <c r="AX94" s="9"/>
    </row>
    <row r="95" spans="1:50" x14ac:dyDescent="0.25">
      <c r="A95" s="90">
        <f t="shared" si="1"/>
        <v>31</v>
      </c>
      <c r="B95" s="119"/>
      <c r="C95" s="76" t="s">
        <v>128</v>
      </c>
      <c r="D95" s="75"/>
      <c r="E95" s="75"/>
      <c r="F95" s="75"/>
      <c r="G95" s="75"/>
      <c r="H95" s="75"/>
      <c r="I95" s="123"/>
      <c r="J95" s="75"/>
      <c r="K95" s="75"/>
      <c r="L95" s="75"/>
      <c r="M95" s="75" t="s">
        <v>129</v>
      </c>
      <c r="N95" s="84"/>
      <c r="O95" s="75" t="s">
        <v>130</v>
      </c>
      <c r="P95" s="84"/>
      <c r="Q95" s="75" t="s">
        <v>131</v>
      </c>
      <c r="R95" s="84"/>
      <c r="S95" s="118"/>
      <c r="T95" s="115"/>
      <c r="U95" s="75" t="s">
        <v>132</v>
      </c>
      <c r="V95" s="75"/>
      <c r="W95" s="75"/>
      <c r="X95" s="75"/>
      <c r="Y95" s="75"/>
      <c r="Z95" s="75"/>
      <c r="AA95" s="84"/>
      <c r="AB95" s="84"/>
      <c r="AC95" s="84"/>
      <c r="AD95" s="84"/>
      <c r="AE95" s="84"/>
      <c r="AF95" s="84"/>
      <c r="AG95" s="84"/>
      <c r="AH95" s="84"/>
      <c r="AI95" s="84"/>
      <c r="AJ95" s="84"/>
      <c r="AK95" s="84"/>
      <c r="AL95" s="123"/>
      <c r="AM95" s="118"/>
      <c r="AN95" s="10"/>
      <c r="AO95" s="9"/>
      <c r="AP95" s="9"/>
      <c r="AQ95" s="9"/>
      <c r="AR95" s="9"/>
      <c r="AS95" s="9"/>
      <c r="AT95" s="9"/>
      <c r="AU95" s="9"/>
      <c r="AV95" s="9"/>
      <c r="AW95" s="9"/>
      <c r="AX95" s="9"/>
    </row>
    <row r="96" spans="1:50" x14ac:dyDescent="0.25">
      <c r="A96" s="90">
        <f t="shared" si="1"/>
        <v>32</v>
      </c>
      <c r="B96" s="114" t="s">
        <v>133</v>
      </c>
      <c r="C96" s="124"/>
      <c r="D96" s="125"/>
      <c r="E96" s="125"/>
      <c r="F96" s="125"/>
      <c r="G96" s="125"/>
      <c r="H96" s="125"/>
      <c r="I96" s="125"/>
      <c r="J96" s="125"/>
      <c r="K96" s="126"/>
      <c r="L96" s="125"/>
      <c r="M96" s="125"/>
      <c r="N96" s="125"/>
      <c r="O96" s="125"/>
      <c r="P96" s="125"/>
      <c r="Q96" s="125"/>
      <c r="R96" s="125"/>
      <c r="S96" s="118"/>
      <c r="T96" s="76" t="s">
        <v>134</v>
      </c>
      <c r="U96" s="75"/>
      <c r="V96" s="75"/>
      <c r="W96" s="75"/>
      <c r="X96" s="75"/>
      <c r="Y96" s="75"/>
      <c r="Z96" s="75"/>
      <c r="AA96" s="75"/>
      <c r="AB96" s="119"/>
      <c r="AC96" s="75" t="s">
        <v>135</v>
      </c>
      <c r="AD96" s="75"/>
      <c r="AE96" s="75"/>
      <c r="AF96" s="119"/>
      <c r="AG96" s="75" t="s">
        <v>136</v>
      </c>
      <c r="AH96" s="75"/>
      <c r="AI96" s="75"/>
      <c r="AJ96" s="75"/>
      <c r="AK96" s="75"/>
      <c r="AL96" s="75"/>
      <c r="AM96" s="118"/>
      <c r="AN96" s="10"/>
      <c r="AO96" s="9"/>
      <c r="AP96" s="9"/>
      <c r="AQ96" s="9"/>
      <c r="AR96" s="9"/>
      <c r="AS96" s="9"/>
      <c r="AT96" s="9"/>
      <c r="AU96" s="9"/>
      <c r="AV96" s="9"/>
      <c r="AW96" s="9"/>
      <c r="AX96" s="9"/>
    </row>
    <row r="97" spans="1:50" x14ac:dyDescent="0.25">
      <c r="A97" s="90">
        <f t="shared" si="1"/>
        <v>33</v>
      </c>
      <c r="B97" s="119"/>
      <c r="C97" s="75" t="s">
        <v>137</v>
      </c>
      <c r="D97" s="75"/>
      <c r="E97" s="76"/>
      <c r="F97" s="84"/>
      <c r="G97" s="84"/>
      <c r="H97" s="84"/>
      <c r="I97" s="76" t="s">
        <v>138</v>
      </c>
      <c r="J97" s="76"/>
      <c r="K97" s="76" t="s">
        <v>139</v>
      </c>
      <c r="L97" s="76"/>
      <c r="M97" s="76"/>
      <c r="N97" s="76"/>
      <c r="O97" s="84"/>
      <c r="P97" s="84"/>
      <c r="Q97" s="76" t="s">
        <v>140</v>
      </c>
      <c r="R97" s="76"/>
      <c r="S97" s="122"/>
      <c r="T97" s="114" t="s">
        <v>141</v>
      </c>
      <c r="U97" s="75"/>
      <c r="V97" s="75"/>
      <c r="W97" s="75"/>
      <c r="X97" s="75"/>
      <c r="Y97" s="75"/>
      <c r="Z97" s="75"/>
      <c r="AA97" s="75"/>
      <c r="AB97" s="75"/>
      <c r="AC97" s="75"/>
      <c r="AD97" s="75"/>
      <c r="AE97" s="75"/>
      <c r="AF97" s="75"/>
      <c r="AG97" s="75"/>
      <c r="AH97" s="75"/>
      <c r="AI97" s="75"/>
      <c r="AJ97" s="75"/>
      <c r="AK97" s="75"/>
      <c r="AL97" s="75"/>
      <c r="AM97" s="118"/>
      <c r="AN97" s="10"/>
      <c r="AO97" s="9"/>
      <c r="AP97" s="9"/>
      <c r="AQ97" s="9"/>
      <c r="AR97" s="9"/>
      <c r="AS97" s="9"/>
      <c r="AT97" s="9"/>
      <c r="AU97" s="9"/>
      <c r="AV97" s="9"/>
      <c r="AW97" s="9"/>
      <c r="AX97" s="9"/>
    </row>
    <row r="98" spans="1:50" x14ac:dyDescent="0.25">
      <c r="A98" s="90">
        <f t="shared" si="1"/>
        <v>34</v>
      </c>
      <c r="B98" s="119"/>
      <c r="C98" s="75" t="s">
        <v>142</v>
      </c>
      <c r="D98" s="75"/>
      <c r="E98" s="75"/>
      <c r="F98" s="75"/>
      <c r="G98" s="75"/>
      <c r="H98" s="119"/>
      <c r="I98" s="75"/>
      <c r="J98" s="75"/>
      <c r="K98" s="75"/>
      <c r="L98" s="75"/>
      <c r="M98" s="75"/>
      <c r="N98" s="75"/>
      <c r="O98" s="75"/>
      <c r="P98" s="75"/>
      <c r="Q98" s="75"/>
      <c r="R98" s="75"/>
      <c r="S98" s="118"/>
      <c r="T98" s="76" t="s">
        <v>143</v>
      </c>
      <c r="U98" s="75"/>
      <c r="V98" s="75"/>
      <c r="W98" s="75"/>
      <c r="X98" s="76"/>
      <c r="Y98" s="76"/>
      <c r="Z98" s="76"/>
      <c r="AA98" s="75"/>
      <c r="AB98" s="75"/>
      <c r="AC98" s="75"/>
      <c r="AD98" s="76"/>
      <c r="AE98" s="75"/>
      <c r="AF98" s="75"/>
      <c r="AG98" s="76"/>
      <c r="AH98" s="76"/>
      <c r="AI98" s="76"/>
      <c r="AJ98" s="76"/>
      <c r="AK98" s="75"/>
      <c r="AL98" s="75"/>
      <c r="AM98" s="118"/>
      <c r="AN98" s="10"/>
      <c r="AO98" s="9"/>
      <c r="AP98" s="9"/>
      <c r="AQ98" s="9"/>
      <c r="AR98" s="9"/>
      <c r="AS98" s="9"/>
      <c r="AT98" s="9"/>
      <c r="AU98" s="9"/>
      <c r="AV98" s="9"/>
      <c r="AW98" s="9"/>
      <c r="AX98" s="9"/>
    </row>
    <row r="99" spans="1:50" x14ac:dyDescent="0.25">
      <c r="A99" s="90">
        <f t="shared" si="1"/>
        <v>35</v>
      </c>
      <c r="B99" s="123"/>
      <c r="C99" s="75"/>
      <c r="D99" s="75"/>
      <c r="E99" s="75"/>
      <c r="F99" s="75"/>
      <c r="G99" s="76"/>
      <c r="H99" s="75"/>
      <c r="I99" s="76"/>
      <c r="J99" s="76" t="s">
        <v>144</v>
      </c>
      <c r="K99" s="76"/>
      <c r="L99" s="76"/>
      <c r="M99" s="76"/>
      <c r="N99" s="76"/>
      <c r="O99" s="76" t="s">
        <v>145</v>
      </c>
      <c r="P99" s="76"/>
      <c r="Q99" s="76"/>
      <c r="R99" s="76"/>
      <c r="S99" s="122"/>
      <c r="T99" s="119"/>
      <c r="U99" s="76" t="s">
        <v>146</v>
      </c>
      <c r="V99" s="76"/>
      <c r="W99" s="76"/>
      <c r="X99" s="76"/>
      <c r="Y99" s="76"/>
      <c r="Z99" s="76"/>
      <c r="AA99" s="76"/>
      <c r="AB99" s="76"/>
      <c r="AC99" s="76"/>
      <c r="AD99" s="76"/>
      <c r="AE99" s="76"/>
      <c r="AF99" s="76"/>
      <c r="AG99" s="76"/>
      <c r="AH99" s="76"/>
      <c r="AI99" s="76"/>
      <c r="AJ99" s="76"/>
      <c r="AK99" s="75"/>
      <c r="AL99" s="75"/>
      <c r="AM99" s="118"/>
      <c r="AN99" s="10"/>
      <c r="AO99" s="9"/>
      <c r="AP99" s="9"/>
      <c r="AQ99" s="9"/>
      <c r="AR99" s="9"/>
      <c r="AS99" s="9"/>
      <c r="AT99" s="9"/>
      <c r="AU99" s="9"/>
      <c r="AV99" s="9"/>
      <c r="AW99" s="9"/>
      <c r="AX99" s="9"/>
    </row>
    <row r="100" spans="1:50" x14ac:dyDescent="0.25">
      <c r="A100" s="90">
        <f t="shared" si="1"/>
        <v>36</v>
      </c>
      <c r="B100" s="75"/>
      <c r="C100" s="76" t="s">
        <v>147</v>
      </c>
      <c r="D100" s="76"/>
      <c r="E100" s="76"/>
      <c r="F100" s="76"/>
      <c r="G100" s="76" t="s">
        <v>148</v>
      </c>
      <c r="H100" s="76"/>
      <c r="I100" s="76"/>
      <c r="J100" s="84"/>
      <c r="K100" s="84"/>
      <c r="L100" s="84"/>
      <c r="M100" s="76"/>
      <c r="N100" s="76"/>
      <c r="O100" s="84"/>
      <c r="P100" s="84"/>
      <c r="Q100" s="84"/>
      <c r="R100" s="76"/>
      <c r="S100" s="122"/>
      <c r="T100" s="119"/>
      <c r="U100" s="84"/>
      <c r="V100" s="84"/>
      <c r="W100" s="84"/>
      <c r="X100" s="84"/>
      <c r="Y100" s="84"/>
      <c r="Z100" s="84"/>
      <c r="AA100" s="84"/>
      <c r="AB100" s="84"/>
      <c r="AC100" s="84"/>
      <c r="AD100" s="84"/>
      <c r="AE100" s="84"/>
      <c r="AF100" s="84"/>
      <c r="AG100" s="84"/>
      <c r="AH100" s="84"/>
      <c r="AI100" s="84"/>
      <c r="AJ100" s="84"/>
      <c r="AK100" s="84"/>
      <c r="AL100" s="75"/>
      <c r="AM100" s="118"/>
      <c r="AN100" s="10"/>
      <c r="AO100" s="9"/>
      <c r="AP100" s="9"/>
      <c r="AQ100" s="9"/>
      <c r="AR100" s="9"/>
      <c r="AS100" s="9"/>
      <c r="AT100" s="9"/>
      <c r="AU100" s="9"/>
      <c r="AV100" s="9"/>
      <c r="AW100" s="9"/>
      <c r="AX100" s="9"/>
    </row>
    <row r="101" spans="1:50" x14ac:dyDescent="0.25">
      <c r="A101" s="90">
        <f t="shared" si="1"/>
        <v>37</v>
      </c>
      <c r="B101" s="114"/>
      <c r="C101" s="75" t="s">
        <v>149</v>
      </c>
      <c r="D101" s="75"/>
      <c r="E101" s="75"/>
      <c r="F101" s="75"/>
      <c r="G101" s="76" t="s">
        <v>148</v>
      </c>
      <c r="H101" s="75"/>
      <c r="I101" s="76"/>
      <c r="J101" s="84"/>
      <c r="K101" s="84"/>
      <c r="L101" s="84"/>
      <c r="M101" s="76"/>
      <c r="N101" s="75"/>
      <c r="O101" s="84"/>
      <c r="P101" s="84"/>
      <c r="Q101" s="84"/>
      <c r="R101" s="75"/>
      <c r="S101" s="118"/>
      <c r="T101" s="119"/>
      <c r="U101" s="76" t="s">
        <v>150</v>
      </c>
      <c r="V101" s="76"/>
      <c r="W101" s="76"/>
      <c r="X101" s="76"/>
      <c r="Y101" s="119"/>
      <c r="Z101" s="76"/>
      <c r="AA101" s="76"/>
      <c r="AB101" s="76"/>
      <c r="AC101" s="76"/>
      <c r="AD101" s="76"/>
      <c r="AE101" s="76"/>
      <c r="AF101" s="119"/>
      <c r="AG101" s="76"/>
      <c r="AH101" s="76"/>
      <c r="AI101" s="76"/>
      <c r="AJ101" s="76"/>
      <c r="AK101" s="76"/>
      <c r="AL101" s="75"/>
      <c r="AM101" s="122"/>
      <c r="AN101" s="10"/>
      <c r="AO101" s="9"/>
      <c r="AP101" s="9"/>
      <c r="AQ101" s="9"/>
      <c r="AR101" s="9"/>
      <c r="AS101" s="9"/>
      <c r="AT101" s="9"/>
      <c r="AU101" s="9"/>
      <c r="AV101" s="9"/>
      <c r="AW101" s="9"/>
      <c r="AX101" s="9"/>
    </row>
    <row r="102" spans="1:50" x14ac:dyDescent="0.25">
      <c r="A102" s="90">
        <f t="shared" si="1"/>
        <v>38</v>
      </c>
      <c r="B102" s="76"/>
      <c r="C102" s="75" t="s">
        <v>151</v>
      </c>
      <c r="D102" s="75"/>
      <c r="E102" s="75"/>
      <c r="F102" s="76"/>
      <c r="G102" s="76" t="s">
        <v>148</v>
      </c>
      <c r="H102" s="76"/>
      <c r="I102" s="76"/>
      <c r="J102" s="84"/>
      <c r="K102" s="84"/>
      <c r="L102" s="84"/>
      <c r="M102" s="76"/>
      <c r="N102" s="76"/>
      <c r="O102" s="84"/>
      <c r="P102" s="84"/>
      <c r="Q102" s="84"/>
      <c r="R102" s="76"/>
      <c r="S102" s="122"/>
      <c r="T102" s="119"/>
      <c r="U102" s="84"/>
      <c r="V102" s="84"/>
      <c r="W102" s="84"/>
      <c r="X102" s="84"/>
      <c r="Y102" s="84"/>
      <c r="Z102" s="84"/>
      <c r="AA102" s="84"/>
      <c r="AB102" s="84"/>
      <c r="AC102" s="84"/>
      <c r="AD102" s="84"/>
      <c r="AE102" s="84"/>
      <c r="AF102" s="84"/>
      <c r="AG102" s="84"/>
      <c r="AH102" s="84"/>
      <c r="AI102" s="84"/>
      <c r="AJ102" s="84"/>
      <c r="AK102" s="84"/>
      <c r="AL102" s="76"/>
      <c r="AM102" s="118"/>
      <c r="AN102" s="10"/>
      <c r="AO102" s="9"/>
      <c r="AP102" s="9"/>
      <c r="AQ102" s="9"/>
      <c r="AR102" s="9"/>
      <c r="AS102" s="9"/>
      <c r="AT102" s="9"/>
      <c r="AU102" s="9"/>
      <c r="AV102" s="9"/>
      <c r="AW102" s="9"/>
      <c r="AX102" s="9"/>
    </row>
    <row r="103" spans="1:50" x14ac:dyDescent="0.25">
      <c r="A103" s="90">
        <f t="shared" si="1"/>
        <v>39</v>
      </c>
      <c r="B103" s="76"/>
      <c r="C103" s="85"/>
      <c r="D103" s="85"/>
      <c r="E103" s="85"/>
      <c r="F103" s="76"/>
      <c r="G103" s="76" t="s">
        <v>148</v>
      </c>
      <c r="H103" s="76"/>
      <c r="I103" s="76"/>
      <c r="J103" s="84"/>
      <c r="K103" s="84"/>
      <c r="L103" s="84"/>
      <c r="M103" s="76"/>
      <c r="N103" s="76"/>
      <c r="O103" s="84"/>
      <c r="P103" s="84"/>
      <c r="Q103" s="84"/>
      <c r="R103" s="76"/>
      <c r="S103" s="122"/>
      <c r="T103" s="87"/>
      <c r="U103" s="88"/>
      <c r="V103" s="102"/>
      <c r="W103" s="88"/>
      <c r="X103" s="88"/>
      <c r="Y103" s="88"/>
      <c r="Z103" s="88"/>
      <c r="AA103" s="88"/>
      <c r="AB103" s="88"/>
      <c r="AC103" s="88"/>
      <c r="AD103" s="88"/>
      <c r="AE103" s="88"/>
      <c r="AF103" s="88"/>
      <c r="AG103" s="88"/>
      <c r="AH103" s="88"/>
      <c r="AI103" s="88"/>
      <c r="AJ103" s="88"/>
      <c r="AK103" s="88"/>
      <c r="AL103" s="75"/>
      <c r="AM103" s="118"/>
      <c r="AN103" s="10"/>
      <c r="AO103" s="9"/>
      <c r="AP103" s="9"/>
      <c r="AQ103" s="9"/>
      <c r="AR103" s="9"/>
      <c r="AS103" s="9"/>
      <c r="AT103" s="9"/>
      <c r="AU103" s="9"/>
      <c r="AV103" s="9"/>
      <c r="AW103" s="9"/>
      <c r="AX103" s="9"/>
    </row>
    <row r="104" spans="1:50" x14ac:dyDescent="0.25">
      <c r="A104" s="90">
        <f t="shared" si="1"/>
        <v>40</v>
      </c>
      <c r="B104" s="114" t="s">
        <v>152</v>
      </c>
      <c r="C104" s="75"/>
      <c r="D104" s="75"/>
      <c r="E104" s="76"/>
      <c r="F104" s="76"/>
      <c r="G104" s="76"/>
      <c r="H104" s="76"/>
      <c r="I104" s="76"/>
      <c r="J104" s="119"/>
      <c r="K104" s="76" t="s">
        <v>153</v>
      </c>
      <c r="L104" s="76"/>
      <c r="M104" s="76"/>
      <c r="N104" s="119"/>
      <c r="O104" s="76" t="s">
        <v>154</v>
      </c>
      <c r="P104" s="76"/>
      <c r="Q104" s="76"/>
      <c r="R104" s="76"/>
      <c r="S104" s="122"/>
      <c r="T104" s="114" t="s">
        <v>155</v>
      </c>
      <c r="U104" s="75"/>
      <c r="V104" s="123"/>
      <c r="W104" s="75"/>
      <c r="X104" s="75"/>
      <c r="Y104" s="119"/>
      <c r="Z104" s="75"/>
      <c r="AA104" s="75"/>
      <c r="AB104" s="123"/>
      <c r="AC104" s="75"/>
      <c r="AD104" s="75"/>
      <c r="AE104" s="75"/>
      <c r="AF104" s="119"/>
      <c r="AG104" s="75"/>
      <c r="AH104" s="75"/>
      <c r="AI104" s="75"/>
      <c r="AJ104" s="75"/>
      <c r="AK104" s="75"/>
      <c r="AL104" s="75"/>
      <c r="AM104" s="118"/>
      <c r="AN104" s="10"/>
      <c r="AO104" s="127"/>
      <c r="AP104" s="9"/>
      <c r="AQ104" s="9"/>
      <c r="AR104" s="9"/>
      <c r="AS104" s="9"/>
      <c r="AT104" s="9"/>
      <c r="AU104" s="9"/>
      <c r="AV104" s="9"/>
      <c r="AW104" s="9"/>
      <c r="AX104" s="9"/>
    </row>
    <row r="105" spans="1:50" x14ac:dyDescent="0.25">
      <c r="A105" s="90">
        <f t="shared" si="1"/>
        <v>41</v>
      </c>
      <c r="B105" s="114"/>
      <c r="C105" s="85"/>
      <c r="D105" s="85"/>
      <c r="E105" s="84"/>
      <c r="F105" s="76"/>
      <c r="G105" s="76" t="s">
        <v>148</v>
      </c>
      <c r="H105" s="76"/>
      <c r="I105" s="76"/>
      <c r="J105" s="128"/>
      <c r="K105" s="84"/>
      <c r="L105" s="84"/>
      <c r="M105" s="76"/>
      <c r="N105" s="119"/>
      <c r="O105" s="84"/>
      <c r="P105" s="84"/>
      <c r="Q105" s="84"/>
      <c r="R105" s="76"/>
      <c r="S105" s="122"/>
      <c r="T105" s="119"/>
      <c r="U105" s="75" t="s">
        <v>156</v>
      </c>
      <c r="V105" s="75"/>
      <c r="W105" s="75"/>
      <c r="X105" s="75"/>
      <c r="Y105" s="75"/>
      <c r="Z105" s="75"/>
      <c r="AA105" s="75"/>
      <c r="AB105" s="75"/>
      <c r="AC105" s="75"/>
      <c r="AD105" s="75"/>
      <c r="AE105" s="75"/>
      <c r="AF105" s="75"/>
      <c r="AG105" s="75"/>
      <c r="AH105" s="75"/>
      <c r="AI105" s="75"/>
      <c r="AJ105" s="75"/>
      <c r="AK105" s="75"/>
      <c r="AL105" s="75"/>
      <c r="AM105" s="118"/>
      <c r="AN105" s="10"/>
      <c r="AO105" s="127"/>
      <c r="AP105" s="9"/>
      <c r="AQ105" s="9"/>
      <c r="AR105" s="9"/>
      <c r="AS105" s="9"/>
      <c r="AT105" s="9"/>
      <c r="AU105" s="9"/>
      <c r="AV105" s="9"/>
      <c r="AW105" s="9"/>
      <c r="AX105" s="9"/>
    </row>
    <row r="106" spans="1:50" x14ac:dyDescent="0.25">
      <c r="A106" s="90">
        <f t="shared" si="1"/>
        <v>42</v>
      </c>
      <c r="B106" s="119"/>
      <c r="C106" s="75" t="s">
        <v>157</v>
      </c>
      <c r="D106" s="75"/>
      <c r="E106" s="75"/>
      <c r="F106" s="75"/>
      <c r="G106" s="128"/>
      <c r="H106" s="128"/>
      <c r="I106" s="128"/>
      <c r="J106" s="128"/>
      <c r="K106" s="128"/>
      <c r="L106" s="128"/>
      <c r="M106" s="128"/>
      <c r="N106" s="128"/>
      <c r="O106" s="128"/>
      <c r="P106" s="128"/>
      <c r="Q106" s="128"/>
      <c r="R106" s="128"/>
      <c r="S106" s="122"/>
      <c r="T106" s="119"/>
      <c r="U106" s="75" t="s">
        <v>74</v>
      </c>
      <c r="V106" s="123"/>
      <c r="W106" s="84"/>
      <c r="X106" s="84"/>
      <c r="Y106" s="84"/>
      <c r="Z106" s="84"/>
      <c r="AA106" s="84"/>
      <c r="AB106" s="84"/>
      <c r="AC106" s="84"/>
      <c r="AD106" s="84"/>
      <c r="AE106" s="84"/>
      <c r="AF106" s="84"/>
      <c r="AG106" s="84"/>
      <c r="AH106" s="84"/>
      <c r="AI106" s="84"/>
      <c r="AJ106" s="84"/>
      <c r="AK106" s="84"/>
      <c r="AL106" s="75"/>
      <c r="AM106" s="118"/>
      <c r="AN106" s="10"/>
      <c r="AO106" s="9"/>
      <c r="AP106" s="9"/>
      <c r="AQ106" s="9"/>
      <c r="AR106" s="9"/>
      <c r="AS106" s="9"/>
      <c r="AT106" s="9"/>
      <c r="AU106" s="9"/>
      <c r="AV106" s="9"/>
      <c r="AW106" s="9"/>
      <c r="AX106" s="9"/>
    </row>
    <row r="107" spans="1:50" x14ac:dyDescent="0.25">
      <c r="A107" s="90">
        <f t="shared" si="1"/>
        <v>43</v>
      </c>
      <c r="B107" s="119"/>
      <c r="C107" s="128"/>
      <c r="D107" s="128"/>
      <c r="E107" s="128"/>
      <c r="F107" s="128"/>
      <c r="G107" s="128"/>
      <c r="H107" s="128"/>
      <c r="I107" s="128"/>
      <c r="J107" s="128"/>
      <c r="K107" s="128"/>
      <c r="L107" s="128"/>
      <c r="M107" s="128"/>
      <c r="N107" s="128"/>
      <c r="O107" s="128"/>
      <c r="P107" s="128"/>
      <c r="Q107" s="128"/>
      <c r="R107" s="128"/>
      <c r="S107" s="122"/>
      <c r="T107" s="119"/>
      <c r="U107" s="75"/>
      <c r="V107" s="123"/>
      <c r="W107" s="76"/>
      <c r="X107" s="76"/>
      <c r="Y107" s="76"/>
      <c r="Z107" s="76"/>
      <c r="AA107" s="76"/>
      <c r="AB107" s="76"/>
      <c r="AC107" s="76"/>
      <c r="AD107" s="76"/>
      <c r="AE107" s="76"/>
      <c r="AF107" s="76"/>
      <c r="AG107" s="76"/>
      <c r="AH107" s="76"/>
      <c r="AI107" s="76"/>
      <c r="AJ107" s="76"/>
      <c r="AK107" s="76"/>
      <c r="AL107" s="75"/>
      <c r="AM107" s="118"/>
      <c r="AN107" s="10"/>
      <c r="AO107" s="9"/>
      <c r="AP107" s="9"/>
      <c r="AQ107" s="9"/>
      <c r="AR107" s="9"/>
      <c r="AS107" s="9"/>
      <c r="AT107" s="9"/>
      <c r="AU107" s="9"/>
      <c r="AV107" s="9"/>
      <c r="AW107" s="9"/>
      <c r="AX107" s="9"/>
    </row>
    <row r="108" spans="1:50" x14ac:dyDescent="0.25">
      <c r="A108" s="90">
        <f t="shared" si="1"/>
        <v>44</v>
      </c>
      <c r="B108" s="76"/>
      <c r="C108" s="75" t="s">
        <v>158</v>
      </c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122"/>
      <c r="T108" s="115" t="s">
        <v>159</v>
      </c>
      <c r="U108" s="75"/>
      <c r="V108" s="76"/>
      <c r="W108" s="76"/>
      <c r="X108" s="76"/>
      <c r="Y108" s="76"/>
      <c r="Z108" s="76"/>
      <c r="AA108" s="76"/>
      <c r="AB108" s="76"/>
      <c r="AC108" s="76"/>
      <c r="AD108" s="76"/>
      <c r="AE108" s="76"/>
      <c r="AF108" s="76"/>
      <c r="AG108" s="76"/>
      <c r="AH108" s="76"/>
      <c r="AI108" s="76"/>
      <c r="AJ108" s="76"/>
      <c r="AK108" s="75"/>
      <c r="AL108" s="75"/>
      <c r="AM108" s="118"/>
      <c r="AN108" s="10"/>
      <c r="AO108" s="9"/>
      <c r="AP108" s="9"/>
      <c r="AQ108" s="9"/>
      <c r="AR108" s="9"/>
      <c r="AS108" s="9"/>
      <c r="AT108" s="9"/>
      <c r="AU108" s="9"/>
      <c r="AV108" s="9"/>
      <c r="AW108" s="9"/>
      <c r="AX108" s="9"/>
    </row>
    <row r="109" spans="1:50" x14ac:dyDescent="0.25">
      <c r="A109" s="90">
        <f t="shared" si="1"/>
        <v>45</v>
      </c>
      <c r="B109" s="129" t="s">
        <v>160</v>
      </c>
      <c r="C109" s="75"/>
      <c r="D109" s="75"/>
      <c r="E109" s="75"/>
      <c r="F109" s="114"/>
      <c r="G109" s="76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6"/>
      <c r="S109" s="118"/>
      <c r="T109" s="119"/>
      <c r="U109" s="75" t="s">
        <v>161</v>
      </c>
      <c r="V109" s="76"/>
      <c r="W109" s="76"/>
      <c r="X109" s="76"/>
      <c r="Y109" s="119"/>
      <c r="Z109" s="76" t="s">
        <v>162</v>
      </c>
      <c r="AA109" s="76"/>
      <c r="AB109" s="76"/>
      <c r="AC109" s="119"/>
      <c r="AD109" s="76" t="s">
        <v>163</v>
      </c>
      <c r="AE109" s="76"/>
      <c r="AF109" s="76"/>
      <c r="AG109" s="76"/>
      <c r="AH109" s="76"/>
      <c r="AI109" s="76"/>
      <c r="AJ109" s="76"/>
      <c r="AK109" s="75"/>
      <c r="AL109" s="75"/>
      <c r="AM109" s="118"/>
      <c r="AN109" s="10"/>
      <c r="AO109" s="9"/>
      <c r="AP109" s="9"/>
      <c r="AQ109" s="9"/>
      <c r="AR109" s="9"/>
      <c r="AS109" s="9"/>
      <c r="AT109" s="9"/>
      <c r="AU109" s="9"/>
      <c r="AV109" s="9"/>
      <c r="AW109" s="9"/>
      <c r="AX109" s="9"/>
    </row>
    <row r="110" spans="1:50" x14ac:dyDescent="0.25">
      <c r="A110" s="90">
        <f t="shared" si="1"/>
        <v>46</v>
      </c>
      <c r="B110" s="119"/>
      <c r="C110" s="75" t="s">
        <v>164</v>
      </c>
      <c r="D110" s="75"/>
      <c r="E110" s="75"/>
      <c r="F110" s="76"/>
      <c r="G110" s="76"/>
      <c r="H110" s="76"/>
      <c r="I110" s="76"/>
      <c r="J110" s="76"/>
      <c r="K110" s="84"/>
      <c r="L110" s="84"/>
      <c r="M110" s="84"/>
      <c r="N110" s="84"/>
      <c r="O110" s="84"/>
      <c r="P110" s="84"/>
      <c r="Q110" s="84"/>
      <c r="R110" s="84"/>
      <c r="S110" s="118"/>
      <c r="T110" s="119"/>
      <c r="U110" s="75" t="s">
        <v>165</v>
      </c>
      <c r="V110" s="76"/>
      <c r="W110" s="76"/>
      <c r="X110" s="76"/>
      <c r="Y110" s="76"/>
      <c r="Z110" s="76"/>
      <c r="AA110" s="76"/>
      <c r="AB110" s="76"/>
      <c r="AC110" s="76"/>
      <c r="AD110" s="76"/>
      <c r="AE110" s="76"/>
      <c r="AF110" s="76"/>
      <c r="AG110" s="76"/>
      <c r="AH110" s="76"/>
      <c r="AI110" s="84"/>
      <c r="AJ110" s="84"/>
      <c r="AK110" s="75" t="s">
        <v>166</v>
      </c>
      <c r="AL110" s="75"/>
      <c r="AM110" s="118"/>
      <c r="AN110" s="10"/>
      <c r="AO110" s="9"/>
      <c r="AP110" s="9"/>
      <c r="AQ110" s="9"/>
      <c r="AR110" s="9"/>
      <c r="AS110" s="9"/>
      <c r="AT110" s="9"/>
      <c r="AU110" s="9"/>
      <c r="AV110" s="9"/>
      <c r="AW110" s="9"/>
      <c r="AX110" s="9"/>
    </row>
    <row r="111" spans="1:50" x14ac:dyDescent="0.25">
      <c r="A111" s="90">
        <f t="shared" si="1"/>
        <v>47</v>
      </c>
      <c r="B111" s="119"/>
      <c r="C111" s="76" t="s">
        <v>167</v>
      </c>
      <c r="D111" s="76"/>
      <c r="E111" s="76"/>
      <c r="F111" s="76"/>
      <c r="G111" s="76"/>
      <c r="H111" s="76"/>
      <c r="I111" s="76"/>
      <c r="J111" s="76"/>
      <c r="K111" s="84"/>
      <c r="L111" s="84"/>
      <c r="M111" s="84"/>
      <c r="N111" s="84"/>
      <c r="O111" s="84"/>
      <c r="P111" s="84"/>
      <c r="Q111" s="84"/>
      <c r="R111" s="84"/>
      <c r="S111" s="213"/>
      <c r="T111" s="75"/>
      <c r="U111" s="75" t="s">
        <v>168</v>
      </c>
      <c r="V111" s="75"/>
      <c r="W111" s="75"/>
      <c r="X111" s="75"/>
      <c r="Y111" s="75"/>
      <c r="Z111" s="75"/>
      <c r="AA111" s="75"/>
      <c r="AB111" s="75"/>
      <c r="AC111" s="75"/>
      <c r="AD111" s="75"/>
      <c r="AE111" s="75"/>
      <c r="AF111" s="75"/>
      <c r="AG111" s="75"/>
      <c r="AH111" s="75"/>
      <c r="AI111" s="75"/>
      <c r="AJ111" s="75"/>
      <c r="AK111" s="75"/>
      <c r="AL111" s="75"/>
      <c r="AM111" s="74"/>
      <c r="AN111" s="10"/>
      <c r="AO111" s="9"/>
      <c r="AP111" s="9"/>
      <c r="AQ111" s="9"/>
      <c r="AR111" s="9"/>
      <c r="AS111" s="9"/>
      <c r="AT111" s="9"/>
      <c r="AU111" s="9"/>
      <c r="AV111" s="9"/>
      <c r="AW111" s="9"/>
      <c r="AX111" s="9"/>
    </row>
    <row r="112" spans="1:50" x14ac:dyDescent="0.25">
      <c r="A112" s="90">
        <f t="shared" si="1"/>
        <v>48</v>
      </c>
      <c r="B112" s="114" t="s">
        <v>78</v>
      </c>
      <c r="C112" s="75"/>
      <c r="D112" s="75"/>
      <c r="E112" s="84"/>
      <c r="F112" s="84"/>
      <c r="G112" s="84"/>
      <c r="H112" s="84"/>
      <c r="I112" s="84"/>
      <c r="J112" s="84"/>
      <c r="K112" s="84"/>
      <c r="L112" s="84"/>
      <c r="M112" s="84"/>
      <c r="N112" s="84"/>
      <c r="O112" s="84"/>
      <c r="P112" s="84"/>
      <c r="Q112" s="84"/>
      <c r="R112" s="84"/>
      <c r="S112" s="122"/>
      <c r="T112" s="76"/>
      <c r="U112" s="119"/>
      <c r="V112" s="76" t="s">
        <v>169</v>
      </c>
      <c r="W112" s="76"/>
      <c r="X112" s="76"/>
      <c r="Y112" s="76"/>
      <c r="Z112" s="76"/>
      <c r="AA112" s="76"/>
      <c r="AB112" s="76"/>
      <c r="AC112" s="119"/>
      <c r="AD112" s="76" t="s">
        <v>170</v>
      </c>
      <c r="AE112" s="76"/>
      <c r="AF112" s="76"/>
      <c r="AG112" s="76"/>
      <c r="AH112" s="76"/>
      <c r="AI112" s="76"/>
      <c r="AJ112" s="76"/>
      <c r="AK112" s="76"/>
      <c r="AL112" s="10"/>
      <c r="AM112" s="74"/>
      <c r="AN112" s="10"/>
      <c r="AO112" s="9"/>
      <c r="AP112" s="9"/>
      <c r="AQ112" s="9"/>
      <c r="AR112" s="9"/>
      <c r="AS112" s="9"/>
      <c r="AT112" s="9"/>
      <c r="AU112" s="9"/>
      <c r="AV112" s="9"/>
      <c r="AW112" s="9"/>
      <c r="AX112" s="9"/>
    </row>
    <row r="113" spans="1:50" x14ac:dyDescent="0.25">
      <c r="A113" s="90">
        <f t="shared" si="1"/>
        <v>49</v>
      </c>
      <c r="B113" s="96"/>
      <c r="C113" s="96"/>
      <c r="D113" s="96"/>
      <c r="E113" s="96"/>
      <c r="F113" s="96"/>
      <c r="G113" s="96"/>
      <c r="H113" s="96"/>
      <c r="I113" s="96"/>
      <c r="J113" s="96"/>
      <c r="K113" s="96"/>
      <c r="L113" s="96"/>
      <c r="M113" s="96"/>
      <c r="N113" s="96"/>
      <c r="O113" s="96"/>
      <c r="P113" s="96"/>
      <c r="Q113" s="96"/>
      <c r="R113" s="96"/>
      <c r="S113" s="118"/>
      <c r="T113" s="76"/>
      <c r="U113" s="119"/>
      <c r="V113" s="76"/>
      <c r="W113" s="76"/>
      <c r="X113" s="76"/>
      <c r="Y113" s="76"/>
      <c r="Z113" s="76"/>
      <c r="AA113" s="76"/>
      <c r="AB113" s="76"/>
      <c r="AC113" s="119"/>
      <c r="AD113" s="76"/>
      <c r="AE113" s="76"/>
      <c r="AF113" s="76"/>
      <c r="AG113" s="76"/>
      <c r="AH113" s="76"/>
      <c r="AI113" s="76"/>
      <c r="AJ113" s="76"/>
      <c r="AK113" s="76"/>
      <c r="AL113" s="79"/>
      <c r="AM113" s="80"/>
      <c r="AN113" s="10"/>
      <c r="AO113" s="9"/>
      <c r="AP113" s="9"/>
      <c r="AQ113" s="9"/>
      <c r="AR113" s="9"/>
      <c r="AS113" s="9"/>
      <c r="AT113" s="9"/>
      <c r="AU113" s="9"/>
      <c r="AV113" s="9"/>
      <c r="AW113" s="9"/>
      <c r="AX113" s="9"/>
    </row>
    <row r="114" spans="1:50" x14ac:dyDescent="0.25">
      <c r="A114" s="63"/>
      <c r="B114" s="130" t="s">
        <v>171</v>
      </c>
      <c r="C114" s="75"/>
      <c r="D114" s="75"/>
      <c r="E114" s="75"/>
      <c r="F114" s="75"/>
      <c r="G114" s="75"/>
      <c r="H114" s="75"/>
      <c r="I114" s="68"/>
      <c r="J114" s="75"/>
      <c r="K114" s="75"/>
      <c r="L114" s="75"/>
      <c r="M114" s="75"/>
      <c r="N114" s="75"/>
      <c r="O114" s="75"/>
      <c r="P114" s="75"/>
      <c r="Q114" s="75"/>
      <c r="R114" s="75"/>
      <c r="S114" s="68"/>
      <c r="T114" s="65" t="s">
        <v>1</v>
      </c>
      <c r="U114" s="65" t="s">
        <v>1</v>
      </c>
      <c r="V114" s="71" t="s">
        <v>1</v>
      </c>
      <c r="W114" s="65" t="s">
        <v>1</v>
      </c>
      <c r="X114" s="65" t="s">
        <v>1</v>
      </c>
      <c r="Y114" s="65" t="s">
        <v>1</v>
      </c>
      <c r="Z114" s="65" t="s">
        <v>1</v>
      </c>
      <c r="AA114" s="65" t="s">
        <v>1</v>
      </c>
      <c r="AB114" s="65" t="s">
        <v>1</v>
      </c>
      <c r="AC114" s="65" t="s">
        <v>1</v>
      </c>
      <c r="AD114" s="65" t="s">
        <v>1</v>
      </c>
      <c r="AE114" s="65" t="s">
        <v>1</v>
      </c>
      <c r="AF114" s="65" t="s">
        <v>1</v>
      </c>
      <c r="AG114" s="65" t="s">
        <v>1</v>
      </c>
      <c r="AH114" s="65" t="s">
        <v>1</v>
      </c>
      <c r="AI114" s="65" t="s">
        <v>1</v>
      </c>
      <c r="AJ114" s="65" t="s">
        <v>1</v>
      </c>
      <c r="AK114" s="65" t="s">
        <v>1</v>
      </c>
      <c r="AL114" s="10"/>
      <c r="AM114" s="10"/>
      <c r="AN114" s="10"/>
      <c r="AO114" s="9"/>
      <c r="AP114" s="9"/>
      <c r="AQ114" s="9"/>
      <c r="AR114" s="9"/>
      <c r="AS114" s="9"/>
      <c r="AT114" s="9"/>
      <c r="AU114" s="9"/>
      <c r="AV114" s="9"/>
      <c r="AW114" s="9"/>
      <c r="AX114" s="9"/>
    </row>
    <row r="115" spans="1:50" x14ac:dyDescent="0.25">
      <c r="A115" s="131"/>
      <c r="B115" s="75"/>
      <c r="C115" s="75"/>
      <c r="D115" s="75"/>
      <c r="E115" s="75"/>
      <c r="F115" s="75"/>
      <c r="G115" s="75"/>
      <c r="H115" s="75"/>
      <c r="I115" s="75"/>
      <c r="J115" s="75"/>
      <c r="K115" s="75"/>
      <c r="L115" s="75"/>
      <c r="M115" s="88"/>
      <c r="N115" s="75"/>
      <c r="O115" s="75"/>
      <c r="P115" s="75"/>
      <c r="Q115" s="75"/>
      <c r="R115" s="75"/>
      <c r="S115" s="75"/>
      <c r="T115" s="75"/>
      <c r="U115" s="75"/>
      <c r="V115" s="75"/>
      <c r="W115" s="75"/>
      <c r="X115" s="75"/>
      <c r="Y115" s="75"/>
      <c r="Z115" s="75"/>
      <c r="AA115" s="75"/>
      <c r="AB115" s="75"/>
      <c r="AC115" s="75"/>
      <c r="AD115" s="75"/>
      <c r="AE115" s="75"/>
      <c r="AF115" s="75"/>
      <c r="AG115" s="75"/>
      <c r="AH115" s="75"/>
      <c r="AI115" s="75"/>
      <c r="AJ115" s="75"/>
      <c r="AK115" s="75"/>
      <c r="AL115" s="75"/>
      <c r="AM115" s="75"/>
      <c r="AN115" s="75"/>
      <c r="AO115" s="75"/>
      <c r="AP115" s="75"/>
      <c r="AQ115" s="75"/>
      <c r="AR115" s="9"/>
      <c r="AS115" s="9"/>
      <c r="AT115" s="9"/>
      <c r="AU115" s="9"/>
      <c r="AV115" s="9"/>
      <c r="AW115" s="9"/>
      <c r="AX115" s="9"/>
    </row>
    <row r="116" spans="1:50" x14ac:dyDescent="0.25">
      <c r="A116" s="132"/>
      <c r="B116" s="133"/>
      <c r="C116" s="133"/>
      <c r="D116" s="133"/>
      <c r="E116" s="133"/>
      <c r="F116" s="133"/>
      <c r="G116" s="133"/>
      <c r="H116" s="133"/>
      <c r="I116" s="133"/>
      <c r="J116" s="133"/>
      <c r="K116" s="133"/>
      <c r="L116" s="133"/>
      <c r="M116" s="134"/>
      <c r="N116" s="133"/>
      <c r="O116" s="133"/>
      <c r="P116" s="133"/>
      <c r="Q116" s="133"/>
      <c r="R116" s="133"/>
      <c r="S116" s="135"/>
      <c r="T116" s="136"/>
      <c r="U116" s="136"/>
      <c r="V116" s="137"/>
      <c r="W116" s="136"/>
      <c r="X116" s="136"/>
      <c r="Y116" s="136"/>
      <c r="Z116" s="136"/>
      <c r="AA116" s="136"/>
      <c r="AB116" s="136"/>
      <c r="AC116" s="136"/>
      <c r="AD116" s="136"/>
      <c r="AE116" s="136"/>
      <c r="AF116" s="136"/>
      <c r="AG116" s="136"/>
      <c r="AH116" s="136"/>
      <c r="AI116" s="136"/>
      <c r="AJ116" s="136"/>
      <c r="AK116" s="136"/>
      <c r="AL116" s="133"/>
      <c r="AM116" s="135"/>
      <c r="AN116" s="138"/>
      <c r="AO116" s="9"/>
      <c r="AP116" s="9"/>
      <c r="AQ116" s="9"/>
      <c r="AR116" s="9"/>
      <c r="AS116" s="9"/>
      <c r="AT116" s="9"/>
      <c r="AU116" s="9"/>
      <c r="AV116" s="9"/>
      <c r="AW116" s="9"/>
      <c r="AX116" s="9"/>
    </row>
    <row r="117" spans="1:50" ht="20.25" x14ac:dyDescent="0.25">
      <c r="A117" s="139"/>
      <c r="B117" s="214"/>
      <c r="C117" s="214"/>
      <c r="D117" s="214"/>
      <c r="E117" s="140"/>
      <c r="F117" s="214"/>
      <c r="G117" s="214"/>
      <c r="H117" s="214"/>
      <c r="I117" s="214"/>
      <c r="J117" s="214"/>
      <c r="K117" s="214"/>
      <c r="L117" s="214"/>
      <c r="M117" s="214"/>
      <c r="N117" s="214"/>
      <c r="O117" s="214"/>
      <c r="P117" s="214"/>
      <c r="Q117" s="214"/>
      <c r="R117" s="214"/>
      <c r="S117" s="141"/>
      <c r="T117" s="142"/>
      <c r="U117" s="142"/>
      <c r="V117" s="134"/>
      <c r="W117" s="142"/>
      <c r="X117" s="142"/>
      <c r="Y117" s="142"/>
      <c r="Z117" s="134"/>
      <c r="AA117" s="134"/>
      <c r="AB117" s="134"/>
      <c r="AC117" s="134"/>
      <c r="AD117" s="134"/>
      <c r="AE117" s="134"/>
      <c r="AF117" s="134"/>
      <c r="AG117" s="134"/>
      <c r="AH117" s="134"/>
      <c r="AI117" s="134"/>
      <c r="AJ117" s="134"/>
      <c r="AK117" s="142"/>
      <c r="AL117" s="138"/>
      <c r="AM117" s="141"/>
      <c r="AN117" s="138"/>
      <c r="AO117" s="9"/>
      <c r="AP117" s="9"/>
      <c r="AQ117" s="9"/>
      <c r="AR117" s="9"/>
      <c r="AS117" s="9"/>
      <c r="AT117" s="9"/>
      <c r="AU117" s="9"/>
      <c r="AV117" s="9"/>
      <c r="AW117" s="9"/>
      <c r="AX117" s="9"/>
    </row>
    <row r="118" spans="1:50" x14ac:dyDescent="0.25">
      <c r="A118" s="143"/>
      <c r="B118" s="144"/>
      <c r="C118" s="144"/>
      <c r="D118" s="144"/>
      <c r="E118" s="144" t="s">
        <v>80</v>
      </c>
      <c r="F118" s="144"/>
      <c r="G118" s="144"/>
      <c r="H118" s="144"/>
      <c r="I118" s="144"/>
      <c r="J118" s="144"/>
      <c r="K118" s="144"/>
      <c r="L118" s="144"/>
      <c r="M118" s="144"/>
      <c r="N118" s="144"/>
      <c r="O118" s="144"/>
      <c r="P118" s="144"/>
      <c r="Q118" s="144"/>
      <c r="R118" s="144"/>
      <c r="S118" s="145"/>
      <c r="T118" s="142" t="s">
        <v>81</v>
      </c>
      <c r="U118" s="142"/>
      <c r="V118" s="142"/>
      <c r="W118" s="433" t="s">
        <v>1</v>
      </c>
      <c r="X118" s="433"/>
      <c r="Y118" s="433"/>
      <c r="Z118" s="433"/>
      <c r="AA118" s="433"/>
      <c r="AB118" s="134" t="s">
        <v>2</v>
      </c>
      <c r="AC118" s="134"/>
      <c r="AD118" s="134"/>
      <c r="AE118" s="433" t="e">
        <v>#REF!</v>
      </c>
      <c r="AF118" s="433"/>
      <c r="AG118" s="433"/>
      <c r="AH118" s="433"/>
      <c r="AI118" s="433"/>
      <c r="AJ118" s="433"/>
      <c r="AK118" s="433"/>
      <c r="AL118" s="138"/>
      <c r="AM118" s="141"/>
      <c r="AN118" s="138"/>
      <c r="AO118" s="9"/>
      <c r="AP118" s="9"/>
      <c r="AQ118" s="9"/>
      <c r="AR118" s="9"/>
      <c r="AS118" s="9"/>
      <c r="AT118" s="9"/>
      <c r="AU118" s="9"/>
      <c r="AV118" s="9"/>
      <c r="AW118" s="9"/>
      <c r="AX118" s="9"/>
    </row>
    <row r="119" spans="1:50" x14ac:dyDescent="0.25">
      <c r="A119" s="216" t="s">
        <v>5</v>
      </c>
      <c r="B119" s="214"/>
      <c r="C119" s="214"/>
      <c r="D119" s="214"/>
      <c r="E119" s="214"/>
      <c r="F119" s="214"/>
      <c r="G119" s="214"/>
      <c r="H119" s="214"/>
      <c r="I119" s="214"/>
      <c r="J119" s="214"/>
      <c r="K119" s="214"/>
      <c r="L119" s="214"/>
      <c r="M119" s="214"/>
      <c r="N119" s="214"/>
      <c r="O119" s="214"/>
      <c r="P119" s="214"/>
      <c r="Q119" s="214"/>
      <c r="R119" s="214"/>
      <c r="S119" s="141"/>
      <c r="T119" s="142" t="s">
        <v>83</v>
      </c>
      <c r="U119" s="142"/>
      <c r="V119" s="142"/>
      <c r="W119" s="134"/>
      <c r="X119" s="432" t="e">
        <v>#REF!</v>
      </c>
      <c r="Y119" s="432"/>
      <c r="Z119" s="432"/>
      <c r="AA119" s="432"/>
      <c r="AB119" s="146" t="s">
        <v>7</v>
      </c>
      <c r="AC119" s="146"/>
      <c r="AD119" s="433" t="e">
        <v>#REF!</v>
      </c>
      <c r="AE119" s="433"/>
      <c r="AF119" s="433"/>
      <c r="AG119" s="433"/>
      <c r="AH119" s="433"/>
      <c r="AI119" s="433"/>
      <c r="AJ119" s="433"/>
      <c r="AK119" s="433"/>
      <c r="AL119" s="138"/>
      <c r="AM119" s="141"/>
      <c r="AN119" s="138"/>
      <c r="AO119" s="9"/>
      <c r="AP119" s="9"/>
      <c r="AQ119" s="9"/>
      <c r="AR119" s="9"/>
      <c r="AS119" s="9"/>
      <c r="AT119" s="9"/>
      <c r="AU119" s="9"/>
      <c r="AV119" s="9"/>
      <c r="AW119" s="9"/>
      <c r="AX119" s="9"/>
    </row>
    <row r="120" spans="1:50" x14ac:dyDescent="0.25">
      <c r="A120" s="217" t="s">
        <v>8</v>
      </c>
      <c r="B120" s="214"/>
      <c r="C120" s="214"/>
      <c r="D120" s="214"/>
      <c r="E120" s="214"/>
      <c r="F120" s="214"/>
      <c r="G120" s="214"/>
      <c r="H120" s="214"/>
      <c r="I120" s="214"/>
      <c r="J120" s="214"/>
      <c r="K120" s="214"/>
      <c r="L120" s="214"/>
      <c r="M120" s="214"/>
      <c r="N120" s="214"/>
      <c r="O120" s="214"/>
      <c r="P120" s="214"/>
      <c r="Q120" s="214"/>
      <c r="R120" s="214"/>
      <c r="S120" s="141"/>
      <c r="T120" s="142" t="s">
        <v>84</v>
      </c>
      <c r="U120" s="142"/>
      <c r="V120" s="218">
        <v>3</v>
      </c>
      <c r="W120" s="215"/>
      <c r="X120" s="180" t="s">
        <v>11</v>
      </c>
      <c r="Y120" s="180"/>
      <c r="Z120" s="147">
        <v>7</v>
      </c>
      <c r="AA120" s="148"/>
      <c r="AB120" s="146" t="s">
        <v>12</v>
      </c>
      <c r="AC120" s="149" t="e">
        <v>#REF!</v>
      </c>
      <c r="AD120" s="150"/>
      <c r="AE120" s="150"/>
      <c r="AF120" s="150"/>
      <c r="AG120" s="150"/>
      <c r="AH120" s="150"/>
      <c r="AI120" s="150"/>
      <c r="AJ120" s="150"/>
      <c r="AK120" s="149" t="e">
        <v>#REF!</v>
      </c>
      <c r="AL120" s="180"/>
      <c r="AM120" s="141"/>
      <c r="AN120" s="138"/>
      <c r="AO120" s="9"/>
      <c r="AP120" s="9"/>
      <c r="AQ120" s="9"/>
      <c r="AR120" s="9"/>
      <c r="AS120" s="9"/>
      <c r="AT120" s="9"/>
      <c r="AU120" s="9"/>
      <c r="AV120" s="9"/>
      <c r="AW120" s="9"/>
      <c r="AX120" s="9"/>
    </row>
    <row r="121" spans="1:50" x14ac:dyDescent="0.25">
      <c r="A121" s="217" t="s">
        <v>284</v>
      </c>
      <c r="B121" s="219"/>
      <c r="C121" s="219"/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151" t="s">
        <v>1</v>
      </c>
      <c r="T121" s="142"/>
      <c r="U121" s="142"/>
      <c r="V121" s="180"/>
      <c r="W121" s="180"/>
      <c r="X121" s="180"/>
      <c r="Y121" s="180"/>
      <c r="Z121" s="146"/>
      <c r="AA121" s="152"/>
      <c r="AB121" s="146"/>
      <c r="AC121" s="134"/>
      <c r="AD121" s="142"/>
      <c r="AE121" s="142"/>
      <c r="AF121" s="142"/>
      <c r="AG121" s="142"/>
      <c r="AH121" s="142"/>
      <c r="AI121" s="142"/>
      <c r="AJ121" s="142"/>
      <c r="AK121" s="134"/>
      <c r="AL121" s="220"/>
      <c r="AM121" s="141"/>
      <c r="AN121" s="138"/>
      <c r="AO121" s="9"/>
      <c r="AP121" s="9"/>
      <c r="AQ121" s="9"/>
      <c r="AR121" s="9"/>
      <c r="AS121" s="9"/>
      <c r="AT121" s="9"/>
      <c r="AU121" s="9"/>
      <c r="AV121" s="9"/>
      <c r="AW121" s="9"/>
      <c r="AX121" s="9"/>
    </row>
    <row r="122" spans="1:50" x14ac:dyDescent="0.25">
      <c r="A122" s="153">
        <v>1</v>
      </c>
      <c r="B122" s="169" t="s">
        <v>172</v>
      </c>
      <c r="C122" s="172"/>
      <c r="D122" s="172"/>
      <c r="E122" s="172"/>
      <c r="F122" s="172"/>
      <c r="G122" s="172"/>
      <c r="H122" s="172"/>
      <c r="I122" s="220"/>
      <c r="J122" s="172"/>
      <c r="K122" s="172"/>
      <c r="L122" s="172"/>
      <c r="M122" s="172"/>
      <c r="N122" s="172"/>
      <c r="O122" s="172"/>
      <c r="P122" s="172"/>
      <c r="Q122" s="172"/>
      <c r="R122" s="172"/>
      <c r="S122" s="221"/>
      <c r="T122" s="172"/>
      <c r="U122" s="172"/>
      <c r="V122" s="172"/>
      <c r="W122" s="172"/>
      <c r="X122" s="172"/>
      <c r="Y122" s="172"/>
      <c r="Z122" s="172"/>
      <c r="AA122" s="172"/>
      <c r="AB122" s="172"/>
      <c r="AC122" s="172"/>
      <c r="AD122" s="172"/>
      <c r="AE122" s="172"/>
      <c r="AF122" s="172"/>
      <c r="AG122" s="172"/>
      <c r="AH122" s="172"/>
      <c r="AI122" s="172"/>
      <c r="AJ122" s="172"/>
      <c r="AK122" s="172"/>
      <c r="AL122" s="154"/>
      <c r="AM122" s="222"/>
      <c r="AN122" s="138"/>
      <c r="AO122" s="9"/>
      <c r="AP122" s="9"/>
      <c r="AQ122" s="9"/>
      <c r="AR122" s="9"/>
      <c r="AS122" s="9"/>
      <c r="AT122" s="9"/>
      <c r="AU122" s="9"/>
      <c r="AV122" s="9"/>
      <c r="AW122" s="9"/>
      <c r="AX122" s="9"/>
    </row>
    <row r="123" spans="1:50" x14ac:dyDescent="0.25">
      <c r="A123" s="155">
        <f t="shared" ref="A123:A172" si="2">A122+1</f>
        <v>2</v>
      </c>
      <c r="B123" s="156"/>
      <c r="C123" s="157" t="s">
        <v>173</v>
      </c>
      <c r="D123" s="134"/>
      <c r="E123" s="134"/>
      <c r="F123" s="134"/>
      <c r="G123" s="134"/>
      <c r="H123" s="134"/>
      <c r="I123" s="134"/>
      <c r="J123" s="134"/>
      <c r="K123" s="134"/>
      <c r="L123" s="134"/>
      <c r="M123" s="134"/>
      <c r="N123" s="134"/>
      <c r="O123" s="134"/>
      <c r="P123" s="134"/>
      <c r="Q123" s="134"/>
      <c r="R123" s="134"/>
      <c r="S123" s="158"/>
      <c r="T123" s="156"/>
      <c r="U123" s="157" t="s">
        <v>174</v>
      </c>
      <c r="V123" s="134"/>
      <c r="W123" s="134"/>
      <c r="X123" s="134"/>
      <c r="Y123" s="134"/>
      <c r="Z123" s="134"/>
      <c r="AA123" s="134"/>
      <c r="AB123" s="134"/>
      <c r="AC123" s="134"/>
      <c r="AD123" s="134"/>
      <c r="AE123" s="134"/>
      <c r="AF123" s="134"/>
      <c r="AG123" s="134"/>
      <c r="AH123" s="134"/>
      <c r="AI123" s="134"/>
      <c r="AJ123" s="134"/>
      <c r="AK123" s="138"/>
      <c r="AL123" s="138"/>
      <c r="AM123" s="158"/>
      <c r="AN123" s="138"/>
      <c r="AO123" s="9"/>
      <c r="AP123" s="9"/>
      <c r="AQ123" s="9"/>
      <c r="AR123" s="9"/>
      <c r="AS123" s="9"/>
      <c r="AT123" s="9"/>
      <c r="AU123" s="9"/>
      <c r="AV123" s="9"/>
      <c r="AW123" s="9"/>
      <c r="AX123" s="9"/>
    </row>
    <row r="124" spans="1:50" x14ac:dyDescent="0.25">
      <c r="A124" s="155">
        <f t="shared" si="2"/>
        <v>3</v>
      </c>
      <c r="B124" s="156"/>
      <c r="C124" s="134" t="s">
        <v>175</v>
      </c>
      <c r="D124" s="134"/>
      <c r="E124" s="134"/>
      <c r="F124" s="134"/>
      <c r="G124" s="149"/>
      <c r="H124" s="149"/>
      <c r="I124" s="149"/>
      <c r="J124" s="149"/>
      <c r="K124" s="134" t="s">
        <v>176</v>
      </c>
      <c r="L124" s="134"/>
      <c r="M124" s="134" t="s">
        <v>177</v>
      </c>
      <c r="N124" s="134"/>
      <c r="O124" s="149"/>
      <c r="P124" s="149"/>
      <c r="Q124" s="134" t="s">
        <v>176</v>
      </c>
      <c r="R124" s="134"/>
      <c r="S124" s="158"/>
      <c r="T124" s="156"/>
      <c r="U124" s="134" t="s">
        <v>1</v>
      </c>
      <c r="V124" s="134" t="s">
        <v>178</v>
      </c>
      <c r="W124" s="134"/>
      <c r="X124" s="134"/>
      <c r="Y124" s="149"/>
      <c r="Z124" s="149"/>
      <c r="AA124" s="149"/>
      <c r="AB124" s="149"/>
      <c r="AC124" s="149"/>
      <c r="AD124" s="149"/>
      <c r="AE124" s="149"/>
      <c r="AF124" s="149"/>
      <c r="AG124" s="149"/>
      <c r="AH124" s="149"/>
      <c r="AI124" s="149"/>
      <c r="AJ124" s="149"/>
      <c r="AK124" s="138"/>
      <c r="AL124" s="138"/>
      <c r="AM124" s="158"/>
      <c r="AN124" s="138"/>
      <c r="AO124" s="9"/>
      <c r="AP124" s="9"/>
      <c r="AQ124" s="9"/>
      <c r="AR124" s="9"/>
      <c r="AS124" s="9"/>
      <c r="AT124" s="9"/>
      <c r="AU124" s="9"/>
      <c r="AV124" s="9"/>
      <c r="AW124" s="9"/>
      <c r="AX124" s="9"/>
    </row>
    <row r="125" spans="1:50" x14ac:dyDescent="0.25">
      <c r="A125" s="155">
        <f t="shared" si="2"/>
        <v>4</v>
      </c>
      <c r="B125" s="138"/>
      <c r="C125" s="134" t="s">
        <v>179</v>
      </c>
      <c r="D125" s="134"/>
      <c r="E125" s="134"/>
      <c r="F125" s="134"/>
      <c r="G125" s="134"/>
      <c r="H125" s="149"/>
      <c r="I125" s="149"/>
      <c r="J125" s="149"/>
      <c r="K125" s="149"/>
      <c r="L125" s="134" t="s">
        <v>180</v>
      </c>
      <c r="M125" s="134"/>
      <c r="N125" s="134"/>
      <c r="O125" s="134"/>
      <c r="P125" s="134"/>
      <c r="Q125" s="134"/>
      <c r="R125" s="134"/>
      <c r="S125" s="158"/>
      <c r="T125" s="156"/>
      <c r="U125" s="134"/>
      <c r="V125" s="134" t="s">
        <v>181</v>
      </c>
      <c r="W125" s="134"/>
      <c r="X125" s="134"/>
      <c r="Y125" s="134"/>
      <c r="Z125" s="159"/>
      <c r="AA125" s="134" t="s">
        <v>135</v>
      </c>
      <c r="AB125" s="134"/>
      <c r="AC125" s="159"/>
      <c r="AD125" s="134" t="s">
        <v>182</v>
      </c>
      <c r="AE125" s="134"/>
      <c r="AF125" s="134"/>
      <c r="AG125" s="134"/>
      <c r="AH125" s="134"/>
      <c r="AI125" s="134"/>
      <c r="AJ125" s="134"/>
      <c r="AK125" s="138"/>
      <c r="AL125" s="138"/>
      <c r="AM125" s="158"/>
      <c r="AN125" s="138"/>
      <c r="AO125" s="9"/>
      <c r="AP125" s="9"/>
      <c r="AQ125" s="9"/>
      <c r="AR125" s="9"/>
      <c r="AS125" s="9"/>
      <c r="AT125" s="9"/>
      <c r="AU125" s="9"/>
      <c r="AV125" s="9"/>
      <c r="AW125" s="9"/>
      <c r="AX125" s="9"/>
    </row>
    <row r="126" spans="1:50" x14ac:dyDescent="0.25">
      <c r="A126" s="155">
        <f t="shared" si="2"/>
        <v>5</v>
      </c>
      <c r="B126" s="138"/>
      <c r="C126" s="138"/>
      <c r="D126" s="134"/>
      <c r="E126" s="134"/>
      <c r="F126" s="134"/>
      <c r="G126" s="134"/>
      <c r="H126" s="149"/>
      <c r="I126" s="149"/>
      <c r="J126" s="149"/>
      <c r="K126" s="149"/>
      <c r="L126" s="134" t="s">
        <v>183</v>
      </c>
      <c r="M126" s="134"/>
      <c r="N126" s="134"/>
      <c r="O126" s="134"/>
      <c r="P126" s="134"/>
      <c r="Q126" s="134"/>
      <c r="R126" s="134"/>
      <c r="S126" s="158"/>
      <c r="T126" s="134"/>
      <c r="U126" s="134"/>
      <c r="V126" s="134"/>
      <c r="W126" s="134"/>
      <c r="X126" s="134"/>
      <c r="Y126" s="134"/>
      <c r="Z126" s="134"/>
      <c r="AA126" s="134"/>
      <c r="AB126" s="134"/>
      <c r="AC126" s="134"/>
      <c r="AD126" s="134"/>
      <c r="AE126" s="134"/>
      <c r="AF126" s="134"/>
      <c r="AG126" s="134"/>
      <c r="AH126" s="134"/>
      <c r="AI126" s="134"/>
      <c r="AJ126" s="134"/>
      <c r="AK126" s="138"/>
      <c r="AL126" s="138"/>
      <c r="AM126" s="158"/>
      <c r="AN126" s="138"/>
      <c r="AO126" s="9"/>
      <c r="AP126" s="9"/>
      <c r="AQ126" s="9"/>
      <c r="AR126" s="9"/>
      <c r="AS126" s="9"/>
      <c r="AT126" s="9"/>
      <c r="AU126" s="9"/>
      <c r="AV126" s="9"/>
      <c r="AW126" s="9"/>
      <c r="AX126" s="9"/>
    </row>
    <row r="127" spans="1:50" x14ac:dyDescent="0.25">
      <c r="A127" s="155">
        <f t="shared" si="2"/>
        <v>6</v>
      </c>
      <c r="B127" s="138"/>
      <c r="C127" s="157" t="s">
        <v>184</v>
      </c>
      <c r="D127" s="134"/>
      <c r="E127" s="134"/>
      <c r="F127" s="134"/>
      <c r="G127" s="134"/>
      <c r="H127" s="134"/>
      <c r="I127" s="134"/>
      <c r="J127" s="134"/>
      <c r="K127" s="134"/>
      <c r="L127" s="134"/>
      <c r="M127" s="134"/>
      <c r="N127" s="134"/>
      <c r="O127" s="134"/>
      <c r="P127" s="134"/>
      <c r="Q127" s="134"/>
      <c r="R127" s="134"/>
      <c r="S127" s="158"/>
      <c r="T127" s="134"/>
      <c r="U127" s="134"/>
      <c r="V127" s="134"/>
      <c r="W127" s="134" t="s">
        <v>185</v>
      </c>
      <c r="X127" s="134"/>
      <c r="Y127" s="134"/>
      <c r="Z127" s="134"/>
      <c r="AA127" s="134"/>
      <c r="AB127" s="134"/>
      <c r="AC127" s="134"/>
      <c r="AD127" s="134"/>
      <c r="AE127" s="134"/>
      <c r="AF127" s="134"/>
      <c r="AG127" s="134"/>
      <c r="AH127" s="134"/>
      <c r="AI127" s="134"/>
      <c r="AJ127" s="134"/>
      <c r="AK127" s="134"/>
      <c r="AL127" s="134"/>
      <c r="AM127" s="158"/>
      <c r="AN127" s="138"/>
      <c r="AO127" s="9"/>
      <c r="AP127" s="9"/>
      <c r="AQ127" s="9"/>
      <c r="AR127" s="9"/>
      <c r="AS127" s="9"/>
      <c r="AT127" s="9"/>
      <c r="AU127" s="9"/>
      <c r="AV127" s="9"/>
      <c r="AW127" s="9"/>
      <c r="AX127" s="9"/>
    </row>
    <row r="128" spans="1:50" x14ac:dyDescent="0.25">
      <c r="A128" s="155">
        <f t="shared" si="2"/>
        <v>7</v>
      </c>
      <c r="B128" s="156"/>
      <c r="C128" s="134" t="s">
        <v>186</v>
      </c>
      <c r="D128" s="134"/>
      <c r="E128" s="134"/>
      <c r="F128" s="134"/>
      <c r="G128" s="134"/>
      <c r="H128" s="149"/>
      <c r="I128" s="149"/>
      <c r="J128" s="149"/>
      <c r="K128" s="149"/>
      <c r="L128" s="134" t="s">
        <v>176</v>
      </c>
      <c r="M128" s="134"/>
      <c r="N128" s="149"/>
      <c r="O128" s="149"/>
      <c r="P128" s="149"/>
      <c r="Q128" s="134" t="s">
        <v>187</v>
      </c>
      <c r="R128" s="134"/>
      <c r="S128" s="158"/>
      <c r="T128" s="134"/>
      <c r="U128" s="134"/>
      <c r="V128" s="134" t="s">
        <v>188</v>
      </c>
      <c r="W128" s="134"/>
      <c r="X128" s="134"/>
      <c r="Y128" s="134"/>
      <c r="Z128" s="134"/>
      <c r="AA128" s="134"/>
      <c r="AB128" s="134"/>
      <c r="AC128" s="134" t="s">
        <v>189</v>
      </c>
      <c r="AD128" s="149"/>
      <c r="AE128" s="149"/>
      <c r="AF128" s="149"/>
      <c r="AG128" s="134"/>
      <c r="AH128" s="134" t="s">
        <v>190</v>
      </c>
      <c r="AI128" s="149"/>
      <c r="AJ128" s="149"/>
      <c r="AK128" s="149"/>
      <c r="AL128" s="149"/>
      <c r="AM128" s="158"/>
      <c r="AN128" s="138"/>
      <c r="AO128" s="9"/>
      <c r="AP128" s="9"/>
      <c r="AQ128" s="9"/>
      <c r="AR128" s="9"/>
      <c r="AS128" s="9"/>
      <c r="AT128" s="9"/>
      <c r="AU128" s="9"/>
      <c r="AV128" s="9"/>
      <c r="AW128" s="9"/>
      <c r="AX128" s="9"/>
    </row>
    <row r="129" spans="1:50" x14ac:dyDescent="0.25">
      <c r="A129" s="155">
        <f t="shared" si="2"/>
        <v>8</v>
      </c>
      <c r="B129" s="156"/>
      <c r="C129" s="134" t="s">
        <v>191</v>
      </c>
      <c r="D129" s="134"/>
      <c r="E129" s="134"/>
      <c r="F129" s="134"/>
      <c r="G129" s="134"/>
      <c r="H129" s="149"/>
      <c r="I129" s="149"/>
      <c r="J129" s="149"/>
      <c r="K129" s="149"/>
      <c r="L129" s="134" t="s">
        <v>176</v>
      </c>
      <c r="M129" s="134"/>
      <c r="N129" s="149"/>
      <c r="O129" s="149"/>
      <c r="P129" s="149"/>
      <c r="Q129" s="134" t="s">
        <v>187</v>
      </c>
      <c r="R129" s="134"/>
      <c r="S129" s="158"/>
      <c r="T129" s="134"/>
      <c r="U129" s="134"/>
      <c r="V129" s="134" t="s">
        <v>192</v>
      </c>
      <c r="W129" s="134"/>
      <c r="X129" s="134"/>
      <c r="Y129" s="134"/>
      <c r="Z129" s="134"/>
      <c r="AA129" s="134"/>
      <c r="AB129" s="134"/>
      <c r="AC129" s="134" t="s">
        <v>189</v>
      </c>
      <c r="AD129" s="149"/>
      <c r="AE129" s="149"/>
      <c r="AF129" s="149"/>
      <c r="AG129" s="134"/>
      <c r="AH129" s="134" t="s">
        <v>190</v>
      </c>
      <c r="AI129" s="149"/>
      <c r="AJ129" s="149"/>
      <c r="AK129" s="149"/>
      <c r="AL129" s="149"/>
      <c r="AM129" s="158"/>
      <c r="AN129" s="138"/>
      <c r="AO129" s="9"/>
      <c r="AP129" s="9"/>
      <c r="AQ129" s="9"/>
      <c r="AR129" s="9"/>
      <c r="AS129" s="9"/>
      <c r="AT129" s="9"/>
      <c r="AU129" s="9"/>
      <c r="AV129" s="9"/>
      <c r="AW129" s="9"/>
      <c r="AX129" s="9"/>
    </row>
    <row r="130" spans="1:50" x14ac:dyDescent="0.25">
      <c r="A130" s="155">
        <f t="shared" si="2"/>
        <v>9</v>
      </c>
      <c r="B130" s="156"/>
      <c r="C130" s="134" t="s">
        <v>193</v>
      </c>
      <c r="D130" s="134"/>
      <c r="E130" s="134"/>
      <c r="F130" s="134"/>
      <c r="G130" s="134"/>
      <c r="H130" s="149"/>
      <c r="I130" s="149"/>
      <c r="J130" s="149"/>
      <c r="K130" s="149"/>
      <c r="L130" s="134" t="s">
        <v>176</v>
      </c>
      <c r="M130" s="134"/>
      <c r="N130" s="149"/>
      <c r="O130" s="149"/>
      <c r="P130" s="149"/>
      <c r="Q130" s="134" t="s">
        <v>187</v>
      </c>
      <c r="R130" s="134"/>
      <c r="S130" s="158"/>
      <c r="T130" s="138"/>
      <c r="U130" s="138"/>
      <c r="V130" s="134" t="s">
        <v>292</v>
      </c>
      <c r="W130" s="138"/>
      <c r="X130" s="138"/>
      <c r="Y130" s="138"/>
      <c r="Z130" s="138"/>
      <c r="AA130" s="138"/>
      <c r="AB130" s="134"/>
      <c r="AC130" s="149"/>
      <c r="AD130" s="149"/>
      <c r="AE130" s="149"/>
      <c r="AF130" s="149"/>
      <c r="AG130" s="149"/>
      <c r="AH130" s="149"/>
      <c r="AI130" s="149"/>
      <c r="AJ130" s="149"/>
      <c r="AK130" s="149"/>
      <c r="AL130" s="149"/>
      <c r="AM130" s="158"/>
      <c r="AN130" s="138"/>
      <c r="AO130" s="9"/>
      <c r="AP130" s="9"/>
      <c r="AQ130" s="9"/>
      <c r="AR130" s="9"/>
      <c r="AS130" s="9"/>
      <c r="AT130" s="9"/>
      <c r="AU130" s="9"/>
      <c r="AV130" s="9"/>
      <c r="AW130" s="9"/>
      <c r="AX130" s="9"/>
    </row>
    <row r="131" spans="1:50" x14ac:dyDescent="0.25">
      <c r="A131" s="155">
        <f t="shared" si="2"/>
        <v>10</v>
      </c>
      <c r="B131" s="156"/>
      <c r="C131" s="134" t="s">
        <v>194</v>
      </c>
      <c r="D131" s="134"/>
      <c r="E131" s="134"/>
      <c r="F131" s="134"/>
      <c r="G131" s="134"/>
      <c r="H131" s="149"/>
      <c r="I131" s="149"/>
      <c r="J131" s="149"/>
      <c r="K131" s="149"/>
      <c r="L131" s="134" t="s">
        <v>176</v>
      </c>
      <c r="M131" s="134"/>
      <c r="N131" s="149"/>
      <c r="O131" s="149"/>
      <c r="P131" s="149"/>
      <c r="Q131" s="134" t="s">
        <v>187</v>
      </c>
      <c r="R131" s="134"/>
      <c r="S131" s="158"/>
      <c r="T131" s="156"/>
      <c r="U131" s="157" t="s">
        <v>195</v>
      </c>
      <c r="V131" s="134"/>
      <c r="W131" s="134"/>
      <c r="X131" s="134"/>
      <c r="Y131" s="134"/>
      <c r="Z131" s="134"/>
      <c r="AA131" s="134"/>
      <c r="AB131" s="134"/>
      <c r="AC131" s="134"/>
      <c r="AD131" s="134"/>
      <c r="AE131" s="134"/>
      <c r="AF131" s="134"/>
      <c r="AG131" s="134"/>
      <c r="AH131" s="134"/>
      <c r="AI131" s="134"/>
      <c r="AJ131" s="134"/>
      <c r="AK131" s="134"/>
      <c r="AL131" s="134"/>
      <c r="AM131" s="158"/>
      <c r="AN131" s="138"/>
      <c r="AO131" s="9"/>
      <c r="AP131" s="9"/>
      <c r="AQ131" s="9"/>
      <c r="AR131" s="9"/>
      <c r="AS131" s="9"/>
      <c r="AT131" s="9"/>
      <c r="AU131" s="9"/>
      <c r="AV131" s="9"/>
      <c r="AW131" s="9"/>
      <c r="AX131" s="9"/>
    </row>
    <row r="132" spans="1:50" x14ac:dyDescent="0.25">
      <c r="A132" s="155">
        <f t="shared" si="2"/>
        <v>11</v>
      </c>
      <c r="B132" s="156"/>
      <c r="C132" s="134" t="s">
        <v>196</v>
      </c>
      <c r="D132" s="134"/>
      <c r="E132" s="134"/>
      <c r="F132" s="134"/>
      <c r="G132" s="134"/>
      <c r="H132" s="134"/>
      <c r="I132" s="134"/>
      <c r="J132" s="134"/>
      <c r="K132" s="134"/>
      <c r="L132" s="134"/>
      <c r="M132" s="134"/>
      <c r="N132" s="134"/>
      <c r="O132" s="134"/>
      <c r="P132" s="134"/>
      <c r="Q132" s="134"/>
      <c r="R132" s="134"/>
      <c r="S132" s="158"/>
      <c r="T132" s="160"/>
      <c r="U132" s="134" t="s">
        <v>197</v>
      </c>
      <c r="V132" s="134" t="s">
        <v>198</v>
      </c>
      <c r="W132" s="149"/>
      <c r="X132" s="134"/>
      <c r="Y132" s="134"/>
      <c r="Z132" s="134" t="s">
        <v>199</v>
      </c>
      <c r="AA132" s="134"/>
      <c r="AB132" s="505">
        <v>664</v>
      </c>
      <c r="AC132" s="506"/>
      <c r="AD132" s="403"/>
      <c r="AE132" s="403"/>
      <c r="AF132" s="403"/>
      <c r="AG132" s="403"/>
      <c r="AH132" s="403"/>
      <c r="AI132" s="403"/>
      <c r="AJ132" s="403"/>
      <c r="AK132" s="403"/>
      <c r="AL132" s="404"/>
      <c r="AM132" s="405"/>
      <c r="AN132" s="406" t="s">
        <v>200</v>
      </c>
      <c r="AO132" s="406"/>
      <c r="AP132" s="407"/>
      <c r="AQ132" s="408">
        <v>34.090000000000003</v>
      </c>
      <c r="AR132" s="50" t="s">
        <v>201</v>
      </c>
      <c r="AS132" s="50"/>
      <c r="AT132" s="9"/>
      <c r="AU132" s="9"/>
      <c r="AV132" s="9"/>
      <c r="AW132" s="9"/>
      <c r="AX132" s="9"/>
    </row>
    <row r="133" spans="1:50" x14ac:dyDescent="0.25">
      <c r="A133" s="155">
        <f t="shared" si="2"/>
        <v>12</v>
      </c>
      <c r="B133" s="156"/>
      <c r="C133" s="134" t="s">
        <v>202</v>
      </c>
      <c r="D133" s="134"/>
      <c r="E133" s="134"/>
      <c r="F133" s="134"/>
      <c r="G133" s="134"/>
      <c r="H133" s="134"/>
      <c r="I133" s="134"/>
      <c r="J133" s="134"/>
      <c r="K133" s="134"/>
      <c r="L133" s="134"/>
      <c r="M133" s="134"/>
      <c r="N133" s="134"/>
      <c r="O133" s="134"/>
      <c r="P133" s="134"/>
      <c r="Q133" s="134"/>
      <c r="R133" s="134"/>
      <c r="S133" s="158"/>
      <c r="T133" s="160"/>
      <c r="U133" s="134"/>
      <c r="V133" s="134"/>
      <c r="W133" s="134"/>
      <c r="X133" s="134"/>
      <c r="Y133" s="134"/>
      <c r="Z133" s="134" t="s">
        <v>203</v>
      </c>
      <c r="AA133" s="134"/>
      <c r="AB133" s="505">
        <v>755</v>
      </c>
      <c r="AC133" s="506"/>
      <c r="AD133" s="403"/>
      <c r="AE133" s="403"/>
      <c r="AF133" s="403"/>
      <c r="AG133" s="403"/>
      <c r="AH133" s="403"/>
      <c r="AI133" s="403"/>
      <c r="AJ133" s="403"/>
      <c r="AK133" s="403"/>
      <c r="AL133" s="404"/>
      <c r="AM133" s="405"/>
      <c r="AN133" s="406" t="s">
        <v>200</v>
      </c>
      <c r="AO133" s="406"/>
      <c r="AP133" s="407"/>
      <c r="AQ133" s="408">
        <v>57.32</v>
      </c>
      <c r="AR133" s="50" t="s">
        <v>204</v>
      </c>
      <c r="AS133" s="50"/>
      <c r="AT133" s="9"/>
      <c r="AU133" s="9"/>
      <c r="AV133" s="9"/>
      <c r="AW133" s="9"/>
      <c r="AX133" s="9"/>
    </row>
    <row r="134" spans="1:50" x14ac:dyDescent="0.25">
      <c r="A134" s="155">
        <f t="shared" si="2"/>
        <v>13</v>
      </c>
      <c r="B134" s="156"/>
      <c r="C134" s="134" t="s">
        <v>205</v>
      </c>
      <c r="D134" s="134"/>
      <c r="E134" s="134"/>
      <c r="F134" s="134"/>
      <c r="G134" s="134"/>
      <c r="H134" s="134"/>
      <c r="I134" s="134"/>
      <c r="J134" s="134"/>
      <c r="K134" s="134"/>
      <c r="L134" s="134"/>
      <c r="M134" s="134"/>
      <c r="N134" s="134"/>
      <c r="O134" s="134"/>
      <c r="P134" s="134"/>
      <c r="Q134" s="134"/>
      <c r="R134" s="134"/>
      <c r="S134" s="134"/>
      <c r="T134" s="160"/>
      <c r="U134" s="134" t="s">
        <v>206</v>
      </c>
      <c r="V134" s="134"/>
      <c r="W134" s="134"/>
      <c r="X134" s="134"/>
      <c r="Y134" s="134"/>
      <c r="Z134" s="134"/>
      <c r="AA134" s="134"/>
      <c r="AB134" s="163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3"/>
      <c r="AM134" s="162"/>
      <c r="AN134" s="164"/>
      <c r="AO134" s="50"/>
      <c r="AP134" s="50"/>
      <c r="AQ134" s="50"/>
      <c r="AR134" s="50"/>
      <c r="AS134" s="50"/>
      <c r="AT134" s="9"/>
      <c r="AU134" s="9"/>
      <c r="AV134" s="9"/>
      <c r="AW134" s="9"/>
      <c r="AX134" s="9"/>
    </row>
    <row r="135" spans="1:50" x14ac:dyDescent="0.25">
      <c r="A135" s="155">
        <f t="shared" si="2"/>
        <v>14</v>
      </c>
      <c r="B135" s="156"/>
      <c r="C135" s="157" t="s">
        <v>207</v>
      </c>
      <c r="D135" s="134"/>
      <c r="E135" s="134"/>
      <c r="F135" s="134"/>
      <c r="G135" s="134"/>
      <c r="H135" s="134"/>
      <c r="I135" s="134"/>
      <c r="J135" s="134"/>
      <c r="K135" s="134"/>
      <c r="L135" s="134"/>
      <c r="M135" s="134"/>
      <c r="N135" s="134"/>
      <c r="O135" s="134"/>
      <c r="P135" s="134"/>
      <c r="Q135" s="134"/>
      <c r="R135" s="134"/>
      <c r="S135" s="158"/>
      <c r="T135" s="134"/>
      <c r="U135" s="134" t="s">
        <v>208</v>
      </c>
      <c r="V135" s="134"/>
      <c r="W135" s="134"/>
      <c r="X135" s="134"/>
      <c r="Y135" s="134"/>
      <c r="Z135" s="134"/>
      <c r="AA135" s="149"/>
      <c r="AB135" s="161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3"/>
      <c r="AM135" s="162"/>
      <c r="AN135" s="164"/>
      <c r="AO135" s="50"/>
      <c r="AP135" s="50"/>
      <c r="AQ135" s="50"/>
      <c r="AR135" s="50"/>
      <c r="AS135" s="50"/>
      <c r="AT135" s="9"/>
      <c r="AU135" s="9"/>
      <c r="AV135" s="9"/>
      <c r="AW135" s="9"/>
      <c r="AX135" s="9"/>
    </row>
    <row r="136" spans="1:50" x14ac:dyDescent="0.25">
      <c r="A136" s="155">
        <f t="shared" si="2"/>
        <v>15</v>
      </c>
      <c r="B136" s="156"/>
      <c r="C136" s="134" t="s">
        <v>186</v>
      </c>
      <c r="D136" s="134"/>
      <c r="E136" s="134"/>
      <c r="F136" s="134"/>
      <c r="G136" s="134"/>
      <c r="H136" s="149"/>
      <c r="I136" s="149"/>
      <c r="J136" s="149"/>
      <c r="K136" s="149"/>
      <c r="L136" s="149"/>
      <c r="M136" s="149"/>
      <c r="N136" s="149"/>
      <c r="O136" s="149"/>
      <c r="P136" s="149"/>
      <c r="Q136" s="134" t="s">
        <v>176</v>
      </c>
      <c r="R136" s="134"/>
      <c r="S136" s="158"/>
      <c r="T136" s="134"/>
      <c r="U136" s="134" t="s">
        <v>178</v>
      </c>
      <c r="V136" s="134"/>
      <c r="W136" s="134"/>
      <c r="X136" s="149"/>
      <c r="Y136" s="149"/>
      <c r="Z136" s="149"/>
      <c r="AA136" s="149"/>
      <c r="AB136" s="161"/>
      <c r="AC136" s="161"/>
      <c r="AD136" s="161"/>
      <c r="AE136" s="161"/>
      <c r="AF136" s="161"/>
      <c r="AG136" s="161"/>
      <c r="AH136" s="161"/>
      <c r="AI136" s="161"/>
      <c r="AJ136" s="161"/>
      <c r="AK136" s="161"/>
      <c r="AL136" s="163"/>
      <c r="AM136" s="162"/>
      <c r="AN136" s="164"/>
      <c r="AO136" s="50"/>
      <c r="AP136" s="50"/>
      <c r="AQ136" s="50"/>
      <c r="AR136" s="50"/>
      <c r="AS136" s="50"/>
      <c r="AT136" s="9"/>
      <c r="AU136" s="9"/>
      <c r="AV136" s="9"/>
      <c r="AW136" s="9"/>
      <c r="AX136" s="9"/>
    </row>
    <row r="137" spans="1:50" x14ac:dyDescent="0.25">
      <c r="A137" s="155">
        <f t="shared" si="2"/>
        <v>16</v>
      </c>
      <c r="B137" s="156"/>
      <c r="C137" s="134" t="s">
        <v>191</v>
      </c>
      <c r="D137" s="134"/>
      <c r="E137" s="134"/>
      <c r="F137" s="134"/>
      <c r="G137" s="134"/>
      <c r="H137" s="149"/>
      <c r="I137" s="149"/>
      <c r="J137" s="149"/>
      <c r="K137" s="149"/>
      <c r="L137" s="149"/>
      <c r="M137" s="149"/>
      <c r="N137" s="149"/>
      <c r="O137" s="149"/>
      <c r="P137" s="149"/>
      <c r="Q137" s="134" t="s">
        <v>176</v>
      </c>
      <c r="R137" s="134"/>
      <c r="S137" s="158"/>
      <c r="T137" s="134"/>
      <c r="U137" s="134" t="s">
        <v>209</v>
      </c>
      <c r="V137" s="134"/>
      <c r="W137" s="134"/>
      <c r="X137" s="134"/>
      <c r="Y137" s="134"/>
      <c r="Z137" s="134"/>
      <c r="AA137" s="134"/>
      <c r="AB137" s="163"/>
      <c r="AC137" s="161"/>
      <c r="AD137" s="161"/>
      <c r="AE137" s="161"/>
      <c r="AF137" s="161"/>
      <c r="AG137" s="161"/>
      <c r="AH137" s="161"/>
      <c r="AI137" s="161"/>
      <c r="AJ137" s="161"/>
      <c r="AK137" s="161"/>
      <c r="AL137" s="163"/>
      <c r="AM137" s="162"/>
      <c r="AN137" s="164"/>
      <c r="AO137" s="50"/>
      <c r="AP137" s="50"/>
      <c r="AQ137" s="50"/>
      <c r="AR137" s="50"/>
      <c r="AS137" s="50"/>
      <c r="AT137" s="9"/>
      <c r="AU137" s="9"/>
      <c r="AV137" s="9"/>
      <c r="AW137" s="9"/>
      <c r="AX137" s="9"/>
    </row>
    <row r="138" spans="1:50" x14ac:dyDescent="0.25">
      <c r="A138" s="155">
        <f t="shared" si="2"/>
        <v>17</v>
      </c>
      <c r="B138" s="156"/>
      <c r="C138" s="134" t="s">
        <v>193</v>
      </c>
      <c r="D138" s="134"/>
      <c r="E138" s="134"/>
      <c r="F138" s="134"/>
      <c r="G138" s="134"/>
      <c r="H138" s="149"/>
      <c r="I138" s="149"/>
      <c r="J138" s="149"/>
      <c r="K138" s="149"/>
      <c r="L138" s="149"/>
      <c r="M138" s="149"/>
      <c r="N138" s="149"/>
      <c r="O138" s="149"/>
      <c r="P138" s="149"/>
      <c r="Q138" s="134" t="s">
        <v>176</v>
      </c>
      <c r="R138" s="134"/>
      <c r="S138" s="158"/>
      <c r="T138" s="134"/>
      <c r="U138" s="134" t="s">
        <v>210</v>
      </c>
      <c r="V138" s="134"/>
      <c r="W138" s="134"/>
      <c r="X138" s="134"/>
      <c r="Y138" s="134"/>
      <c r="Z138" s="134"/>
      <c r="AA138" s="134"/>
      <c r="AB138" s="163"/>
      <c r="AC138" s="163" t="s">
        <v>189</v>
      </c>
      <c r="AD138" s="163"/>
      <c r="AE138" s="161"/>
      <c r="AF138" s="161"/>
      <c r="AG138" s="163"/>
      <c r="AH138" s="163" t="s">
        <v>190</v>
      </c>
      <c r="AI138" s="163"/>
      <c r="AJ138" s="161"/>
      <c r="AK138" s="161"/>
      <c r="AL138" s="163"/>
      <c r="AM138" s="162"/>
      <c r="AN138" s="164"/>
      <c r="AO138" s="50"/>
      <c r="AP138" s="50"/>
      <c r="AQ138" s="50"/>
      <c r="AR138" s="50"/>
      <c r="AS138" s="50"/>
      <c r="AT138" s="9"/>
      <c r="AU138" s="9"/>
      <c r="AV138" s="9"/>
      <c r="AW138" s="9"/>
      <c r="AX138" s="9"/>
    </row>
    <row r="139" spans="1:50" x14ac:dyDescent="0.25">
      <c r="A139" s="155">
        <f t="shared" si="2"/>
        <v>18</v>
      </c>
      <c r="B139" s="156"/>
      <c r="C139" s="134" t="s">
        <v>194</v>
      </c>
      <c r="D139" s="134"/>
      <c r="E139" s="134"/>
      <c r="F139" s="134"/>
      <c r="G139" s="134"/>
      <c r="H139" s="149"/>
      <c r="I139" s="149"/>
      <c r="J139" s="149"/>
      <c r="K139" s="149"/>
      <c r="L139" s="149"/>
      <c r="M139" s="149"/>
      <c r="N139" s="149"/>
      <c r="O139" s="149"/>
      <c r="P139" s="149"/>
      <c r="Q139" s="134" t="s">
        <v>176</v>
      </c>
      <c r="R139" s="134"/>
      <c r="S139" s="158"/>
      <c r="T139" s="134"/>
      <c r="U139" s="134" t="s">
        <v>211</v>
      </c>
      <c r="V139" s="134"/>
      <c r="W139" s="134"/>
      <c r="X139" s="134"/>
      <c r="Y139" s="134"/>
      <c r="Z139" s="134"/>
      <c r="AA139" s="134"/>
      <c r="AB139" s="163"/>
      <c r="AC139" s="163"/>
      <c r="AD139" s="163"/>
      <c r="AE139" s="161"/>
      <c r="AF139" s="161"/>
      <c r="AG139" s="161"/>
      <c r="AH139" s="161"/>
      <c r="AI139" s="161"/>
      <c r="AJ139" s="161"/>
      <c r="AK139" s="161"/>
      <c r="AL139" s="163"/>
      <c r="AM139" s="162"/>
      <c r="AN139" s="164"/>
      <c r="AO139" s="50"/>
      <c r="AP139" s="50"/>
      <c r="AQ139" s="50"/>
      <c r="AR139" s="50"/>
      <c r="AS139" s="50"/>
      <c r="AT139" s="9"/>
      <c r="AU139" s="9"/>
      <c r="AV139" s="9"/>
      <c r="AW139" s="9"/>
      <c r="AX139" s="9"/>
    </row>
    <row r="140" spans="1:50" x14ac:dyDescent="0.25">
      <c r="A140" s="155">
        <f t="shared" si="2"/>
        <v>19</v>
      </c>
      <c r="B140" s="156"/>
      <c r="C140" s="134" t="s">
        <v>212</v>
      </c>
      <c r="D140" s="134"/>
      <c r="E140" s="134"/>
      <c r="F140" s="134"/>
      <c r="G140" s="134"/>
      <c r="H140" s="134"/>
      <c r="I140" s="134"/>
      <c r="J140" s="134"/>
      <c r="K140" s="134"/>
      <c r="L140" s="134"/>
      <c r="M140" s="134"/>
      <c r="N140" s="134"/>
      <c r="O140" s="134"/>
      <c r="P140" s="134"/>
      <c r="Q140" s="134"/>
      <c r="R140" s="134"/>
      <c r="S140" s="158"/>
      <c r="T140" s="134"/>
      <c r="U140" s="134" t="s">
        <v>213</v>
      </c>
      <c r="V140" s="134"/>
      <c r="W140" s="134"/>
      <c r="X140" s="134"/>
      <c r="Y140" s="134"/>
      <c r="Z140" s="134"/>
      <c r="AA140" s="134"/>
      <c r="AB140" s="163"/>
      <c r="AC140" s="163"/>
      <c r="AD140" s="161"/>
      <c r="AE140" s="161"/>
      <c r="AF140" s="161"/>
      <c r="AG140" s="161"/>
      <c r="AH140" s="161"/>
      <c r="AI140" s="161"/>
      <c r="AJ140" s="161"/>
      <c r="AK140" s="161"/>
      <c r="AL140" s="163"/>
      <c r="AM140" s="162"/>
      <c r="AN140" s="164"/>
      <c r="AO140" s="50"/>
      <c r="AP140" s="50"/>
      <c r="AQ140" s="50"/>
      <c r="AR140" s="50"/>
      <c r="AS140" s="50"/>
      <c r="AT140" s="9"/>
      <c r="AU140" s="9"/>
      <c r="AV140" s="9"/>
      <c r="AW140" s="9"/>
      <c r="AX140" s="9"/>
    </row>
    <row r="141" spans="1:50" x14ac:dyDescent="0.25">
      <c r="A141" s="155">
        <f t="shared" si="2"/>
        <v>20</v>
      </c>
      <c r="B141" s="156"/>
      <c r="C141" s="157" t="s">
        <v>214</v>
      </c>
      <c r="D141" s="134"/>
      <c r="E141" s="134"/>
      <c r="F141" s="134"/>
      <c r="G141" s="134"/>
      <c r="H141" s="134"/>
      <c r="I141" s="134"/>
      <c r="J141" s="134"/>
      <c r="K141" s="134"/>
      <c r="L141" s="134"/>
      <c r="M141" s="134"/>
      <c r="N141" s="134"/>
      <c r="O141" s="134"/>
      <c r="P141" s="134"/>
      <c r="Q141" s="134"/>
      <c r="R141" s="134"/>
      <c r="S141" s="158"/>
      <c r="T141" s="134"/>
      <c r="U141" s="134" t="s">
        <v>215</v>
      </c>
      <c r="V141" s="142"/>
      <c r="W141" s="142"/>
      <c r="X141" s="142"/>
      <c r="Y141" s="142"/>
      <c r="Z141" s="142"/>
      <c r="AA141" s="142"/>
      <c r="AB141" s="165"/>
      <c r="AC141" s="165"/>
      <c r="AD141" s="165"/>
      <c r="AE141" s="165"/>
      <c r="AF141" s="165"/>
      <c r="AG141" s="163"/>
      <c r="AH141" s="161"/>
      <c r="AI141" s="161"/>
      <c r="AJ141" s="161"/>
      <c r="AK141" s="161"/>
      <c r="AL141" s="163"/>
      <c r="AM141" s="162"/>
      <c r="AN141" s="164"/>
      <c r="AO141" s="50"/>
      <c r="AP141" s="50"/>
      <c r="AQ141" s="50"/>
      <c r="AR141" s="50"/>
      <c r="AS141" s="50"/>
      <c r="AT141" s="9"/>
      <c r="AU141" s="9"/>
      <c r="AV141" s="9"/>
      <c r="AW141" s="9"/>
      <c r="AX141" s="9"/>
    </row>
    <row r="142" spans="1:50" x14ac:dyDescent="0.25">
      <c r="A142" s="155">
        <f t="shared" si="2"/>
        <v>21</v>
      </c>
      <c r="B142" s="156"/>
      <c r="C142" s="134" t="s">
        <v>216</v>
      </c>
      <c r="D142" s="134"/>
      <c r="E142" s="134"/>
      <c r="F142" s="134"/>
      <c r="G142" s="134"/>
      <c r="H142" s="134"/>
      <c r="I142" s="134"/>
      <c r="J142" s="149"/>
      <c r="K142" s="149"/>
      <c r="L142" s="149"/>
      <c r="M142" s="149"/>
      <c r="N142" s="149"/>
      <c r="O142" s="149"/>
      <c r="P142" s="149"/>
      <c r="Q142" s="166" t="s">
        <v>293</v>
      </c>
      <c r="R142" s="134"/>
      <c r="S142" s="158"/>
      <c r="T142" s="159"/>
      <c r="U142" s="157" t="s">
        <v>217</v>
      </c>
      <c r="V142" s="134"/>
      <c r="W142" s="134"/>
      <c r="X142" s="134"/>
      <c r="Y142" s="134"/>
      <c r="Z142" s="134"/>
      <c r="AA142" s="134"/>
      <c r="AB142" s="163"/>
      <c r="AC142" s="163"/>
      <c r="AD142" s="163"/>
      <c r="AE142" s="163"/>
      <c r="AF142" s="163"/>
      <c r="AG142" s="163"/>
      <c r="AH142" s="163"/>
      <c r="AI142" s="163"/>
      <c r="AJ142" s="163"/>
      <c r="AK142" s="163"/>
      <c r="AL142" s="163"/>
      <c r="AM142" s="162"/>
      <c r="AN142" s="164"/>
      <c r="AO142" s="50"/>
      <c r="AP142" s="50"/>
      <c r="AQ142" s="50"/>
      <c r="AR142" s="50"/>
      <c r="AS142" s="50"/>
      <c r="AT142" s="9"/>
      <c r="AU142" s="9"/>
      <c r="AV142" s="9"/>
      <c r="AW142" s="9"/>
      <c r="AX142" s="9"/>
    </row>
    <row r="143" spans="1:50" x14ac:dyDescent="0.25">
      <c r="A143" s="155">
        <f t="shared" si="2"/>
        <v>22</v>
      </c>
      <c r="B143" s="167"/>
      <c r="C143" s="154" t="s">
        <v>218</v>
      </c>
      <c r="D143" s="154"/>
      <c r="E143" s="154"/>
      <c r="F143" s="154"/>
      <c r="G143" s="154"/>
      <c r="H143" s="154"/>
      <c r="I143" s="154"/>
      <c r="J143" s="154"/>
      <c r="K143" s="154"/>
      <c r="L143" s="154"/>
      <c r="M143" s="154"/>
      <c r="N143" s="154"/>
      <c r="O143" s="154"/>
      <c r="P143" s="154"/>
      <c r="Q143" s="154"/>
      <c r="R143" s="154"/>
      <c r="S143" s="168"/>
      <c r="T143" s="159"/>
      <c r="U143" s="159"/>
      <c r="V143" s="134" t="s">
        <v>219</v>
      </c>
      <c r="W143" s="134"/>
      <c r="X143" s="134"/>
      <c r="Y143" s="134"/>
      <c r="Z143" s="159"/>
      <c r="AA143" s="134" t="s">
        <v>220</v>
      </c>
      <c r="AB143" s="163"/>
      <c r="AC143" s="163"/>
      <c r="AD143" s="163"/>
      <c r="AE143" s="163"/>
      <c r="AF143" s="163"/>
      <c r="AG143" s="163"/>
      <c r="AH143" s="163"/>
      <c r="AI143" s="163"/>
      <c r="AJ143" s="163"/>
      <c r="AK143" s="163"/>
      <c r="AL143" s="163"/>
      <c r="AM143" s="162"/>
      <c r="AN143" s="164"/>
      <c r="AO143" s="50"/>
      <c r="AP143" s="50"/>
      <c r="AQ143" s="50"/>
      <c r="AR143" s="50"/>
      <c r="AS143" s="50"/>
      <c r="AT143" s="9"/>
      <c r="AU143" s="9"/>
      <c r="AV143" s="9"/>
      <c r="AW143" s="9"/>
      <c r="AX143" s="9"/>
    </row>
    <row r="144" spans="1:50" x14ac:dyDescent="0.25">
      <c r="A144" s="155">
        <f t="shared" si="2"/>
        <v>23</v>
      </c>
      <c r="B144" s="156"/>
      <c r="C144" s="157" t="s">
        <v>221</v>
      </c>
      <c r="D144" s="134"/>
      <c r="E144" s="134"/>
      <c r="F144" s="134"/>
      <c r="G144" s="134"/>
      <c r="H144" s="134"/>
      <c r="I144" s="134"/>
      <c r="J144" s="134"/>
      <c r="K144" s="134"/>
      <c r="L144" s="134"/>
      <c r="M144" s="134"/>
      <c r="N144" s="134"/>
      <c r="O144" s="134"/>
      <c r="P144" s="134"/>
      <c r="Q144" s="134"/>
      <c r="R144" s="134"/>
      <c r="S144" s="158"/>
      <c r="T144" s="134"/>
      <c r="U144" s="134" t="s">
        <v>178</v>
      </c>
      <c r="V144" s="134"/>
      <c r="W144" s="134"/>
      <c r="X144" s="149"/>
      <c r="Y144" s="149"/>
      <c r="Z144" s="149"/>
      <c r="AA144" s="149"/>
      <c r="AB144" s="161"/>
      <c r="AC144" s="161"/>
      <c r="AD144" s="161"/>
      <c r="AE144" s="161"/>
      <c r="AF144" s="161"/>
      <c r="AG144" s="161"/>
      <c r="AH144" s="161"/>
      <c r="AI144" s="161"/>
      <c r="AJ144" s="161"/>
      <c r="AK144" s="161"/>
      <c r="AL144" s="163"/>
      <c r="AM144" s="162"/>
      <c r="AN144" s="164"/>
      <c r="AO144" s="50"/>
      <c r="AP144" s="50"/>
      <c r="AQ144" s="50"/>
      <c r="AR144" s="50"/>
      <c r="AS144" s="50"/>
      <c r="AT144" s="9"/>
      <c r="AU144" s="9"/>
      <c r="AV144" s="9"/>
      <c r="AW144" s="9"/>
      <c r="AX144" s="9"/>
    </row>
    <row r="145" spans="1:50" x14ac:dyDescent="0.25">
      <c r="A145" s="155">
        <f t="shared" si="2"/>
        <v>24</v>
      </c>
      <c r="B145" s="156"/>
      <c r="C145" s="157"/>
      <c r="D145" s="134" t="s">
        <v>222</v>
      </c>
      <c r="E145" s="134"/>
      <c r="F145" s="134"/>
      <c r="G145" s="134"/>
      <c r="H145" s="134"/>
      <c r="I145" s="134"/>
      <c r="J145" s="134"/>
      <c r="K145" s="134" t="s">
        <v>223</v>
      </c>
      <c r="L145" s="134"/>
      <c r="M145" s="134"/>
      <c r="N145" s="134"/>
      <c r="O145" s="134"/>
      <c r="P145" s="134"/>
      <c r="Q145" s="134"/>
      <c r="R145" s="134"/>
      <c r="S145" s="158"/>
      <c r="T145" s="134"/>
      <c r="U145" s="134" t="s">
        <v>224</v>
      </c>
      <c r="V145" s="134"/>
      <c r="W145" s="134"/>
      <c r="X145" s="134"/>
      <c r="Y145" s="134"/>
      <c r="Z145" s="134"/>
      <c r="AA145" s="149"/>
      <c r="AB145" s="161"/>
      <c r="AC145" s="163" t="s">
        <v>225</v>
      </c>
      <c r="AD145" s="163"/>
      <c r="AE145" s="163"/>
      <c r="AF145" s="165"/>
      <c r="AG145" s="163"/>
      <c r="AH145" s="163"/>
      <c r="AI145" s="161"/>
      <c r="AJ145" s="161"/>
      <c r="AK145" s="161"/>
      <c r="AL145" s="163"/>
      <c r="AM145" s="162"/>
      <c r="AN145" s="164"/>
      <c r="AO145" s="50"/>
      <c r="AP145" s="50"/>
      <c r="AQ145" s="50"/>
      <c r="AR145" s="50"/>
      <c r="AS145" s="50"/>
      <c r="AT145" s="9"/>
      <c r="AU145" s="9"/>
      <c r="AV145" s="9"/>
      <c r="AW145" s="9"/>
      <c r="AX145" s="9"/>
    </row>
    <row r="146" spans="1:50" x14ac:dyDescent="0.25">
      <c r="A146" s="155">
        <f t="shared" si="2"/>
        <v>25</v>
      </c>
      <c r="B146" s="169"/>
      <c r="C146" s="170" t="s">
        <v>226</v>
      </c>
      <c r="D146" s="171"/>
      <c r="E146" s="171"/>
      <c r="F146" s="171"/>
      <c r="G146" s="171"/>
      <c r="H146" s="171"/>
      <c r="I146" s="171"/>
      <c r="J146" s="171"/>
      <c r="K146" s="171"/>
      <c r="L146" s="171"/>
      <c r="M146" s="171"/>
      <c r="N146" s="171"/>
      <c r="O146" s="172"/>
      <c r="P146" s="173" t="s">
        <v>227</v>
      </c>
      <c r="Q146" s="172"/>
      <c r="R146" s="173" t="s">
        <v>228</v>
      </c>
      <c r="S146" s="174"/>
      <c r="T146" s="134"/>
      <c r="U146" s="134" t="s">
        <v>229</v>
      </c>
      <c r="V146" s="134"/>
      <c r="W146" s="134"/>
      <c r="X146" s="134"/>
      <c r="Y146" s="159"/>
      <c r="Z146" s="134" t="s">
        <v>230</v>
      </c>
      <c r="AA146" s="134"/>
      <c r="AB146" s="163"/>
      <c r="AC146" s="163"/>
      <c r="AD146" s="175"/>
      <c r="AE146" s="163" t="s">
        <v>231</v>
      </c>
      <c r="AF146" s="163"/>
      <c r="AG146" s="163"/>
      <c r="AH146" s="163"/>
      <c r="AI146" s="163"/>
      <c r="AJ146" s="163"/>
      <c r="AK146" s="163"/>
      <c r="AL146" s="163"/>
      <c r="AM146" s="162"/>
      <c r="AN146" s="164"/>
      <c r="AO146" s="50"/>
      <c r="AP146" s="50"/>
      <c r="AQ146" s="50"/>
      <c r="AR146" s="50"/>
      <c r="AS146" s="50"/>
      <c r="AT146" s="9"/>
      <c r="AU146" s="9"/>
      <c r="AV146" s="9"/>
      <c r="AW146" s="9"/>
      <c r="AX146" s="9"/>
    </row>
    <row r="147" spans="1:50" x14ac:dyDescent="0.25">
      <c r="A147" s="155">
        <f t="shared" si="2"/>
        <v>26</v>
      </c>
      <c r="B147" s="156"/>
      <c r="C147" s="157" t="s">
        <v>232</v>
      </c>
      <c r="D147" s="134"/>
      <c r="E147" s="134"/>
      <c r="F147" s="134"/>
      <c r="G147" s="134"/>
      <c r="H147" s="134"/>
      <c r="I147" s="137"/>
      <c r="J147" s="134"/>
      <c r="K147" s="134"/>
      <c r="L147" s="134"/>
      <c r="M147" s="134"/>
      <c r="N147" s="134"/>
      <c r="O147" s="134"/>
      <c r="P147" s="134"/>
      <c r="Q147" s="134"/>
      <c r="R147" s="134"/>
      <c r="S147" s="158"/>
      <c r="T147" s="134"/>
      <c r="U147" s="134"/>
      <c r="V147" s="134"/>
      <c r="W147" s="134"/>
      <c r="X147" s="134"/>
      <c r="Y147" s="159"/>
      <c r="Z147" s="134" t="s">
        <v>233</v>
      </c>
      <c r="AA147" s="134"/>
      <c r="AB147" s="163"/>
      <c r="AC147" s="163"/>
      <c r="AD147" s="175"/>
      <c r="AE147" s="163" t="s">
        <v>234</v>
      </c>
      <c r="AF147" s="163"/>
      <c r="AG147" s="163"/>
      <c r="AH147" s="163"/>
      <c r="AI147" s="163"/>
      <c r="AJ147" s="163"/>
      <c r="AK147" s="163"/>
      <c r="AL147" s="163"/>
      <c r="AM147" s="162"/>
      <c r="AN147" s="164"/>
      <c r="AO147" s="50"/>
      <c r="AP147" s="50"/>
      <c r="AQ147" s="50"/>
      <c r="AR147" s="50"/>
      <c r="AS147" s="50"/>
      <c r="AT147" s="9"/>
      <c r="AU147" s="9"/>
      <c r="AV147" s="9"/>
      <c r="AW147" s="9"/>
      <c r="AX147" s="9"/>
    </row>
    <row r="148" spans="1:50" x14ac:dyDescent="0.25">
      <c r="A148" s="155">
        <f t="shared" si="2"/>
        <v>27</v>
      </c>
      <c r="B148" s="156"/>
      <c r="C148" s="159"/>
      <c r="D148" s="134" t="s">
        <v>235</v>
      </c>
      <c r="E148" s="134"/>
      <c r="F148" s="134"/>
      <c r="G148" s="134"/>
      <c r="H148" s="134"/>
      <c r="I148" s="134"/>
      <c r="J148" s="134"/>
      <c r="K148" s="134"/>
      <c r="L148" s="134"/>
      <c r="M148" s="134"/>
      <c r="N148" s="149"/>
      <c r="O148" s="149"/>
      <c r="P148" s="149"/>
      <c r="Q148" s="149"/>
      <c r="R148" s="149"/>
      <c r="S148" s="158"/>
      <c r="T148" s="134"/>
      <c r="U148" s="134" t="s">
        <v>209</v>
      </c>
      <c r="V148" s="134"/>
      <c r="W148" s="134"/>
      <c r="X148" s="134"/>
      <c r="Y148" s="134"/>
      <c r="Z148" s="134"/>
      <c r="AA148" s="134"/>
      <c r="AB148" s="163"/>
      <c r="AC148" s="161"/>
      <c r="AD148" s="161"/>
      <c r="AE148" s="161"/>
      <c r="AF148" s="161"/>
      <c r="AG148" s="161"/>
      <c r="AH148" s="161"/>
      <c r="AI148" s="161"/>
      <c r="AJ148" s="161"/>
      <c r="AK148" s="161"/>
      <c r="AL148" s="163"/>
      <c r="AM148" s="162"/>
      <c r="AN148" s="164"/>
      <c r="AO148" s="50"/>
      <c r="AP148" s="50"/>
      <c r="AQ148" s="50"/>
      <c r="AR148" s="50"/>
      <c r="AS148" s="50"/>
      <c r="AT148" s="9"/>
      <c r="AU148" s="9"/>
      <c r="AV148" s="9"/>
      <c r="AW148" s="9"/>
      <c r="AX148" s="9"/>
    </row>
    <row r="149" spans="1:50" x14ac:dyDescent="0.25">
      <c r="A149" s="155">
        <f t="shared" si="2"/>
        <v>28</v>
      </c>
      <c r="B149" s="156"/>
      <c r="C149" s="159"/>
      <c r="D149" s="134" t="s">
        <v>236</v>
      </c>
      <c r="E149" s="134"/>
      <c r="F149" s="134"/>
      <c r="G149" s="134"/>
      <c r="H149" s="134"/>
      <c r="I149" s="134"/>
      <c r="J149" s="134"/>
      <c r="K149" s="134"/>
      <c r="L149" s="134"/>
      <c r="M149" s="134"/>
      <c r="N149" s="149"/>
      <c r="O149" s="149"/>
      <c r="P149" s="149"/>
      <c r="Q149" s="149"/>
      <c r="R149" s="149"/>
      <c r="S149" s="158"/>
      <c r="T149" s="134"/>
      <c r="U149" s="134" t="s">
        <v>237</v>
      </c>
      <c r="V149" s="134"/>
      <c r="W149" s="134"/>
      <c r="X149" s="134"/>
      <c r="Y149" s="134"/>
      <c r="Z149" s="134"/>
      <c r="AA149" s="134"/>
      <c r="AB149" s="163"/>
      <c r="AC149" s="161"/>
      <c r="AD149" s="161"/>
      <c r="AE149" s="161"/>
      <c r="AF149" s="161"/>
      <c r="AG149" s="161"/>
      <c r="AH149" s="161"/>
      <c r="AI149" s="161"/>
      <c r="AJ149" s="161"/>
      <c r="AK149" s="161"/>
      <c r="AL149" s="163"/>
      <c r="AM149" s="162"/>
      <c r="AN149" s="164"/>
      <c r="AO149" s="50"/>
      <c r="AP149" s="50"/>
      <c r="AQ149" s="50"/>
      <c r="AR149" s="50"/>
      <c r="AS149" s="50"/>
      <c r="AT149" s="9"/>
      <c r="AU149" s="9"/>
      <c r="AV149" s="9"/>
      <c r="AW149" s="9"/>
      <c r="AX149" s="9"/>
    </row>
    <row r="150" spans="1:50" x14ac:dyDescent="0.25">
      <c r="A150" s="155">
        <f t="shared" si="2"/>
        <v>29</v>
      </c>
      <c r="B150" s="160"/>
      <c r="C150" s="159"/>
      <c r="D150" s="134" t="s">
        <v>238</v>
      </c>
      <c r="E150" s="134"/>
      <c r="F150" s="134"/>
      <c r="G150" s="134"/>
      <c r="H150" s="134"/>
      <c r="I150" s="134"/>
      <c r="J150" s="134"/>
      <c r="K150" s="134"/>
      <c r="L150" s="134"/>
      <c r="M150" s="134"/>
      <c r="N150" s="149"/>
      <c r="O150" s="149"/>
      <c r="P150" s="149"/>
      <c r="Q150" s="149"/>
      <c r="R150" s="149"/>
      <c r="S150" s="158"/>
      <c r="T150" s="134"/>
      <c r="U150" s="134" t="s">
        <v>239</v>
      </c>
      <c r="V150" s="134"/>
      <c r="W150" s="134"/>
      <c r="X150" s="134"/>
      <c r="Y150" s="134"/>
      <c r="Z150" s="134"/>
      <c r="AA150" s="134"/>
      <c r="AB150" s="163"/>
      <c r="AC150" s="163"/>
      <c r="AD150" s="163"/>
      <c r="AE150" s="161"/>
      <c r="AF150" s="161"/>
      <c r="AG150" s="161"/>
      <c r="AH150" s="161"/>
      <c r="AI150" s="161"/>
      <c r="AJ150" s="161"/>
      <c r="AK150" s="161"/>
      <c r="AL150" s="163"/>
      <c r="AM150" s="162"/>
      <c r="AN150" s="164"/>
      <c r="AO150" s="50"/>
      <c r="AP150" s="50"/>
      <c r="AQ150" s="50"/>
      <c r="AR150" s="50"/>
      <c r="AS150" s="50"/>
      <c r="AT150" s="9"/>
      <c r="AU150" s="9"/>
      <c r="AV150" s="9"/>
      <c r="AW150" s="9"/>
      <c r="AX150" s="9"/>
    </row>
    <row r="151" spans="1:50" x14ac:dyDescent="0.25">
      <c r="A151" s="155">
        <f t="shared" si="2"/>
        <v>30</v>
      </c>
      <c r="B151" s="160"/>
      <c r="C151" s="159"/>
      <c r="D151" s="134" t="s">
        <v>240</v>
      </c>
      <c r="E151" s="134"/>
      <c r="F151" s="134"/>
      <c r="G151" s="134"/>
      <c r="H151" s="134"/>
      <c r="I151" s="134"/>
      <c r="J151" s="134"/>
      <c r="K151" s="134"/>
      <c r="L151" s="134"/>
      <c r="M151" s="134"/>
      <c r="N151" s="149"/>
      <c r="O151" s="149"/>
      <c r="P151" s="149"/>
      <c r="Q151" s="149"/>
      <c r="R151" s="149"/>
      <c r="S151" s="158"/>
      <c r="T151" s="159"/>
      <c r="U151" s="157" t="s">
        <v>241</v>
      </c>
      <c r="V151" s="134"/>
      <c r="W151" s="134"/>
      <c r="X151" s="134"/>
      <c r="Y151" s="134"/>
      <c r="Z151" s="134"/>
      <c r="AA151" s="134"/>
      <c r="AB151" s="163"/>
      <c r="AC151" s="163"/>
      <c r="AD151" s="163"/>
      <c r="AE151" s="163"/>
      <c r="AF151" s="163"/>
      <c r="AG151" s="163"/>
      <c r="AH151" s="163"/>
      <c r="AI151" s="163"/>
      <c r="AJ151" s="163"/>
      <c r="AK151" s="163"/>
      <c r="AL151" s="163"/>
      <c r="AM151" s="162"/>
      <c r="AN151" s="164"/>
      <c r="AO151" s="50"/>
      <c r="AP151" s="50"/>
      <c r="AQ151" s="50"/>
      <c r="AR151" s="50"/>
      <c r="AS151" s="50"/>
      <c r="AT151" s="9"/>
      <c r="AU151" s="9"/>
      <c r="AV151" s="9"/>
      <c r="AW151" s="9"/>
      <c r="AX151" s="9"/>
    </row>
    <row r="152" spans="1:50" x14ac:dyDescent="0.25">
      <c r="A152" s="155">
        <f t="shared" si="2"/>
        <v>31</v>
      </c>
      <c r="B152" s="160"/>
      <c r="C152" s="159"/>
      <c r="D152" s="134" t="s">
        <v>242</v>
      </c>
      <c r="E152" s="134"/>
      <c r="F152" s="134"/>
      <c r="G152" s="134"/>
      <c r="H152" s="134"/>
      <c r="I152" s="134"/>
      <c r="J152" s="134"/>
      <c r="K152" s="134"/>
      <c r="L152" s="134"/>
      <c r="M152" s="134"/>
      <c r="N152" s="149"/>
      <c r="O152" s="149"/>
      <c r="P152" s="149"/>
      <c r="Q152" s="149"/>
      <c r="R152" s="149"/>
      <c r="S152" s="158"/>
      <c r="T152" s="159"/>
      <c r="U152" s="134" t="s">
        <v>178</v>
      </c>
      <c r="V152" s="134"/>
      <c r="W152" s="134"/>
      <c r="X152" s="149"/>
      <c r="Y152" s="149"/>
      <c r="Z152" s="149"/>
      <c r="AA152" s="149"/>
      <c r="AB152" s="161"/>
      <c r="AC152" s="161"/>
      <c r="AD152" s="161"/>
      <c r="AE152" s="163" t="s">
        <v>243</v>
      </c>
      <c r="AF152" s="163"/>
      <c r="AG152" s="161"/>
      <c r="AH152" s="161"/>
      <c r="AI152" s="161"/>
      <c r="AJ152" s="176" t="s">
        <v>244</v>
      </c>
      <c r="AK152" s="163"/>
      <c r="AL152" s="163"/>
      <c r="AM152" s="162"/>
      <c r="AN152" s="164"/>
      <c r="AO152" s="50"/>
      <c r="AP152" s="50"/>
      <c r="AQ152" s="50"/>
      <c r="AR152" s="50"/>
      <c r="AS152" s="50"/>
      <c r="AT152" s="9"/>
      <c r="AU152" s="9"/>
      <c r="AV152" s="9"/>
      <c r="AW152" s="9"/>
      <c r="AX152" s="9"/>
    </row>
    <row r="153" spans="1:50" x14ac:dyDescent="0.25">
      <c r="A153" s="155">
        <f t="shared" si="2"/>
        <v>32</v>
      </c>
      <c r="B153" s="160"/>
      <c r="C153" s="159"/>
      <c r="D153" s="134" t="s">
        <v>245</v>
      </c>
      <c r="E153" s="134"/>
      <c r="F153" s="134"/>
      <c r="G153" s="134"/>
      <c r="H153" s="134"/>
      <c r="I153" s="134"/>
      <c r="J153" s="134"/>
      <c r="K153" s="134"/>
      <c r="L153" s="134"/>
      <c r="M153" s="134"/>
      <c r="N153" s="149"/>
      <c r="O153" s="149"/>
      <c r="P153" s="149"/>
      <c r="Q153" s="149"/>
      <c r="R153" s="149"/>
      <c r="S153" s="158"/>
      <c r="T153" s="159"/>
      <c r="U153" s="134" t="s">
        <v>246</v>
      </c>
      <c r="V153" s="134"/>
      <c r="W153" s="134"/>
      <c r="X153" s="134"/>
      <c r="Y153" s="134"/>
      <c r="Z153" s="134"/>
      <c r="AA153" s="134"/>
      <c r="AB153" s="161"/>
      <c r="AC153" s="161"/>
      <c r="AD153" s="161"/>
      <c r="AE153" s="161"/>
      <c r="AF153" s="161"/>
      <c r="AG153" s="161"/>
      <c r="AH153" s="161"/>
      <c r="AI153" s="161"/>
      <c r="AJ153" s="161"/>
      <c r="AK153" s="161"/>
      <c r="AL153" s="163"/>
      <c r="AM153" s="162"/>
      <c r="AN153" s="164"/>
      <c r="AO153" s="50"/>
      <c r="AP153" s="50"/>
      <c r="AQ153" s="50"/>
      <c r="AR153" s="50"/>
      <c r="AS153" s="50"/>
      <c r="AT153" s="9"/>
      <c r="AU153" s="9"/>
      <c r="AV153" s="9"/>
      <c r="AW153" s="9"/>
      <c r="AX153" s="9"/>
    </row>
    <row r="154" spans="1:50" x14ac:dyDescent="0.25">
      <c r="A154" s="155">
        <f t="shared" si="2"/>
        <v>33</v>
      </c>
      <c r="B154" s="160"/>
      <c r="C154" s="159"/>
      <c r="D154" s="134" t="s">
        <v>247</v>
      </c>
      <c r="E154" s="134"/>
      <c r="F154" s="134"/>
      <c r="G154" s="134"/>
      <c r="H154" s="134"/>
      <c r="I154" s="134"/>
      <c r="J154" s="134"/>
      <c r="K154" s="134"/>
      <c r="L154" s="134"/>
      <c r="M154" s="134"/>
      <c r="N154" s="149"/>
      <c r="O154" s="149"/>
      <c r="P154" s="149"/>
      <c r="Q154" s="149"/>
      <c r="R154" s="149"/>
      <c r="S154" s="158"/>
      <c r="T154" s="159"/>
      <c r="U154" s="134" t="s">
        <v>248</v>
      </c>
      <c r="V154" s="134"/>
      <c r="W154" s="134"/>
      <c r="X154" s="134"/>
      <c r="Y154" s="134"/>
      <c r="Z154" s="134"/>
      <c r="AA154" s="134"/>
      <c r="AB154" s="163"/>
      <c r="AC154" s="163"/>
      <c r="AD154" s="163"/>
      <c r="AE154" s="163"/>
      <c r="AF154" s="163"/>
      <c r="AG154" s="163"/>
      <c r="AH154" s="161"/>
      <c r="AI154" s="161"/>
      <c r="AJ154" s="161"/>
      <c r="AK154" s="161"/>
      <c r="AL154" s="163"/>
      <c r="AM154" s="162"/>
      <c r="AN154" s="164"/>
      <c r="AO154" s="50"/>
      <c r="AP154" s="50"/>
      <c r="AQ154" s="50"/>
      <c r="AR154" s="50"/>
      <c r="AS154" s="50"/>
      <c r="AT154" s="9"/>
      <c r="AU154" s="9"/>
      <c r="AV154" s="9"/>
      <c r="AW154" s="9"/>
      <c r="AX154" s="9"/>
    </row>
    <row r="155" spans="1:50" x14ac:dyDescent="0.25">
      <c r="A155" s="155">
        <f t="shared" si="2"/>
        <v>34</v>
      </c>
      <c r="B155" s="177"/>
      <c r="C155" s="178"/>
      <c r="D155" s="154" t="s">
        <v>249</v>
      </c>
      <c r="E155" s="154"/>
      <c r="F155" s="154"/>
      <c r="G155" s="154"/>
      <c r="H155" s="154"/>
      <c r="I155" s="154"/>
      <c r="J155" s="154"/>
      <c r="K155" s="154"/>
      <c r="L155" s="154"/>
      <c r="M155" s="154"/>
      <c r="N155" s="154"/>
      <c r="O155" s="154"/>
      <c r="P155" s="154"/>
      <c r="Q155" s="154"/>
      <c r="R155" s="154"/>
      <c r="S155" s="168"/>
      <c r="T155" s="159"/>
      <c r="U155" s="134" t="s">
        <v>250</v>
      </c>
      <c r="V155" s="134"/>
      <c r="W155" s="134"/>
      <c r="X155" s="134"/>
      <c r="Y155" s="134"/>
      <c r="Z155" s="134"/>
      <c r="AA155" s="134"/>
      <c r="AB155" s="163"/>
      <c r="AC155" s="163"/>
      <c r="AD155" s="163"/>
      <c r="AE155" s="163"/>
      <c r="AF155" s="163"/>
      <c r="AG155" s="163"/>
      <c r="AH155" s="434">
        <v>15919</v>
      </c>
      <c r="AI155" s="435"/>
      <c r="AJ155" s="435"/>
      <c r="AK155" s="436"/>
      <c r="AL155" s="163"/>
      <c r="AM155" s="162"/>
      <c r="AN155" s="164"/>
      <c r="AO155" s="50"/>
      <c r="AP155" s="50"/>
      <c r="AQ155" s="50"/>
      <c r="AR155" s="50"/>
      <c r="AS155" s="50"/>
      <c r="AT155" s="9"/>
      <c r="AU155" s="9"/>
      <c r="AV155" s="9"/>
      <c r="AW155" s="9"/>
      <c r="AX155" s="9"/>
    </row>
    <row r="156" spans="1:50" x14ac:dyDescent="0.25">
      <c r="A156" s="155">
        <f t="shared" si="2"/>
        <v>35</v>
      </c>
      <c r="B156" s="160"/>
      <c r="C156" s="157" t="s">
        <v>251</v>
      </c>
      <c r="D156" s="134"/>
      <c r="E156" s="134"/>
      <c r="F156" s="134"/>
      <c r="G156" s="134"/>
      <c r="H156" s="134"/>
      <c r="I156" s="134"/>
      <c r="J156" s="134"/>
      <c r="K156" s="134"/>
      <c r="L156" s="134"/>
      <c r="M156" s="134"/>
      <c r="N156" s="134"/>
      <c r="O156" s="134"/>
      <c r="P156" s="134"/>
      <c r="Q156" s="134"/>
      <c r="R156" s="134"/>
      <c r="S156" s="158"/>
      <c r="T156" s="159"/>
      <c r="U156" s="134" t="s">
        <v>252</v>
      </c>
      <c r="V156" s="134"/>
      <c r="W156" s="134"/>
      <c r="X156" s="134"/>
      <c r="Y156" s="134"/>
      <c r="Z156" s="134"/>
      <c r="AA156" s="134"/>
      <c r="AB156" s="134"/>
      <c r="AC156" s="134"/>
      <c r="AD156" s="134"/>
      <c r="AE156" s="134"/>
      <c r="AF156" s="134"/>
      <c r="AG156" s="134"/>
      <c r="AH156" s="149"/>
      <c r="AI156" s="149"/>
      <c r="AJ156" s="149"/>
      <c r="AK156" s="149"/>
      <c r="AL156" s="134"/>
      <c r="AM156" s="158"/>
      <c r="AN156" s="138"/>
      <c r="AO156" s="9"/>
      <c r="AP156" s="9"/>
      <c r="AQ156" s="9"/>
      <c r="AR156" s="9"/>
      <c r="AS156" s="9"/>
      <c r="AT156" s="9"/>
      <c r="AU156" s="9"/>
      <c r="AV156" s="9"/>
      <c r="AW156" s="9"/>
      <c r="AX156" s="9"/>
    </row>
    <row r="157" spans="1:50" x14ac:dyDescent="0.25">
      <c r="A157" s="155">
        <f t="shared" si="2"/>
        <v>36</v>
      </c>
      <c r="B157" s="160"/>
      <c r="C157" s="134" t="s">
        <v>25</v>
      </c>
      <c r="D157" s="134"/>
      <c r="E157" s="149"/>
      <c r="F157" s="149"/>
      <c r="G157" s="149"/>
      <c r="H157" s="149"/>
      <c r="I157" s="149"/>
      <c r="J157" s="149"/>
      <c r="K157" s="149"/>
      <c r="L157" s="149"/>
      <c r="M157" s="149"/>
      <c r="N157" s="149"/>
      <c r="O157" s="149"/>
      <c r="P157" s="149"/>
      <c r="Q157" s="149"/>
      <c r="R157" s="149"/>
      <c r="S157" s="158"/>
      <c r="T157" s="159"/>
      <c r="U157" s="134" t="s">
        <v>253</v>
      </c>
      <c r="V157" s="134"/>
      <c r="W157" s="134"/>
      <c r="X157" s="134"/>
      <c r="Y157" s="134"/>
      <c r="Z157" s="134"/>
      <c r="AA157" s="134"/>
      <c r="AB157" s="134"/>
      <c r="AC157" s="134"/>
      <c r="AD157" s="134"/>
      <c r="AE157" s="134"/>
      <c r="AF157" s="134"/>
      <c r="AG157" s="134"/>
      <c r="AH157" s="134"/>
      <c r="AI157" s="134"/>
      <c r="AJ157" s="134"/>
      <c r="AK157" s="134"/>
      <c r="AL157" s="134"/>
      <c r="AM157" s="158"/>
      <c r="AN157" s="138"/>
      <c r="AO157" s="9"/>
      <c r="AP157" s="9"/>
      <c r="AQ157" s="9"/>
      <c r="AR157" s="9"/>
      <c r="AS157" s="9"/>
      <c r="AT157" s="9"/>
      <c r="AU157" s="9"/>
      <c r="AV157" s="9"/>
      <c r="AW157" s="9"/>
      <c r="AX157" s="9"/>
    </row>
    <row r="158" spans="1:50" x14ac:dyDescent="0.25">
      <c r="A158" s="155">
        <f t="shared" si="2"/>
        <v>37</v>
      </c>
      <c r="B158" s="160"/>
      <c r="C158" s="134" t="s">
        <v>254</v>
      </c>
      <c r="D158" s="134"/>
      <c r="E158" s="134"/>
      <c r="F158" s="134"/>
      <c r="G158" s="149"/>
      <c r="H158" s="149"/>
      <c r="I158" s="149"/>
      <c r="J158" s="149"/>
      <c r="K158" s="149"/>
      <c r="L158" s="149"/>
      <c r="M158" s="149"/>
      <c r="N158" s="149"/>
      <c r="O158" s="149"/>
      <c r="P158" s="149"/>
      <c r="Q158" s="149"/>
      <c r="R158" s="149"/>
      <c r="S158" s="158"/>
      <c r="T158" s="159"/>
      <c r="U158" s="157" t="s">
        <v>255</v>
      </c>
      <c r="V158" s="179"/>
      <c r="W158" s="134"/>
      <c r="X158" s="134"/>
      <c r="Y158" s="134"/>
      <c r="Z158" s="134"/>
      <c r="AA158" s="134"/>
      <c r="AB158" s="134"/>
      <c r="AC158" s="134"/>
      <c r="AD158" s="134"/>
      <c r="AE158" s="134"/>
      <c r="AF158" s="134"/>
      <c r="AG158" s="134"/>
      <c r="AH158" s="134"/>
      <c r="AI158" s="134"/>
      <c r="AJ158" s="134"/>
      <c r="AK158" s="134"/>
      <c r="AL158" s="134"/>
      <c r="AM158" s="158"/>
      <c r="AN158" s="138"/>
      <c r="AO158" s="9"/>
      <c r="AP158" s="9"/>
      <c r="AQ158" s="9"/>
      <c r="AR158" s="9"/>
      <c r="AS158" s="9"/>
      <c r="AT158" s="9"/>
      <c r="AU158" s="9"/>
      <c r="AV158" s="9"/>
      <c r="AW158" s="9"/>
      <c r="AX158" s="9"/>
    </row>
    <row r="159" spans="1:50" x14ac:dyDescent="0.25">
      <c r="A159" s="155">
        <f t="shared" si="2"/>
        <v>38</v>
      </c>
      <c r="B159" s="160"/>
      <c r="C159" s="134" t="s">
        <v>178</v>
      </c>
      <c r="D159" s="134"/>
      <c r="E159" s="134"/>
      <c r="F159" s="149"/>
      <c r="G159" s="149"/>
      <c r="H159" s="149"/>
      <c r="I159" s="149"/>
      <c r="J159" s="149"/>
      <c r="K159" s="149"/>
      <c r="L159" s="149"/>
      <c r="M159" s="149"/>
      <c r="N159" s="149"/>
      <c r="O159" s="149"/>
      <c r="P159" s="149"/>
      <c r="Q159" s="149"/>
      <c r="R159" s="149"/>
      <c r="S159" s="158"/>
      <c r="T159" s="159"/>
      <c r="U159" s="134"/>
      <c r="V159" s="134"/>
      <c r="W159" s="134" t="s">
        <v>256</v>
      </c>
      <c r="X159" s="134"/>
      <c r="Y159" s="134"/>
      <c r="Z159" s="134"/>
      <c r="AA159" s="134"/>
      <c r="AB159" s="134"/>
      <c r="AC159" s="134"/>
      <c r="AD159" s="134"/>
      <c r="AE159" s="134"/>
      <c r="AF159" s="134" t="s">
        <v>257</v>
      </c>
      <c r="AG159" s="134"/>
      <c r="AH159" s="149"/>
      <c r="AI159" s="149"/>
      <c r="AJ159" s="149"/>
      <c r="AK159" s="149"/>
      <c r="AL159" s="134"/>
      <c r="AM159" s="158"/>
      <c r="AN159" s="138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155">
        <f t="shared" si="2"/>
        <v>39</v>
      </c>
      <c r="B160" s="160"/>
      <c r="C160" s="134" t="s">
        <v>258</v>
      </c>
      <c r="D160" s="134"/>
      <c r="E160" s="134"/>
      <c r="F160" s="134"/>
      <c r="G160" s="134"/>
      <c r="H160" s="149"/>
      <c r="I160" s="134"/>
      <c r="J160" s="134" t="s">
        <v>259</v>
      </c>
      <c r="K160" s="134"/>
      <c r="L160" s="134"/>
      <c r="M160" s="134"/>
      <c r="N160" s="134"/>
      <c r="O160" s="149"/>
      <c r="P160" s="134"/>
      <c r="Q160" s="149"/>
      <c r="R160" s="149"/>
      <c r="S160" s="158"/>
      <c r="T160" s="156"/>
      <c r="U160" s="134"/>
      <c r="V160" s="134"/>
      <c r="W160" s="134" t="s">
        <v>260</v>
      </c>
      <c r="X160" s="134"/>
      <c r="Y160" s="134"/>
      <c r="Z160" s="134"/>
      <c r="AA160" s="134"/>
      <c r="AB160" s="134"/>
      <c r="AC160" s="134"/>
      <c r="AD160" s="134"/>
      <c r="AE160" s="134"/>
      <c r="AF160" s="134"/>
      <c r="AG160" s="134"/>
      <c r="AH160" s="134"/>
      <c r="AI160" s="134"/>
      <c r="AJ160" s="134"/>
      <c r="AK160" s="134"/>
      <c r="AL160" s="134"/>
      <c r="AM160" s="158"/>
      <c r="AN160" s="138"/>
      <c r="AO160" s="9"/>
      <c r="AP160" s="9"/>
      <c r="AQ160" s="9"/>
      <c r="AR160" s="9"/>
      <c r="AS160" s="9"/>
      <c r="AT160" s="9"/>
      <c r="AU160" s="9"/>
      <c r="AV160" s="9"/>
      <c r="AW160" s="9"/>
      <c r="AX160" s="9"/>
    </row>
    <row r="161" spans="1:50" x14ac:dyDescent="0.25">
      <c r="A161" s="155">
        <f t="shared" si="2"/>
        <v>40</v>
      </c>
      <c r="B161" s="160"/>
      <c r="C161" s="134" t="s">
        <v>261</v>
      </c>
      <c r="D161" s="134"/>
      <c r="E161" s="134"/>
      <c r="F161" s="134"/>
      <c r="G161" s="134"/>
      <c r="H161" s="134"/>
      <c r="I161" s="134"/>
      <c r="J161" s="149"/>
      <c r="K161" s="149"/>
      <c r="L161" s="149"/>
      <c r="M161" s="149"/>
      <c r="N161" s="149"/>
      <c r="O161" s="149"/>
      <c r="P161" s="134" t="s">
        <v>262</v>
      </c>
      <c r="Q161" s="134"/>
      <c r="R161" s="134"/>
      <c r="S161" s="158"/>
      <c r="T161" s="159"/>
      <c r="U161" s="134"/>
      <c r="V161" s="134"/>
      <c r="W161" s="134" t="s">
        <v>263</v>
      </c>
      <c r="X161" s="134"/>
      <c r="Y161" s="134"/>
      <c r="Z161" s="134"/>
      <c r="AA161" s="134"/>
      <c r="AB161" s="134"/>
      <c r="AC161" s="134"/>
      <c r="AD161" s="134"/>
      <c r="AE161" s="134"/>
      <c r="AF161" s="134" t="s">
        <v>257</v>
      </c>
      <c r="AG161" s="134"/>
      <c r="AH161" s="149"/>
      <c r="AI161" s="149"/>
      <c r="AJ161" s="149"/>
      <c r="AK161" s="149"/>
      <c r="AL161" s="134"/>
      <c r="AM161" s="158"/>
      <c r="AN161" s="138"/>
      <c r="AO161" s="9"/>
      <c r="AP161" s="9"/>
      <c r="AQ161" s="9"/>
      <c r="AR161" s="9"/>
      <c r="AS161" s="9"/>
      <c r="AT161" s="9"/>
      <c r="AU161" s="9"/>
      <c r="AV161" s="9"/>
      <c r="AW161" s="9"/>
      <c r="AX161" s="9"/>
    </row>
    <row r="162" spans="1:50" x14ac:dyDescent="0.25">
      <c r="A162" s="155">
        <f t="shared" si="2"/>
        <v>41</v>
      </c>
      <c r="B162" s="160"/>
      <c r="C162" s="134" t="s">
        <v>264</v>
      </c>
      <c r="D162" s="134"/>
      <c r="E162" s="134"/>
      <c r="F162" s="134"/>
      <c r="G162" s="134"/>
      <c r="H162" s="134"/>
      <c r="I162" s="180"/>
      <c r="J162" s="134" t="s">
        <v>265</v>
      </c>
      <c r="K162" s="134"/>
      <c r="L162" s="149"/>
      <c r="M162" s="149"/>
      <c r="N162" s="149"/>
      <c r="O162" s="149"/>
      <c r="P162" s="149"/>
      <c r="Q162" s="149"/>
      <c r="R162" s="134"/>
      <c r="S162" s="158"/>
      <c r="T162" s="159"/>
      <c r="U162" s="134" t="s">
        <v>266</v>
      </c>
      <c r="V162" s="134"/>
      <c r="W162" s="134"/>
      <c r="X162" s="134"/>
      <c r="Y162" s="134"/>
      <c r="Z162" s="134"/>
      <c r="AA162" s="134"/>
      <c r="AB162" s="134"/>
      <c r="AC162" s="134"/>
      <c r="AD162" s="134"/>
      <c r="AE162" s="134"/>
      <c r="AF162" s="134"/>
      <c r="AG162" s="134"/>
      <c r="AH162" s="134"/>
      <c r="AI162" s="134"/>
      <c r="AJ162" s="134"/>
      <c r="AK162" s="134"/>
      <c r="AL162" s="134"/>
      <c r="AM162" s="158"/>
      <c r="AN162" s="138"/>
      <c r="AO162" s="9"/>
      <c r="AP162" s="9"/>
      <c r="AQ162" s="9"/>
      <c r="AR162" s="9"/>
      <c r="AS162" s="9"/>
      <c r="AT162" s="9"/>
      <c r="AU162" s="9"/>
      <c r="AV162" s="9"/>
      <c r="AW162" s="9"/>
      <c r="AX162" s="9"/>
    </row>
    <row r="163" spans="1:50" x14ac:dyDescent="0.25">
      <c r="A163" s="155">
        <f t="shared" si="2"/>
        <v>42</v>
      </c>
      <c r="B163" s="156"/>
      <c r="C163" s="134" t="s">
        <v>267</v>
      </c>
      <c r="D163" s="134"/>
      <c r="E163" s="134"/>
      <c r="F163" s="134"/>
      <c r="G163" s="134"/>
      <c r="H163" s="134"/>
      <c r="I163" s="180"/>
      <c r="J163" s="134"/>
      <c r="K163" s="134"/>
      <c r="L163" s="134"/>
      <c r="M163" s="149"/>
      <c r="N163" s="149"/>
      <c r="O163" s="149"/>
      <c r="P163" s="149"/>
      <c r="Q163" s="149"/>
      <c r="R163" s="134"/>
      <c r="S163" s="158"/>
      <c r="T163" s="159"/>
      <c r="U163" s="181" t="s">
        <v>268</v>
      </c>
      <c r="V163" s="134"/>
      <c r="W163" s="134"/>
      <c r="X163" s="134"/>
      <c r="Y163" s="134"/>
      <c r="Z163" s="134"/>
      <c r="AA163" s="134"/>
      <c r="AB163" s="134"/>
      <c r="AC163" s="134"/>
      <c r="AD163" s="134"/>
      <c r="AE163" s="134"/>
      <c r="AF163" s="134"/>
      <c r="AG163" s="134"/>
      <c r="AH163" s="134"/>
      <c r="AI163" s="134"/>
      <c r="AJ163" s="134"/>
      <c r="AK163" s="134"/>
      <c r="AL163" s="134"/>
      <c r="AM163" s="158"/>
      <c r="AN163" s="138"/>
      <c r="AO163" s="9"/>
      <c r="AP163" s="9"/>
      <c r="AQ163" s="9"/>
      <c r="AR163" s="9"/>
      <c r="AS163" s="9"/>
      <c r="AT163" s="9"/>
      <c r="AU163" s="9"/>
      <c r="AV163" s="9"/>
      <c r="AW163" s="9"/>
      <c r="AX163" s="9"/>
    </row>
    <row r="164" spans="1:50" x14ac:dyDescent="0.25">
      <c r="A164" s="155">
        <f t="shared" si="2"/>
        <v>43</v>
      </c>
      <c r="B164" s="160"/>
      <c r="C164" s="134" t="s">
        <v>269</v>
      </c>
      <c r="D164" s="134"/>
      <c r="E164" s="134"/>
      <c r="F164" s="134"/>
      <c r="G164" s="134"/>
      <c r="H164" s="149"/>
      <c r="I164" s="149"/>
      <c r="J164" s="134" t="s">
        <v>148</v>
      </c>
      <c r="K164" s="134" t="s">
        <v>270</v>
      </c>
      <c r="L164" s="134"/>
      <c r="M164" s="134"/>
      <c r="N164" s="134"/>
      <c r="O164" s="134"/>
      <c r="P164" s="149"/>
      <c r="Q164" s="149"/>
      <c r="R164" s="134" t="s">
        <v>148</v>
      </c>
      <c r="S164" s="158"/>
      <c r="T164" s="159"/>
      <c r="U164" s="134" t="s">
        <v>271</v>
      </c>
      <c r="V164" s="134"/>
      <c r="W164" s="134"/>
      <c r="X164" s="134"/>
      <c r="Y164" s="134"/>
      <c r="Z164" s="134"/>
      <c r="AA164" s="134"/>
      <c r="AB164" s="134"/>
      <c r="AC164" s="134"/>
      <c r="AD164" s="134"/>
      <c r="AE164" s="134"/>
      <c r="AF164" s="134"/>
      <c r="AG164" s="134"/>
      <c r="AH164" s="134"/>
      <c r="AI164" s="134"/>
      <c r="AJ164" s="134"/>
      <c r="AK164" s="134"/>
      <c r="AL164" s="134"/>
      <c r="AM164" s="158"/>
      <c r="AN164" s="138"/>
      <c r="AO164" s="9"/>
      <c r="AP164" s="9"/>
      <c r="AQ164" s="9"/>
      <c r="AR164" s="9"/>
      <c r="AS164" s="9"/>
      <c r="AT164" s="9"/>
      <c r="AU164" s="9"/>
      <c r="AV164" s="9"/>
      <c r="AW164" s="9"/>
      <c r="AX164" s="9"/>
    </row>
    <row r="165" spans="1:50" x14ac:dyDescent="0.25">
      <c r="A165" s="155">
        <f t="shared" si="2"/>
        <v>44</v>
      </c>
      <c r="B165" s="160"/>
      <c r="C165" s="134" t="s">
        <v>294</v>
      </c>
      <c r="D165" s="134"/>
      <c r="E165" s="134"/>
      <c r="F165" s="134"/>
      <c r="G165" s="134"/>
      <c r="H165" s="134"/>
      <c r="I165" s="134"/>
      <c r="J165" s="134"/>
      <c r="K165" s="149"/>
      <c r="L165" s="149"/>
      <c r="M165" s="149"/>
      <c r="N165" s="149"/>
      <c r="O165" s="149"/>
      <c r="P165" s="149"/>
      <c r="Q165" s="149"/>
      <c r="R165" s="134"/>
      <c r="S165" s="158"/>
      <c r="T165" s="159"/>
      <c r="U165" s="134" t="s">
        <v>272</v>
      </c>
      <c r="V165" s="134"/>
      <c r="W165" s="134"/>
      <c r="X165" s="134"/>
      <c r="Y165" s="134"/>
      <c r="Z165" s="134"/>
      <c r="AA165" s="134"/>
      <c r="AB165" s="134"/>
      <c r="AC165" s="134"/>
      <c r="AD165" s="134"/>
      <c r="AE165" s="134"/>
      <c r="AF165" s="134"/>
      <c r="AG165" s="134"/>
      <c r="AH165" s="134"/>
      <c r="AI165" s="134"/>
      <c r="AJ165" s="134"/>
      <c r="AK165" s="134"/>
      <c r="AL165" s="134"/>
      <c r="AM165" s="158"/>
      <c r="AN165" s="138"/>
      <c r="AO165" s="9"/>
      <c r="AP165" s="9"/>
      <c r="AQ165" s="9"/>
      <c r="AR165" s="9"/>
      <c r="AS165" s="9"/>
      <c r="AT165" s="9"/>
      <c r="AU165" s="9"/>
      <c r="AV165" s="9"/>
      <c r="AW165" s="9"/>
      <c r="AX165" s="9"/>
    </row>
    <row r="166" spans="1:50" x14ac:dyDescent="0.25">
      <c r="A166" s="155">
        <f t="shared" si="2"/>
        <v>45</v>
      </c>
      <c r="B166" s="156"/>
      <c r="C166" s="134" t="s">
        <v>273</v>
      </c>
      <c r="D166" s="134"/>
      <c r="E166" s="134"/>
      <c r="F166" s="134"/>
      <c r="G166" s="134"/>
      <c r="H166" s="134"/>
      <c r="I166" s="134"/>
      <c r="J166" s="134"/>
      <c r="K166" s="134"/>
      <c r="L166" s="134"/>
      <c r="M166" s="149"/>
      <c r="N166" s="149"/>
      <c r="O166" s="149"/>
      <c r="P166" s="134" t="s">
        <v>262</v>
      </c>
      <c r="Q166" s="134"/>
      <c r="R166" s="134"/>
      <c r="S166" s="158"/>
      <c r="T166" s="159"/>
      <c r="U166" s="134" t="s">
        <v>274</v>
      </c>
      <c r="V166" s="134"/>
      <c r="W166" s="134"/>
      <c r="X166" s="134"/>
      <c r="Y166" s="134"/>
      <c r="Z166" s="134"/>
      <c r="AA166" s="134"/>
      <c r="AB166" s="134"/>
      <c r="AC166" s="134"/>
      <c r="AD166" s="134"/>
      <c r="AE166" s="134"/>
      <c r="AF166" s="134"/>
      <c r="AG166" s="134"/>
      <c r="AH166" s="134"/>
      <c r="AI166" s="134"/>
      <c r="AJ166" s="134"/>
      <c r="AK166" s="134"/>
      <c r="AL166" s="134"/>
      <c r="AM166" s="158"/>
      <c r="AN166" s="138"/>
      <c r="AO166" s="9"/>
      <c r="AP166" s="9"/>
      <c r="AQ166" s="9"/>
      <c r="AR166" s="9"/>
      <c r="AS166" s="9"/>
      <c r="AT166" s="9"/>
      <c r="AU166" s="9"/>
      <c r="AV166" s="9"/>
      <c r="AW166" s="9"/>
      <c r="AX166" s="9"/>
    </row>
    <row r="167" spans="1:50" x14ac:dyDescent="0.25">
      <c r="A167" s="155">
        <f t="shared" si="2"/>
        <v>46</v>
      </c>
      <c r="B167" s="167"/>
      <c r="C167" s="154" t="s">
        <v>275</v>
      </c>
      <c r="D167" s="154"/>
      <c r="E167" s="154"/>
      <c r="F167" s="154"/>
      <c r="G167" s="154"/>
      <c r="H167" s="154"/>
      <c r="I167" s="154"/>
      <c r="J167" s="154"/>
      <c r="K167" s="154"/>
      <c r="L167" s="154"/>
      <c r="M167" s="154"/>
      <c r="N167" s="154"/>
      <c r="O167" s="154"/>
      <c r="P167" s="154"/>
      <c r="Q167" s="154"/>
      <c r="R167" s="154"/>
      <c r="S167" s="168"/>
      <c r="T167" s="159"/>
      <c r="U167" s="134" t="s">
        <v>276</v>
      </c>
      <c r="V167" s="134"/>
      <c r="W167" s="134"/>
      <c r="X167" s="134"/>
      <c r="Y167" s="134"/>
      <c r="Z167" s="134"/>
      <c r="AA167" s="134"/>
      <c r="AB167" s="134"/>
      <c r="AC167" s="134"/>
      <c r="AD167" s="134"/>
      <c r="AE167" s="134"/>
      <c r="AF167" s="134"/>
      <c r="AG167" s="134"/>
      <c r="AH167" s="134"/>
      <c r="AI167" s="134"/>
      <c r="AJ167" s="134"/>
      <c r="AK167" s="134"/>
      <c r="AL167" s="134"/>
      <c r="AM167" s="158"/>
      <c r="AN167" s="138"/>
      <c r="AO167" s="9"/>
      <c r="AP167" s="9"/>
      <c r="AQ167" s="9"/>
      <c r="AR167" s="9"/>
      <c r="AS167" s="9"/>
      <c r="AT167" s="9"/>
      <c r="AU167" s="9"/>
      <c r="AV167" s="9"/>
      <c r="AW167" s="9"/>
      <c r="AX167" s="9"/>
    </row>
    <row r="168" spans="1:50" x14ac:dyDescent="0.25">
      <c r="A168" s="155">
        <f t="shared" si="2"/>
        <v>47</v>
      </c>
      <c r="B168" s="134"/>
      <c r="C168" s="157" t="s">
        <v>64</v>
      </c>
      <c r="D168" s="134"/>
      <c r="E168" s="134"/>
      <c r="F168" s="134"/>
      <c r="G168" s="134"/>
      <c r="H168" s="134"/>
      <c r="I168" s="134"/>
      <c r="J168" s="134"/>
      <c r="K168" s="134"/>
      <c r="L168" s="134"/>
      <c r="M168" s="134"/>
      <c r="N168" s="134"/>
      <c r="O168" s="134"/>
      <c r="P168" s="134"/>
      <c r="Q168" s="134"/>
      <c r="R168" s="138"/>
      <c r="S168" s="158"/>
      <c r="T168" s="159"/>
      <c r="U168" s="157" t="s">
        <v>277</v>
      </c>
      <c r="V168" s="134"/>
      <c r="W168" s="134"/>
      <c r="X168" s="134"/>
      <c r="Y168" s="134"/>
      <c r="Z168" s="134"/>
      <c r="AA168" s="134"/>
      <c r="AB168" s="134"/>
      <c r="AC168" s="134"/>
      <c r="AD168" s="134"/>
      <c r="AE168" s="134"/>
      <c r="AF168" s="134"/>
      <c r="AG168" s="134"/>
      <c r="AH168" s="134"/>
      <c r="AI168" s="134"/>
      <c r="AJ168" s="134"/>
      <c r="AK168" s="134"/>
      <c r="AL168" s="134"/>
      <c r="AM168" s="158"/>
      <c r="AN168" s="138"/>
      <c r="AO168" s="9"/>
      <c r="AP168" s="9"/>
      <c r="AQ168" s="9"/>
      <c r="AR168" s="9"/>
      <c r="AS168" s="9"/>
      <c r="AT168" s="9"/>
      <c r="AU168" s="9"/>
      <c r="AV168" s="9"/>
      <c r="AW168" s="9"/>
      <c r="AX168" s="9"/>
    </row>
    <row r="169" spans="1:50" x14ac:dyDescent="0.25">
      <c r="A169" s="155">
        <f t="shared" si="2"/>
        <v>48</v>
      </c>
      <c r="B169" s="134"/>
      <c r="C169" s="134" t="s">
        <v>178</v>
      </c>
      <c r="D169" s="134"/>
      <c r="E169" s="134"/>
      <c r="F169" s="149"/>
      <c r="G169" s="149"/>
      <c r="H169" s="149"/>
      <c r="I169" s="149"/>
      <c r="J169" s="149"/>
      <c r="K169" s="149"/>
      <c r="L169" s="149"/>
      <c r="M169" s="149"/>
      <c r="N169" s="149"/>
      <c r="O169" s="149"/>
      <c r="P169" s="149"/>
      <c r="Q169" s="149"/>
      <c r="R169" s="138"/>
      <c r="S169" s="158"/>
      <c r="T169" s="159"/>
      <c r="U169" s="134" t="s">
        <v>278</v>
      </c>
      <c r="V169" s="134"/>
      <c r="W169" s="134"/>
      <c r="X169" s="134"/>
      <c r="Y169" s="134"/>
      <c r="Z169" s="134"/>
      <c r="AA169" s="134"/>
      <c r="AB169" s="134"/>
      <c r="AC169" s="134"/>
      <c r="AD169" s="134"/>
      <c r="AE169" s="134"/>
      <c r="AF169" s="134"/>
      <c r="AG169" s="134"/>
      <c r="AH169" s="134"/>
      <c r="AI169" s="134"/>
      <c r="AJ169" s="134"/>
      <c r="AK169" s="134"/>
      <c r="AL169" s="134"/>
      <c r="AM169" s="158"/>
      <c r="AN169" s="138"/>
      <c r="AO169" s="9"/>
      <c r="AP169" s="9"/>
      <c r="AQ169" s="9"/>
      <c r="AR169" s="9"/>
      <c r="AS169" s="9"/>
      <c r="AT169" s="9"/>
      <c r="AU169" s="9"/>
      <c r="AV169" s="9"/>
      <c r="AW169" s="9"/>
      <c r="AX169" s="9"/>
    </row>
    <row r="170" spans="1:50" x14ac:dyDescent="0.25">
      <c r="A170" s="155">
        <f t="shared" si="2"/>
        <v>49</v>
      </c>
      <c r="B170" s="156"/>
      <c r="C170" s="134" t="s">
        <v>279</v>
      </c>
      <c r="D170" s="134"/>
      <c r="E170" s="134"/>
      <c r="F170" s="134"/>
      <c r="G170" s="134"/>
      <c r="H170" s="134"/>
      <c r="I170" s="149"/>
      <c r="J170" s="149"/>
      <c r="K170" s="149"/>
      <c r="L170" s="149"/>
      <c r="M170" s="149"/>
      <c r="N170" s="149"/>
      <c r="O170" s="149"/>
      <c r="P170" s="149"/>
      <c r="Q170" s="149"/>
      <c r="R170" s="138"/>
      <c r="S170" s="158"/>
      <c r="T170" s="159"/>
      <c r="U170" s="134"/>
      <c r="V170" s="134"/>
      <c r="W170" s="134" t="s">
        <v>71</v>
      </c>
      <c r="X170" s="134"/>
      <c r="Y170" s="149"/>
      <c r="Z170" s="149"/>
      <c r="AA170" s="149"/>
      <c r="AB170" s="149"/>
      <c r="AC170" s="149"/>
      <c r="AD170" s="149"/>
      <c r="AE170" s="134" t="s">
        <v>178</v>
      </c>
      <c r="AF170" s="134"/>
      <c r="AG170" s="134"/>
      <c r="AH170" s="149"/>
      <c r="AI170" s="149"/>
      <c r="AJ170" s="149"/>
      <c r="AK170" s="149"/>
      <c r="AL170" s="149"/>
      <c r="AM170" s="158"/>
      <c r="AN170" s="138"/>
      <c r="AO170" s="9"/>
      <c r="AP170" s="9"/>
      <c r="AQ170" s="9"/>
      <c r="AR170" s="9"/>
      <c r="AS170" s="9"/>
      <c r="AT170" s="9"/>
      <c r="AU170" s="9"/>
      <c r="AV170" s="9"/>
      <c r="AW170" s="9"/>
      <c r="AX170" s="9"/>
    </row>
    <row r="171" spans="1:50" x14ac:dyDescent="0.25">
      <c r="A171" s="155">
        <f t="shared" si="2"/>
        <v>50</v>
      </c>
      <c r="B171" s="156"/>
      <c r="C171" s="134" t="s">
        <v>280</v>
      </c>
      <c r="D171" s="134"/>
      <c r="E171" s="134"/>
      <c r="F171" s="134"/>
      <c r="G171" s="134"/>
      <c r="H171" s="134"/>
      <c r="I171" s="134"/>
      <c r="J171" s="134"/>
      <c r="K171" s="134"/>
      <c r="L171" s="134"/>
      <c r="M171" s="134"/>
      <c r="N171" s="134"/>
      <c r="O171" s="134"/>
      <c r="P171" s="134"/>
      <c r="Q171" s="134"/>
      <c r="R171" s="138"/>
      <c r="S171" s="158"/>
      <c r="T171" s="159"/>
      <c r="U171" s="134" t="s">
        <v>281</v>
      </c>
      <c r="V171" s="134"/>
      <c r="W171" s="134"/>
      <c r="X171" s="134"/>
      <c r="Y171" s="134"/>
      <c r="Z171" s="134"/>
      <c r="AA171" s="134"/>
      <c r="AB171" s="134"/>
      <c r="AC171" s="134"/>
      <c r="AD171" s="134"/>
      <c r="AE171" s="134"/>
      <c r="AF171" s="134"/>
      <c r="AG171" s="134"/>
      <c r="AH171" s="134"/>
      <c r="AI171" s="134"/>
      <c r="AJ171" s="134"/>
      <c r="AK171" s="134"/>
      <c r="AL171" s="134"/>
      <c r="AM171" s="158"/>
      <c r="AN171" s="138"/>
      <c r="AO171" s="9"/>
      <c r="AP171" s="9"/>
      <c r="AQ171" s="9"/>
      <c r="AR171" s="9"/>
      <c r="AS171" s="9"/>
      <c r="AT171" s="9"/>
      <c r="AU171" s="9"/>
      <c r="AV171" s="9"/>
      <c r="AW171" s="9"/>
      <c r="AX171" s="9"/>
    </row>
    <row r="172" spans="1:50" x14ac:dyDescent="0.25">
      <c r="A172" s="182">
        <f t="shared" si="2"/>
        <v>51</v>
      </c>
      <c r="B172" s="156"/>
      <c r="C172" s="134" t="s">
        <v>282</v>
      </c>
      <c r="D172" s="134"/>
      <c r="E172" s="134"/>
      <c r="F172" s="134"/>
      <c r="G172" s="134"/>
      <c r="H172" s="134"/>
      <c r="I172" s="134"/>
      <c r="J172" s="134"/>
      <c r="K172" s="149"/>
      <c r="L172" s="149"/>
      <c r="M172" s="149"/>
      <c r="N172" s="149"/>
      <c r="O172" s="149"/>
      <c r="P172" s="149"/>
      <c r="Q172" s="149"/>
      <c r="R172" s="138"/>
      <c r="S172" s="158"/>
      <c r="T172" s="159"/>
      <c r="U172" s="134"/>
      <c r="V172" s="134"/>
      <c r="W172" s="134" t="s">
        <v>71</v>
      </c>
      <c r="X172" s="134"/>
      <c r="Y172" s="149"/>
      <c r="Z172" s="149"/>
      <c r="AA172" s="149"/>
      <c r="AB172" s="149"/>
      <c r="AC172" s="149"/>
      <c r="AD172" s="149"/>
      <c r="AE172" s="134" t="s">
        <v>178</v>
      </c>
      <c r="AF172" s="134"/>
      <c r="AG172" s="134"/>
      <c r="AH172" s="149"/>
      <c r="AI172" s="149"/>
      <c r="AJ172" s="149"/>
      <c r="AK172" s="149"/>
      <c r="AL172" s="149"/>
      <c r="AM172" s="158"/>
      <c r="AN172" s="138"/>
      <c r="AO172" s="9"/>
      <c r="AP172" s="9"/>
      <c r="AQ172" s="9"/>
      <c r="AR172" s="9"/>
      <c r="AS172" s="9"/>
      <c r="AT172" s="9"/>
      <c r="AU172" s="9"/>
      <c r="AV172" s="9"/>
      <c r="AW172" s="9"/>
      <c r="AX172" s="9"/>
    </row>
    <row r="173" spans="1:50" x14ac:dyDescent="0.25">
      <c r="A173" s="183"/>
      <c r="B173" s="154"/>
      <c r="C173" s="154"/>
      <c r="D173" s="154"/>
      <c r="E173" s="154"/>
      <c r="F173" s="154"/>
      <c r="G173" s="154"/>
      <c r="H173" s="154"/>
      <c r="I173" s="154"/>
      <c r="J173" s="154"/>
      <c r="K173" s="154"/>
      <c r="L173" s="154"/>
      <c r="M173" s="154"/>
      <c r="N173" s="154"/>
      <c r="O173" s="154"/>
      <c r="P173" s="154"/>
      <c r="Q173" s="154"/>
      <c r="R173" s="144"/>
      <c r="S173" s="168"/>
      <c r="T173" s="178"/>
      <c r="U173" s="154"/>
      <c r="V173" s="154"/>
      <c r="W173" s="154"/>
      <c r="X173" s="154"/>
      <c r="Y173" s="154"/>
      <c r="Z173" s="154"/>
      <c r="AA173" s="154"/>
      <c r="AB173" s="154"/>
      <c r="AC173" s="154"/>
      <c r="AD173" s="154"/>
      <c r="AE173" s="154"/>
      <c r="AF173" s="154"/>
      <c r="AG173" s="154"/>
      <c r="AH173" s="154"/>
      <c r="AI173" s="154"/>
      <c r="AJ173" s="154"/>
      <c r="AK173" s="154"/>
      <c r="AL173" s="154"/>
      <c r="AM173" s="168"/>
      <c r="AN173" s="138"/>
      <c r="AO173" s="9"/>
      <c r="AP173" s="9"/>
      <c r="AQ173" s="9"/>
      <c r="AR173" s="9"/>
      <c r="AS173" s="9"/>
      <c r="AT173" s="9"/>
      <c r="AU173" s="9"/>
      <c r="AV173" s="9"/>
      <c r="AW173" s="9"/>
      <c r="AX173" s="9"/>
    </row>
    <row r="174" spans="1:50" x14ac:dyDescent="0.25">
      <c r="A174" s="138"/>
      <c r="B174" s="179" t="s">
        <v>283</v>
      </c>
      <c r="C174" s="138"/>
      <c r="D174" s="138"/>
      <c r="E174" s="138"/>
      <c r="F174" s="138"/>
      <c r="G174" s="138"/>
      <c r="H174" s="138"/>
      <c r="I174" s="138"/>
      <c r="J174" s="138"/>
      <c r="K174" s="138"/>
      <c r="L174" s="138"/>
      <c r="M174" s="138"/>
      <c r="N174" s="138"/>
      <c r="O174" s="138"/>
      <c r="P174" s="138"/>
      <c r="Q174" s="138"/>
      <c r="R174" s="138"/>
      <c r="S174" s="138"/>
      <c r="T174" s="138"/>
      <c r="U174" s="138"/>
      <c r="V174" s="138"/>
      <c r="W174" s="138"/>
      <c r="X174" s="138"/>
      <c r="Y174" s="138"/>
      <c r="Z174" s="138"/>
      <c r="AA174" s="138"/>
      <c r="AB174" s="138"/>
      <c r="AC174" s="138"/>
      <c r="AD174" s="138"/>
      <c r="AE174" s="138"/>
      <c r="AF174" s="138"/>
      <c r="AG174" s="138"/>
      <c r="AH174" s="138"/>
      <c r="AI174" s="138"/>
      <c r="AJ174" s="138"/>
      <c r="AK174" s="138"/>
      <c r="AL174" s="138"/>
      <c r="AM174" s="138"/>
      <c r="AN174" s="138"/>
      <c r="AO174" s="9"/>
      <c r="AP174" s="9"/>
      <c r="AQ174" s="9"/>
      <c r="AR174" s="9"/>
      <c r="AS174" s="9"/>
      <c r="AT174" s="9"/>
      <c r="AU174" s="9"/>
      <c r="AV174" s="9"/>
      <c r="AW174" s="9"/>
      <c r="AX174" s="9"/>
    </row>
    <row r="175" spans="1:50" x14ac:dyDescent="0.25">
      <c r="A175" s="142"/>
      <c r="B175" s="142"/>
      <c r="C175" s="142"/>
      <c r="D175" s="142"/>
      <c r="E175" s="142"/>
      <c r="F175" s="142"/>
      <c r="G175" s="142"/>
      <c r="H175" s="142"/>
      <c r="I175" s="138"/>
      <c r="J175" s="142"/>
      <c r="K175" s="142"/>
      <c r="L175" s="142"/>
      <c r="M175" s="184"/>
      <c r="N175" s="142"/>
      <c r="O175" s="142"/>
      <c r="P175" s="142"/>
      <c r="Q175" s="142"/>
      <c r="R175" s="142"/>
      <c r="S175" s="138"/>
      <c r="T175" s="142"/>
      <c r="U175" s="142"/>
      <c r="V175" s="134"/>
      <c r="W175" s="142"/>
      <c r="X175" s="142"/>
      <c r="Y175" s="142"/>
      <c r="Z175" s="142"/>
      <c r="AA175" s="142"/>
      <c r="AB175" s="142"/>
      <c r="AC175" s="142"/>
      <c r="AD175" s="142"/>
      <c r="AE175" s="142"/>
      <c r="AF175" s="142"/>
      <c r="AG175" s="142"/>
      <c r="AH175" s="142"/>
      <c r="AI175" s="142"/>
      <c r="AJ175" s="142"/>
      <c r="AK175" s="142"/>
      <c r="AL175" s="138"/>
      <c r="AM175" s="138"/>
      <c r="AN175" s="138"/>
      <c r="AO175" s="9"/>
      <c r="AP175" s="9"/>
      <c r="AQ175" s="9"/>
      <c r="AR175" s="9"/>
      <c r="AS175" s="9"/>
      <c r="AT175" s="9"/>
      <c r="AU175" s="9"/>
      <c r="AV175" s="9"/>
      <c r="AW175" s="9"/>
      <c r="AX175" s="9"/>
    </row>
  </sheetData>
  <mergeCells count="166">
    <mergeCell ref="AQ59:AR59"/>
    <mergeCell ref="AQ60:AR60"/>
    <mergeCell ref="AT39:AT60"/>
    <mergeCell ref="AB132:AC132"/>
    <mergeCell ref="AB133:AC133"/>
    <mergeCell ref="AP50:AS50"/>
    <mergeCell ref="AQ51:AR51"/>
    <mergeCell ref="AQ52:AR52"/>
    <mergeCell ref="AQ53:AR53"/>
    <mergeCell ref="AQ54:AR54"/>
    <mergeCell ref="AQ55:AR55"/>
    <mergeCell ref="AQ56:AR56"/>
    <mergeCell ref="AQ57:AR57"/>
    <mergeCell ref="AQ58:AR58"/>
    <mergeCell ref="AP39:AS39"/>
    <mergeCell ref="AQ40:AR40"/>
    <mergeCell ref="AQ41:AR41"/>
    <mergeCell ref="AQ42:AR42"/>
    <mergeCell ref="AQ43:AR43"/>
    <mergeCell ref="AQ44:AR44"/>
    <mergeCell ref="AQ45:AR45"/>
    <mergeCell ref="AQ46:AR46"/>
    <mergeCell ref="AQ47:AR47"/>
    <mergeCell ref="AQ48:AR48"/>
    <mergeCell ref="AQ49:AR49"/>
    <mergeCell ref="AQ35:AR35"/>
    <mergeCell ref="AQ36:AR36"/>
    <mergeCell ref="W30:Y30"/>
    <mergeCell ref="T38:AB38"/>
    <mergeCell ref="T36:V36"/>
    <mergeCell ref="Z36:AB36"/>
    <mergeCell ref="AS36:AT36"/>
    <mergeCell ref="AQ37:AR37"/>
    <mergeCell ref="AS37:AT37"/>
    <mergeCell ref="AQ34:AR34"/>
    <mergeCell ref="AQ33:AR33"/>
    <mergeCell ref="T40:V40"/>
    <mergeCell ref="Z40:AB40"/>
    <mergeCell ref="AC40:AE40"/>
    <mergeCell ref="T41:V41"/>
    <mergeCell ref="Z41:AB41"/>
    <mergeCell ref="AC41:AE41"/>
    <mergeCell ref="T32:V32"/>
    <mergeCell ref="AQ23:AT23"/>
    <mergeCell ref="AQ24:AR24"/>
    <mergeCell ref="W21:Y21"/>
    <mergeCell ref="W24:Y24"/>
    <mergeCell ref="W29:Y29"/>
    <mergeCell ref="W31:Y31"/>
    <mergeCell ref="W32:Y32"/>
    <mergeCell ref="AF17:AH17"/>
    <mergeCell ref="AI17:AM17"/>
    <mergeCell ref="AQ29:AR29"/>
    <mergeCell ref="AQ30:AR30"/>
    <mergeCell ref="AQ31:AR31"/>
    <mergeCell ref="AQ32:AR32"/>
    <mergeCell ref="AC31:AE31"/>
    <mergeCell ref="Z32:AB32"/>
    <mergeCell ref="AC32:AE32"/>
    <mergeCell ref="AD4:AK4"/>
    <mergeCell ref="E8:T8"/>
    <mergeCell ref="E9:T9"/>
    <mergeCell ref="E10:T10"/>
    <mergeCell ref="B15:AM15"/>
    <mergeCell ref="B16:R16"/>
    <mergeCell ref="T16:Y16"/>
    <mergeCell ref="Z16:AM16"/>
    <mergeCell ref="T21:V21"/>
    <mergeCell ref="Z21:AB21"/>
    <mergeCell ref="AC21:AE21"/>
    <mergeCell ref="W61:AA61"/>
    <mergeCell ref="AE61:AK61"/>
    <mergeCell ref="X62:AA62"/>
    <mergeCell ref="AD62:AK62"/>
    <mergeCell ref="K66:P66"/>
    <mergeCell ref="T23:V23"/>
    <mergeCell ref="Z23:AB23"/>
    <mergeCell ref="AC23:AE23"/>
    <mergeCell ref="T17:V17"/>
    <mergeCell ref="W17:Y17"/>
    <mergeCell ref="Z17:AB17"/>
    <mergeCell ref="AC17:AE17"/>
    <mergeCell ref="W20:Y20"/>
    <mergeCell ref="W18:Y18"/>
    <mergeCell ref="T24:V24"/>
    <mergeCell ref="Z24:AB24"/>
    <mergeCell ref="AC24:AE24"/>
    <mergeCell ref="AC27:AE27"/>
    <mergeCell ref="T29:V29"/>
    <mergeCell ref="Z29:AB29"/>
    <mergeCell ref="AC29:AE29"/>
    <mergeCell ref="AC35:AE35"/>
    <mergeCell ref="T31:V31"/>
    <mergeCell ref="Z31:AB31"/>
    <mergeCell ref="AD67:AL67"/>
    <mergeCell ref="K76:M76"/>
    <mergeCell ref="N76:P76"/>
    <mergeCell ref="B73:G73"/>
    <mergeCell ref="K73:M73"/>
    <mergeCell ref="N73:P73"/>
    <mergeCell ref="B74:G74"/>
    <mergeCell ref="K74:M74"/>
    <mergeCell ref="N74:P74"/>
    <mergeCell ref="B71:G71"/>
    <mergeCell ref="K71:M71"/>
    <mergeCell ref="N71:P71"/>
    <mergeCell ref="B72:G72"/>
    <mergeCell ref="K72:M72"/>
    <mergeCell ref="N72:P72"/>
    <mergeCell ref="K67:M67"/>
    <mergeCell ref="N67:P67"/>
    <mergeCell ref="Q67:T67"/>
    <mergeCell ref="B69:G69"/>
    <mergeCell ref="K69:M69"/>
    <mergeCell ref="N69:P69"/>
    <mergeCell ref="B70:G70"/>
    <mergeCell ref="K70:M70"/>
    <mergeCell ref="N70:P70"/>
    <mergeCell ref="X119:AA119"/>
    <mergeCell ref="AD119:AK119"/>
    <mergeCell ref="AH155:AK155"/>
    <mergeCell ref="N78:P78"/>
    <mergeCell ref="K78:M78"/>
    <mergeCell ref="B78:G78"/>
    <mergeCell ref="N80:P80"/>
    <mergeCell ref="K80:M80"/>
    <mergeCell ref="B80:G80"/>
    <mergeCell ref="N82:P82"/>
    <mergeCell ref="K89:M89"/>
    <mergeCell ref="N89:P89"/>
    <mergeCell ref="K90:M90"/>
    <mergeCell ref="N90:P90"/>
    <mergeCell ref="W118:AA118"/>
    <mergeCell ref="AE118:AK118"/>
    <mergeCell ref="N87:P87"/>
    <mergeCell ref="N88:P88"/>
    <mergeCell ref="B85:G85"/>
    <mergeCell ref="K85:M85"/>
    <mergeCell ref="N85:P85"/>
    <mergeCell ref="B83:G83"/>
    <mergeCell ref="K83:M83"/>
    <mergeCell ref="N83:P83"/>
    <mergeCell ref="K82:M82"/>
    <mergeCell ref="B82:G82"/>
    <mergeCell ref="N86:P86"/>
    <mergeCell ref="AQ25:AR25"/>
    <mergeCell ref="AQ26:AR26"/>
    <mergeCell ref="AQ27:AR27"/>
    <mergeCell ref="AQ28:AR28"/>
    <mergeCell ref="B84:G84"/>
    <mergeCell ref="K84:M84"/>
    <mergeCell ref="N84:P84"/>
    <mergeCell ref="B81:G81"/>
    <mergeCell ref="K81:M81"/>
    <mergeCell ref="N81:P81"/>
    <mergeCell ref="B79:G79"/>
    <mergeCell ref="K79:M79"/>
    <mergeCell ref="N79:P79"/>
    <mergeCell ref="B77:G77"/>
    <mergeCell ref="K77:M77"/>
    <mergeCell ref="W28:Y28"/>
    <mergeCell ref="N77:P77"/>
    <mergeCell ref="B75:G75"/>
    <mergeCell ref="K75:M75"/>
    <mergeCell ref="N75:P75"/>
    <mergeCell ref="B76:G76"/>
  </mergeCells>
  <dataValidations count="1">
    <dataValidation type="list" allowBlank="1" showInputMessage="1" showErrorMessage="1" sqref="W18:Y18">
      <formula1>"IN,OUT"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EstaPasta_de_trabalho.Restart_python">
                <anchor moveWithCells="1" sizeWithCells="1">
                  <from>
                    <xdr:col>0</xdr:col>
                    <xdr:colOff>0</xdr:colOff>
                    <xdr:row>0</xdr:row>
                    <xdr:rowOff>28575</xdr:rowOff>
                  </from>
                  <to>
                    <xdr:col>6</xdr:col>
                    <xdr:colOff>104775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/>
  <dimension ref="B3:AA256"/>
  <sheetViews>
    <sheetView showGridLines="0" tabSelected="1" zoomScale="80" zoomScaleNormal="80" workbookViewId="0">
      <selection activeCell="E16" sqref="E16"/>
    </sheetView>
  </sheetViews>
  <sheetFormatPr defaultRowHeight="15" x14ac:dyDescent="0.25"/>
  <cols>
    <col min="4" max="4" width="14" style="223" customWidth="1"/>
    <col min="5" max="5" width="9.140625" customWidth="1"/>
    <col min="6" max="6" width="10.28515625" customWidth="1"/>
    <col min="7" max="8" width="9.140625" customWidth="1"/>
    <col min="10" max="10" width="9.140625" customWidth="1"/>
    <col min="11" max="11" width="10.28515625" customWidth="1"/>
  </cols>
  <sheetData>
    <row r="3" spans="2:27" ht="15.75" thickBot="1" x14ac:dyDescent="0.3">
      <c r="B3" s="517" t="s">
        <v>296</v>
      </c>
      <c r="C3" s="518"/>
      <c r="D3" s="225" t="s">
        <v>299</v>
      </c>
      <c r="F3" s="528" t="s">
        <v>343</v>
      </c>
      <c r="G3" s="529"/>
      <c r="H3" s="529"/>
      <c r="I3" s="529"/>
      <c r="J3" s="529"/>
      <c r="K3" s="529"/>
      <c r="L3" s="529"/>
      <c r="M3" s="529"/>
      <c r="N3" s="529"/>
      <c r="O3" s="529"/>
      <c r="P3" s="529"/>
      <c r="Q3" s="529"/>
      <c r="R3" s="529"/>
      <c r="S3" s="530"/>
      <c r="T3" s="228"/>
      <c r="U3" s="228"/>
      <c r="V3" s="228"/>
      <c r="W3" s="228"/>
      <c r="X3" s="228"/>
      <c r="Y3" s="228"/>
      <c r="Z3" s="228"/>
      <c r="AA3" s="228"/>
    </row>
    <row r="4" spans="2:27" x14ac:dyDescent="0.25">
      <c r="B4" s="519" t="s">
        <v>359</v>
      </c>
      <c r="C4" s="520"/>
      <c r="D4" s="224">
        <v>1</v>
      </c>
      <c r="F4" s="521" t="s">
        <v>300</v>
      </c>
      <c r="G4" s="522"/>
      <c r="H4" s="526" t="s">
        <v>322</v>
      </c>
      <c r="I4" s="527"/>
      <c r="J4" s="521" t="s">
        <v>306</v>
      </c>
      <c r="K4" s="522"/>
      <c r="L4" s="523" t="s">
        <v>301</v>
      </c>
      <c r="M4" s="524"/>
      <c r="N4" s="524"/>
      <c r="O4" s="525"/>
      <c r="P4" s="523" t="s">
        <v>302</v>
      </c>
      <c r="Q4" s="524"/>
      <c r="R4" s="524"/>
      <c r="S4" s="525"/>
      <c r="T4" s="226"/>
      <c r="U4" s="226"/>
    </row>
    <row r="5" spans="2:27" x14ac:dyDescent="0.25">
      <c r="B5" s="519" t="s">
        <v>319</v>
      </c>
      <c r="C5" s="520"/>
      <c r="D5" s="224">
        <v>0</v>
      </c>
      <c r="F5" s="241"/>
      <c r="G5" s="242" t="s">
        <v>303</v>
      </c>
      <c r="H5" s="241"/>
      <c r="I5" s="242" t="s">
        <v>303</v>
      </c>
      <c r="J5" s="241"/>
      <c r="K5" s="242" t="s">
        <v>303</v>
      </c>
      <c r="L5" s="241" t="s">
        <v>304</v>
      </c>
      <c r="M5" s="243" t="s">
        <v>303</v>
      </c>
      <c r="N5" s="243" t="s">
        <v>305</v>
      </c>
      <c r="O5" s="242" t="s">
        <v>303</v>
      </c>
      <c r="P5" s="241" t="s">
        <v>304</v>
      </c>
      <c r="Q5" s="243" t="s">
        <v>303</v>
      </c>
      <c r="R5" s="243" t="s">
        <v>305</v>
      </c>
      <c r="S5" s="242" t="s">
        <v>303</v>
      </c>
      <c r="T5" s="227"/>
      <c r="U5" s="227"/>
    </row>
    <row r="6" spans="2:27" ht="15.75" thickBot="1" x14ac:dyDescent="0.3">
      <c r="B6" s="519" t="s">
        <v>96</v>
      </c>
      <c r="C6" s="520"/>
      <c r="D6" s="224">
        <v>0</v>
      </c>
      <c r="F6" s="230">
        <v>46755.510190508096</v>
      </c>
      <c r="G6" s="231" t="s">
        <v>307</v>
      </c>
      <c r="H6" s="230">
        <v>10645</v>
      </c>
      <c r="I6" s="231" t="s">
        <v>321</v>
      </c>
      <c r="J6" s="232">
        <v>3774</v>
      </c>
      <c r="K6" s="231" t="s">
        <v>308</v>
      </c>
      <c r="L6" s="232">
        <v>110</v>
      </c>
      <c r="M6" s="233" t="s">
        <v>360</v>
      </c>
      <c r="N6" s="233">
        <v>40</v>
      </c>
      <c r="O6" s="231" t="s">
        <v>309</v>
      </c>
      <c r="P6" s="232">
        <v>224</v>
      </c>
      <c r="Q6" s="233" t="s">
        <v>360</v>
      </c>
      <c r="R6" s="234">
        <v>71.450773994121278</v>
      </c>
      <c r="S6" s="261" t="s">
        <v>309</v>
      </c>
      <c r="U6" s="229"/>
    </row>
    <row r="7" spans="2:27" ht="15.75" thickBot="1" x14ac:dyDescent="0.3">
      <c r="B7" s="519" t="s">
        <v>97</v>
      </c>
      <c r="C7" s="520"/>
      <c r="D7" s="224">
        <v>0</v>
      </c>
      <c r="F7" s="514" t="s">
        <v>342</v>
      </c>
      <c r="G7" s="515"/>
      <c r="H7" s="515"/>
      <c r="I7" s="516"/>
    </row>
    <row r="8" spans="2:27" ht="15" customHeight="1" x14ac:dyDescent="0.25">
      <c r="B8" s="519" t="s">
        <v>98</v>
      </c>
      <c r="C8" s="520"/>
      <c r="D8" s="224">
        <v>0</v>
      </c>
      <c r="K8" s="539" t="s">
        <v>346</v>
      </c>
      <c r="L8" s="250" t="s">
        <v>300</v>
      </c>
      <c r="M8" s="251" t="s">
        <v>303</v>
      </c>
      <c r="N8" s="252" t="s">
        <v>354</v>
      </c>
      <c r="O8" s="251" t="s">
        <v>303</v>
      </c>
      <c r="P8" s="252" t="s">
        <v>304</v>
      </c>
      <c r="Q8" s="253" t="s">
        <v>303</v>
      </c>
      <c r="R8" s="253" t="s">
        <v>305</v>
      </c>
      <c r="S8" s="251" t="s">
        <v>303</v>
      </c>
    </row>
    <row r="9" spans="2:27" ht="15.75" thickBot="1" x14ac:dyDescent="0.3">
      <c r="B9" s="519" t="s">
        <v>99</v>
      </c>
      <c r="C9" s="520"/>
      <c r="D9" s="224">
        <v>0</v>
      </c>
      <c r="K9" s="540"/>
      <c r="L9" s="230">
        <v>206996.51233021205</v>
      </c>
      <c r="M9" s="231" t="s">
        <v>307</v>
      </c>
      <c r="N9" s="230">
        <v>22793</v>
      </c>
      <c r="O9" s="231" t="s">
        <v>321</v>
      </c>
      <c r="P9" s="232">
        <v>224</v>
      </c>
      <c r="Q9" s="233" t="s">
        <v>360</v>
      </c>
      <c r="R9" s="233">
        <v>40</v>
      </c>
      <c r="S9" s="231" t="s">
        <v>309</v>
      </c>
    </row>
    <row r="10" spans="2:27" x14ac:dyDescent="0.25">
      <c r="B10" s="519" t="s">
        <v>100</v>
      </c>
      <c r="C10" s="520"/>
      <c r="D10" s="224">
        <v>0</v>
      </c>
    </row>
    <row r="11" spans="2:27" ht="15.75" thickBot="1" x14ac:dyDescent="0.3">
      <c r="B11" s="519" t="s">
        <v>102</v>
      </c>
      <c r="C11" s="520"/>
      <c r="D11" s="224">
        <v>0</v>
      </c>
      <c r="F11" s="528" t="s">
        <v>344</v>
      </c>
      <c r="G11" s="529"/>
      <c r="H11" s="529"/>
      <c r="I11" s="529"/>
      <c r="J11" s="529"/>
      <c r="K11" s="529"/>
      <c r="L11" s="529"/>
      <c r="M11" s="529"/>
      <c r="N11" s="529"/>
      <c r="O11" s="529"/>
      <c r="P11" s="529"/>
      <c r="Q11" s="529"/>
      <c r="R11" s="529"/>
      <c r="S11" s="530"/>
    </row>
    <row r="12" spans="2:27" x14ac:dyDescent="0.25">
      <c r="B12" s="519" t="s">
        <v>295</v>
      </c>
      <c r="C12" s="520"/>
      <c r="D12" s="224">
        <v>0</v>
      </c>
      <c r="F12" s="521" t="s">
        <v>300</v>
      </c>
      <c r="G12" s="522"/>
      <c r="H12" s="526" t="s">
        <v>322</v>
      </c>
      <c r="I12" s="527"/>
      <c r="J12" s="521" t="s">
        <v>306</v>
      </c>
      <c r="K12" s="522"/>
      <c r="L12" s="523" t="s">
        <v>301</v>
      </c>
      <c r="M12" s="524"/>
      <c r="N12" s="524"/>
      <c r="O12" s="525"/>
      <c r="P12" s="523" t="s">
        <v>302</v>
      </c>
      <c r="Q12" s="524"/>
      <c r="R12" s="524"/>
      <c r="S12" s="525"/>
    </row>
    <row r="13" spans="2:27" x14ac:dyDescent="0.25">
      <c r="B13" s="519" t="s">
        <v>104</v>
      </c>
      <c r="C13" s="520"/>
      <c r="D13" s="224">
        <v>0</v>
      </c>
      <c r="F13" s="241"/>
      <c r="G13" s="242" t="s">
        <v>303</v>
      </c>
      <c r="H13" s="241"/>
      <c r="I13" s="242" t="s">
        <v>303</v>
      </c>
      <c r="J13" s="241"/>
      <c r="K13" s="242" t="s">
        <v>303</v>
      </c>
      <c r="L13" s="241" t="s">
        <v>304</v>
      </c>
      <c r="M13" s="243" t="s">
        <v>303</v>
      </c>
      <c r="N13" s="243" t="s">
        <v>305</v>
      </c>
      <c r="O13" s="242" t="s">
        <v>303</v>
      </c>
      <c r="P13" s="241" t="s">
        <v>304</v>
      </c>
      <c r="Q13" s="243" t="s">
        <v>303</v>
      </c>
      <c r="R13" s="243" t="s">
        <v>305</v>
      </c>
      <c r="S13" s="242" t="s">
        <v>303</v>
      </c>
    </row>
    <row r="14" spans="2:27" ht="15.75" thickBot="1" x14ac:dyDescent="0.3">
      <c r="B14" s="519" t="s">
        <v>105</v>
      </c>
      <c r="C14" s="520"/>
      <c r="D14" s="224">
        <v>0</v>
      </c>
      <c r="F14" s="260">
        <v>253752.02252072014</v>
      </c>
      <c r="G14" s="261" t="s">
        <v>307</v>
      </c>
      <c r="H14" s="260">
        <v>28545.190519275271</v>
      </c>
      <c r="I14" s="261" t="s">
        <v>321</v>
      </c>
      <c r="J14" s="232">
        <v>3774</v>
      </c>
      <c r="K14" s="231" t="s">
        <v>308</v>
      </c>
      <c r="L14" s="260">
        <f>P9</f>
        <v>224</v>
      </c>
      <c r="M14" s="234" t="str">
        <f>Q9</f>
        <v>kPa</v>
      </c>
      <c r="N14" s="234">
        <v>45.902206518766263</v>
      </c>
      <c r="O14" s="261" t="s">
        <v>309</v>
      </c>
      <c r="P14" s="232">
        <v>1159</v>
      </c>
      <c r="Q14" s="233" t="s">
        <v>360</v>
      </c>
      <c r="R14" s="234">
        <v>112.41819933258614</v>
      </c>
      <c r="S14" s="261" t="s">
        <v>309</v>
      </c>
    </row>
    <row r="15" spans="2:27" ht="15.75" thickBot="1" x14ac:dyDescent="0.3">
      <c r="B15" s="519" t="s">
        <v>106</v>
      </c>
      <c r="C15" s="520"/>
      <c r="D15" s="224">
        <v>0</v>
      </c>
      <c r="F15" s="514" t="s">
        <v>342</v>
      </c>
      <c r="G15" s="515"/>
      <c r="H15" s="515"/>
      <c r="I15" s="516"/>
    </row>
    <row r="16" spans="2:27" ht="15.75" thickBot="1" x14ac:dyDescent="0.3">
      <c r="B16" s="519" t="s">
        <v>107</v>
      </c>
      <c r="C16" s="520"/>
      <c r="D16" s="224">
        <v>0</v>
      </c>
    </row>
    <row r="17" spans="2:19" ht="15.75" thickBot="1" x14ac:dyDescent="0.3">
      <c r="B17" s="519" t="s">
        <v>108</v>
      </c>
      <c r="C17" s="520"/>
      <c r="D17" s="224">
        <v>0</v>
      </c>
      <c r="F17" s="541" t="s">
        <v>331</v>
      </c>
      <c r="G17" s="542"/>
      <c r="H17" s="542"/>
      <c r="I17" s="543"/>
      <c r="J17" s="254"/>
      <c r="K17" s="541" t="s">
        <v>331</v>
      </c>
      <c r="L17" s="542"/>
      <c r="M17" s="542"/>
      <c r="N17" s="543"/>
      <c r="O17" s="541" t="s">
        <v>332</v>
      </c>
      <c r="P17" s="543"/>
      <c r="R17" s="415"/>
    </row>
    <row r="18" spans="2:19" ht="15" customHeight="1" x14ac:dyDescent="0.25">
      <c r="B18" s="519" t="s">
        <v>109</v>
      </c>
      <c r="C18" s="520"/>
      <c r="D18" s="224">
        <v>0</v>
      </c>
      <c r="F18" s="531" t="s">
        <v>323</v>
      </c>
      <c r="G18" s="255" t="s">
        <v>313</v>
      </c>
      <c r="H18" s="537" t="s">
        <v>320</v>
      </c>
      <c r="I18" s="538"/>
      <c r="J18" s="247"/>
      <c r="K18" s="531" t="s">
        <v>323</v>
      </c>
      <c r="L18" s="255" t="s">
        <v>313</v>
      </c>
      <c r="M18" s="537" t="s">
        <v>320</v>
      </c>
      <c r="N18" s="538"/>
      <c r="O18" s="562" t="s">
        <v>333</v>
      </c>
      <c r="P18" s="563"/>
      <c r="R18" s="415"/>
    </row>
    <row r="19" spans="2:19" ht="15.75" thickBot="1" x14ac:dyDescent="0.3">
      <c r="B19" s="519" t="s">
        <v>110</v>
      </c>
      <c r="C19" s="520"/>
      <c r="D19" s="224">
        <v>0</v>
      </c>
      <c r="F19" s="532"/>
      <c r="G19" s="244">
        <v>1.8662659904294905</v>
      </c>
      <c r="H19" s="533">
        <v>1.0152825727437298</v>
      </c>
      <c r="I19" s="534"/>
      <c r="J19" s="247"/>
      <c r="K19" s="532"/>
      <c r="L19" s="244">
        <v>4.5923715669783451</v>
      </c>
      <c r="M19" s="533">
        <v>1.0014445285409057</v>
      </c>
      <c r="N19" s="534"/>
      <c r="O19" s="564"/>
      <c r="P19" s="565"/>
    </row>
    <row r="20" spans="2:19" ht="15" customHeight="1" thickBot="1" x14ac:dyDescent="0.3">
      <c r="B20" s="519" t="s">
        <v>298</v>
      </c>
      <c r="C20" s="520"/>
      <c r="D20" s="224">
        <v>0</v>
      </c>
      <c r="F20" s="531" t="s">
        <v>311</v>
      </c>
      <c r="G20" s="535">
        <v>0.79291789160158044</v>
      </c>
      <c r="H20" s="537" t="s">
        <v>324</v>
      </c>
      <c r="I20" s="538"/>
      <c r="J20" s="247"/>
      <c r="K20" s="531" t="s">
        <v>311</v>
      </c>
      <c r="L20" s="535">
        <v>0.90609030842694083</v>
      </c>
      <c r="M20" s="537" t="s">
        <v>324</v>
      </c>
      <c r="N20" s="538"/>
      <c r="O20" s="556" t="s">
        <v>339</v>
      </c>
      <c r="P20" s="557"/>
    </row>
    <row r="21" spans="2:19" ht="15.75" thickBot="1" x14ac:dyDescent="0.3">
      <c r="F21" s="532"/>
      <c r="G21" s="536"/>
      <c r="H21" s="546">
        <v>-1.2852169656465073E-2</v>
      </c>
      <c r="I21" s="547"/>
      <c r="J21" s="247"/>
      <c r="K21" s="532"/>
      <c r="L21" s="536"/>
      <c r="M21" s="546">
        <v>1.1444753683164222E-2</v>
      </c>
      <c r="N21" s="547"/>
      <c r="O21" s="558"/>
      <c r="P21" s="559"/>
      <c r="R21" s="578" t="s">
        <v>419</v>
      </c>
      <c r="S21" s="579"/>
    </row>
    <row r="22" spans="2:19" ht="15.75" thickBot="1" x14ac:dyDescent="0.3">
      <c r="B22" s="586" t="s">
        <v>372</v>
      </c>
      <c r="C22" s="587"/>
      <c r="D22" s="588"/>
      <c r="F22" s="531" t="s">
        <v>312</v>
      </c>
      <c r="G22" s="535">
        <v>1584073.48764541</v>
      </c>
      <c r="H22" s="544" t="s">
        <v>326</v>
      </c>
      <c r="I22" s="545"/>
      <c r="J22" s="247"/>
      <c r="K22" s="531" t="s">
        <v>312</v>
      </c>
      <c r="L22" s="535">
        <v>6025473.5221382696</v>
      </c>
      <c r="M22" s="544" t="s">
        <v>326</v>
      </c>
      <c r="N22" s="545"/>
      <c r="O22" s="558"/>
      <c r="P22" s="559"/>
      <c r="R22" s="580"/>
      <c r="S22" s="581"/>
    </row>
    <row r="23" spans="2:19" ht="15.75" thickBot="1" x14ac:dyDescent="0.3">
      <c r="B23" s="589" t="s">
        <v>373</v>
      </c>
      <c r="C23" s="591" t="s">
        <v>374</v>
      </c>
      <c r="D23" s="274" t="s">
        <v>375</v>
      </c>
      <c r="F23" s="532"/>
      <c r="G23" s="536"/>
      <c r="H23" s="550">
        <v>0.45990677176579392</v>
      </c>
      <c r="I23" s="551"/>
      <c r="J23" s="247"/>
      <c r="K23" s="532"/>
      <c r="L23" s="536"/>
      <c r="M23" s="550">
        <v>0.53165848172920782</v>
      </c>
      <c r="N23" s="551"/>
      <c r="O23" s="560"/>
      <c r="P23" s="561"/>
      <c r="R23" s="582" t="s">
        <v>420</v>
      </c>
      <c r="S23" s="583"/>
    </row>
    <row r="24" spans="2:19" ht="15.75" thickBot="1" x14ac:dyDescent="0.3">
      <c r="B24" s="590"/>
      <c r="C24" s="592"/>
      <c r="D24" s="275">
        <v>0.01</v>
      </c>
      <c r="F24" s="531" t="s">
        <v>325</v>
      </c>
      <c r="G24" s="535">
        <v>6.5080147324787882E-2</v>
      </c>
      <c r="H24" s="544" t="s">
        <v>340</v>
      </c>
      <c r="I24" s="545"/>
      <c r="J24" s="247"/>
      <c r="K24" s="531" t="s">
        <v>325</v>
      </c>
      <c r="L24" s="535">
        <v>0.11871324891291708</v>
      </c>
      <c r="M24" s="544" t="s">
        <v>340</v>
      </c>
      <c r="N24" s="545"/>
      <c r="O24" s="552" t="s">
        <v>334</v>
      </c>
      <c r="P24" s="553"/>
      <c r="R24" s="584"/>
      <c r="S24" s="585"/>
    </row>
    <row r="25" spans="2:19" ht="15.75" thickBot="1" x14ac:dyDescent="0.3">
      <c r="B25" s="589" t="s">
        <v>377</v>
      </c>
      <c r="C25" s="591" t="s">
        <v>415</v>
      </c>
      <c r="D25" s="274" t="s">
        <v>376</v>
      </c>
      <c r="F25" s="532"/>
      <c r="G25" s="536"/>
      <c r="H25" s="533">
        <v>1.0399955546984283</v>
      </c>
      <c r="I25" s="534"/>
      <c r="J25" s="247"/>
      <c r="K25" s="532"/>
      <c r="L25" s="536"/>
      <c r="M25" s="533">
        <v>1.0030643174904303</v>
      </c>
      <c r="N25" s="534"/>
      <c r="O25" s="554"/>
      <c r="P25" s="555"/>
    </row>
    <row r="26" spans="2:19" ht="15" customHeight="1" thickBot="1" x14ac:dyDescent="0.3">
      <c r="B26" s="590"/>
      <c r="C26" s="592"/>
      <c r="D26" s="275">
        <v>3</v>
      </c>
      <c r="F26" s="548" t="s">
        <v>328</v>
      </c>
      <c r="G26" s="535">
        <v>2.1632835960797991</v>
      </c>
      <c r="H26" s="544" t="s">
        <v>341</v>
      </c>
      <c r="I26" s="545"/>
      <c r="J26" s="247"/>
      <c r="K26" s="548" t="s">
        <v>328</v>
      </c>
      <c r="L26" s="535">
        <v>3.9833442802668779</v>
      </c>
      <c r="M26" s="544" t="s">
        <v>341</v>
      </c>
      <c r="N26" s="545"/>
    </row>
    <row r="27" spans="2:19" ht="15.75" thickBot="1" x14ac:dyDescent="0.3">
      <c r="B27" s="589" t="s">
        <v>378</v>
      </c>
      <c r="C27" s="591" t="s">
        <v>415</v>
      </c>
      <c r="D27" s="274" t="s">
        <v>376</v>
      </c>
      <c r="F27" s="549"/>
      <c r="G27" s="536"/>
      <c r="H27" s="533">
        <v>1.0345349274168634</v>
      </c>
      <c r="I27" s="534"/>
      <c r="J27" s="247"/>
      <c r="K27" s="549"/>
      <c r="L27" s="536"/>
      <c r="M27" s="533">
        <v>1.0032935444337996</v>
      </c>
      <c r="N27" s="534"/>
    </row>
    <row r="28" spans="2:19" ht="15" customHeight="1" thickBot="1" x14ac:dyDescent="0.3">
      <c r="B28" s="590"/>
      <c r="C28" s="592"/>
      <c r="D28" s="275">
        <v>4</v>
      </c>
      <c r="F28" s="548" t="s">
        <v>348</v>
      </c>
      <c r="G28" s="535">
        <v>18.621757056162078</v>
      </c>
      <c r="H28" s="544" t="s">
        <v>349</v>
      </c>
      <c r="I28" s="545"/>
      <c r="J28" s="247"/>
      <c r="K28" s="548" t="s">
        <v>348</v>
      </c>
      <c r="L28" s="535">
        <v>44.331536913878331</v>
      </c>
      <c r="M28" s="544" t="s">
        <v>349</v>
      </c>
      <c r="N28" s="545"/>
      <c r="P28" s="570" t="s">
        <v>362</v>
      </c>
      <c r="Q28" s="571"/>
      <c r="R28" s="574">
        <v>3.9960357651347467</v>
      </c>
      <c r="S28" s="566">
        <v>0.97362491092613679</v>
      </c>
    </row>
    <row r="29" spans="2:19" ht="15.75" thickBot="1" x14ac:dyDescent="0.3">
      <c r="F29" s="549"/>
      <c r="G29" s="536"/>
      <c r="H29" s="533">
        <v>0.55298448801462841</v>
      </c>
      <c r="I29" s="534"/>
      <c r="J29" s="248"/>
      <c r="K29" s="549"/>
      <c r="L29" s="536"/>
      <c r="M29" s="533">
        <v>0.53628519665585839</v>
      </c>
      <c r="N29" s="534"/>
      <c r="P29" s="572"/>
      <c r="Q29" s="573"/>
      <c r="R29" s="575"/>
      <c r="S29" s="567"/>
    </row>
    <row r="30" spans="2:19" ht="15" customHeight="1" x14ac:dyDescent="0.25">
      <c r="F30" s="548" t="s">
        <v>350</v>
      </c>
      <c r="G30" s="535">
        <v>34.837972022368341</v>
      </c>
      <c r="H30" s="544" t="s">
        <v>351</v>
      </c>
      <c r="I30" s="545"/>
      <c r="J30" s="246"/>
      <c r="K30" s="548" t="s">
        <v>350</v>
      </c>
      <c r="L30" s="535">
        <v>82.936364975631193</v>
      </c>
      <c r="M30" s="544" t="s">
        <v>351</v>
      </c>
      <c r="N30" s="545"/>
    </row>
    <row r="31" spans="2:19" ht="15.75" thickBot="1" x14ac:dyDescent="0.3">
      <c r="D31"/>
      <c r="F31" s="549"/>
      <c r="G31" s="536"/>
      <c r="H31" s="576">
        <v>1.0345349294460064</v>
      </c>
      <c r="I31" s="577"/>
      <c r="J31" s="246"/>
      <c r="K31" s="549"/>
      <c r="L31" s="536"/>
      <c r="M31" s="576">
        <v>1.003293544441821</v>
      </c>
      <c r="N31" s="577"/>
    </row>
    <row r="32" spans="2:19" ht="15" customHeight="1" x14ac:dyDescent="0.25">
      <c r="D32"/>
      <c r="F32" s="548" t="s">
        <v>327</v>
      </c>
      <c r="G32" s="535">
        <v>349.19867230786303</v>
      </c>
      <c r="H32" s="544" t="s">
        <v>329</v>
      </c>
      <c r="I32" s="545"/>
      <c r="J32" s="246"/>
      <c r="K32" s="548" t="s">
        <v>327</v>
      </c>
      <c r="L32" s="535">
        <v>3790.8074981393911</v>
      </c>
      <c r="M32" s="544" t="s">
        <v>329</v>
      </c>
      <c r="N32" s="545"/>
    </row>
    <row r="33" spans="4:14" ht="15.75" thickBot="1" x14ac:dyDescent="0.3">
      <c r="D33"/>
      <c r="F33" s="549"/>
      <c r="G33" s="536"/>
      <c r="H33" s="533">
        <v>0.48552726783867922</v>
      </c>
      <c r="I33" s="534"/>
      <c r="J33" s="246"/>
      <c r="K33" s="549"/>
      <c r="L33" s="536"/>
      <c r="M33" s="533">
        <v>0.49204062289601269</v>
      </c>
      <c r="N33" s="534"/>
    </row>
    <row r="34" spans="4:14" ht="15" customHeight="1" x14ac:dyDescent="0.25">
      <c r="D34"/>
      <c r="F34" s="548" t="s">
        <v>352</v>
      </c>
      <c r="G34" s="535">
        <v>776.29134447977162</v>
      </c>
      <c r="H34" s="544" t="s">
        <v>353</v>
      </c>
      <c r="I34" s="545"/>
      <c r="J34" s="246"/>
      <c r="K34" s="548" t="s">
        <v>352</v>
      </c>
      <c r="L34" s="535">
        <v>7913.1493084056592</v>
      </c>
      <c r="M34" s="544" t="s">
        <v>353</v>
      </c>
      <c r="N34" s="545"/>
    </row>
    <row r="35" spans="4:14" ht="15.75" thickBot="1" x14ac:dyDescent="0.3">
      <c r="D35"/>
      <c r="F35" s="549"/>
      <c r="G35" s="536"/>
      <c r="H35" s="576">
        <v>1.0793586729327076</v>
      </c>
      <c r="I35" s="577"/>
      <c r="J35" s="246"/>
      <c r="K35" s="549"/>
      <c r="L35" s="536"/>
      <c r="M35" s="576">
        <v>1.0271138581128505</v>
      </c>
      <c r="N35" s="577"/>
    </row>
    <row r="36" spans="4:14" x14ac:dyDescent="0.25">
      <c r="F36" s="548" t="s">
        <v>370</v>
      </c>
      <c r="G36" s="566">
        <v>0.69259343752995117</v>
      </c>
      <c r="H36" s="537" t="s">
        <v>379</v>
      </c>
      <c r="I36" s="538"/>
      <c r="J36" s="246"/>
      <c r="K36" s="548" t="s">
        <v>370</v>
      </c>
      <c r="L36" s="566">
        <v>0.82430525531315957</v>
      </c>
      <c r="M36" s="537" t="s">
        <v>379</v>
      </c>
      <c r="N36" s="538"/>
    </row>
    <row r="37" spans="4:14" ht="15.75" thickBot="1" x14ac:dyDescent="0.3">
      <c r="F37" s="549"/>
      <c r="G37" s="567"/>
      <c r="H37" s="568">
        <v>0.69541791203235626</v>
      </c>
      <c r="I37" s="569"/>
      <c r="J37" s="246"/>
      <c r="K37" s="549"/>
      <c r="L37" s="567"/>
      <c r="M37" s="568">
        <v>0.82513189875524506</v>
      </c>
      <c r="N37" s="569"/>
    </row>
    <row r="256" spans="8:8" x14ac:dyDescent="0.25">
      <c r="H256">
        <v>1.0117164058519745</v>
      </c>
    </row>
  </sheetData>
  <mergeCells count="129">
    <mergeCell ref="R21:S22"/>
    <mergeCell ref="R23:S24"/>
    <mergeCell ref="F36:F37"/>
    <mergeCell ref="K36:K37"/>
    <mergeCell ref="B22:D22"/>
    <mergeCell ref="B23:B24"/>
    <mergeCell ref="C23:C24"/>
    <mergeCell ref="B25:B26"/>
    <mergeCell ref="C25:C26"/>
    <mergeCell ref="B27:B28"/>
    <mergeCell ref="C27:C28"/>
    <mergeCell ref="G36:G37"/>
    <mergeCell ref="H36:I36"/>
    <mergeCell ref="H37:I37"/>
    <mergeCell ref="F28:F29"/>
    <mergeCell ref="G26:G27"/>
    <mergeCell ref="G28:G29"/>
    <mergeCell ref="F26:F27"/>
    <mergeCell ref="K32:K33"/>
    <mergeCell ref="F34:F35"/>
    <mergeCell ref="G34:G35"/>
    <mergeCell ref="H34:I34"/>
    <mergeCell ref="H35:I35"/>
    <mergeCell ref="K30:K31"/>
    <mergeCell ref="K34:K35"/>
    <mergeCell ref="F30:F31"/>
    <mergeCell ref="L36:L37"/>
    <mergeCell ref="M36:N36"/>
    <mergeCell ref="M37:N37"/>
    <mergeCell ref="P28:Q29"/>
    <mergeCell ref="R28:R29"/>
    <mergeCell ref="S28:S29"/>
    <mergeCell ref="L34:L35"/>
    <mergeCell ref="M34:N34"/>
    <mergeCell ref="M35:N35"/>
    <mergeCell ref="L30:L31"/>
    <mergeCell ref="M30:N30"/>
    <mergeCell ref="M31:N31"/>
    <mergeCell ref="L32:L33"/>
    <mergeCell ref="M32:N32"/>
    <mergeCell ref="M33:N33"/>
    <mergeCell ref="M29:N29"/>
    <mergeCell ref="M28:N28"/>
    <mergeCell ref="G30:G31"/>
    <mergeCell ref="H30:I30"/>
    <mergeCell ref="H31:I31"/>
    <mergeCell ref="F32:F33"/>
    <mergeCell ref="G32:G33"/>
    <mergeCell ref="H32:I32"/>
    <mergeCell ref="H33:I33"/>
    <mergeCell ref="O17:P17"/>
    <mergeCell ref="F11:S11"/>
    <mergeCell ref="F12:G12"/>
    <mergeCell ref="J12:K12"/>
    <mergeCell ref="L12:O12"/>
    <mergeCell ref="P12:S12"/>
    <mergeCell ref="M19:N19"/>
    <mergeCell ref="M18:N18"/>
    <mergeCell ref="O24:P25"/>
    <mergeCell ref="O20:P23"/>
    <mergeCell ref="O18:P19"/>
    <mergeCell ref="M24:N24"/>
    <mergeCell ref="M23:N23"/>
    <mergeCell ref="M22:N22"/>
    <mergeCell ref="M21:N21"/>
    <mergeCell ref="M20:N20"/>
    <mergeCell ref="G22:G23"/>
    <mergeCell ref="G24:G25"/>
    <mergeCell ref="H18:I18"/>
    <mergeCell ref="F22:F23"/>
    <mergeCell ref="F24:F25"/>
    <mergeCell ref="F17:I17"/>
    <mergeCell ref="K17:N17"/>
    <mergeCell ref="K18:K19"/>
    <mergeCell ref="M27:N27"/>
    <mergeCell ref="M26:N26"/>
    <mergeCell ref="M25:N25"/>
    <mergeCell ref="K20:K21"/>
    <mergeCell ref="L20:L21"/>
    <mergeCell ref="H21:I21"/>
    <mergeCell ref="K28:K29"/>
    <mergeCell ref="L28:L29"/>
    <mergeCell ref="H22:I22"/>
    <mergeCell ref="H23:I23"/>
    <mergeCell ref="H24:I24"/>
    <mergeCell ref="H25:I25"/>
    <mergeCell ref="H26:I26"/>
    <mergeCell ref="H27:I27"/>
    <mergeCell ref="H28:I28"/>
    <mergeCell ref="H29:I29"/>
    <mergeCell ref="L22:L23"/>
    <mergeCell ref="K24:K25"/>
    <mergeCell ref="L24:L25"/>
    <mergeCell ref="K26:K27"/>
    <mergeCell ref="L26:L27"/>
    <mergeCell ref="K22:K23"/>
    <mergeCell ref="B7:C7"/>
    <mergeCell ref="B6:C6"/>
    <mergeCell ref="F7:I7"/>
    <mergeCell ref="B11:C11"/>
    <mergeCell ref="B10:C10"/>
    <mergeCell ref="B9:C9"/>
    <mergeCell ref="B8:C8"/>
    <mergeCell ref="H12:I12"/>
    <mergeCell ref="K8:K9"/>
    <mergeCell ref="F15:I15"/>
    <mergeCell ref="B3:C3"/>
    <mergeCell ref="B20:C20"/>
    <mergeCell ref="F4:G4"/>
    <mergeCell ref="L4:O4"/>
    <mergeCell ref="P4:S4"/>
    <mergeCell ref="J4:K4"/>
    <mergeCell ref="B17:C17"/>
    <mergeCell ref="B16:C16"/>
    <mergeCell ref="B15:C15"/>
    <mergeCell ref="B14:C14"/>
    <mergeCell ref="B13:C13"/>
    <mergeCell ref="B12:C12"/>
    <mergeCell ref="B4:C4"/>
    <mergeCell ref="B5:C5"/>
    <mergeCell ref="B19:C19"/>
    <mergeCell ref="B18:C18"/>
    <mergeCell ref="H4:I4"/>
    <mergeCell ref="F3:S3"/>
    <mergeCell ref="F18:F19"/>
    <mergeCell ref="H19:I19"/>
    <mergeCell ref="F20:F21"/>
    <mergeCell ref="G20:G21"/>
    <mergeCell ref="H20:I20"/>
  </mergeCells>
  <conditionalFormatting sqref="H19:I19">
    <cfRule type="cellIs" dxfId="85" priority="24" operator="between">
      <formula>1.05</formula>
      <formula>1000</formula>
    </cfRule>
    <cfRule type="cellIs" dxfId="84" priority="25" operator="between">
      <formula>-100</formula>
      <formula>0.95</formula>
    </cfRule>
    <cfRule type="cellIs" dxfId="83" priority="26" operator="between">
      <formula>0.95</formula>
      <formula>1.05</formula>
    </cfRule>
    <cfRule type="cellIs" dxfId="82" priority="27" operator="between">
      <formula>0.95</formula>
      <formula>1.05</formula>
    </cfRule>
  </conditionalFormatting>
  <conditionalFormatting sqref="H25:I25">
    <cfRule type="cellIs" dxfId="62" priority="21" operator="between">
      <formula>1.04</formula>
      <formula>1000</formula>
    </cfRule>
    <cfRule type="cellIs" dxfId="61" priority="22" operator="between">
      <formula>-100</formula>
      <formula>0.96</formula>
    </cfRule>
    <cfRule type="cellIs" dxfId="81" priority="23" operator="between">
      <formula>0.96</formula>
      <formula>1.04</formula>
    </cfRule>
  </conditionalFormatting>
  <conditionalFormatting sqref="G22:G23">
    <cfRule type="cellIs" dxfId="80" priority="20" operator="lessThan">
      <formula>90000</formula>
    </cfRule>
  </conditionalFormatting>
  <conditionalFormatting sqref="M19:N19">
    <cfRule type="cellIs" dxfId="79" priority="16" operator="between">
      <formula>1.05</formula>
      <formula>1000</formula>
    </cfRule>
    <cfRule type="cellIs" dxfId="78" priority="17" operator="between">
      <formula>-100</formula>
      <formula>0.95</formula>
    </cfRule>
    <cfRule type="cellIs" dxfId="77" priority="18" operator="between">
      <formula>0.95</formula>
      <formula>1.05</formula>
    </cfRule>
    <cfRule type="cellIs" dxfId="76" priority="19" operator="between">
      <formula>0.95</formula>
      <formula>1.05</formula>
    </cfRule>
  </conditionalFormatting>
  <conditionalFormatting sqref="M25:N25">
    <cfRule type="cellIs" dxfId="75" priority="13" operator="between">
      <formula>1.04</formula>
      <formula>1000</formula>
    </cfRule>
    <cfRule type="cellIs" dxfId="74" priority="14" operator="between">
      <formula>-100</formula>
      <formula>0.96</formula>
    </cfRule>
    <cfRule type="cellIs" dxfId="73" priority="15" operator="between">
      <formula>0.96</formula>
      <formula>1.04</formula>
    </cfRule>
  </conditionalFormatting>
  <conditionalFormatting sqref="L22:L23">
    <cfRule type="cellIs" dxfId="72" priority="12" operator="lessThan">
      <formula>90000</formula>
    </cfRule>
  </conditionalFormatting>
  <conditionalFormatting sqref="S28">
    <cfRule type="cellIs" dxfId="71" priority="8" operator="between">
      <formula>1.1</formula>
      <formula>1000</formula>
    </cfRule>
    <cfRule type="cellIs" dxfId="70" priority="9" operator="between">
      <formula>-100</formula>
      <formula>0.9</formula>
    </cfRule>
    <cfRule type="cellIs" dxfId="69" priority="10" operator="between">
      <formula>0.9</formula>
      <formula>1.1</formula>
    </cfRule>
  </conditionalFormatting>
  <conditionalFormatting sqref="D24">
    <cfRule type="expression" dxfId="68" priority="6">
      <formula>IF($C$23="No",TRUE,FALSE)</formula>
    </cfRule>
    <cfRule type="expression" dxfId="67" priority="7">
      <formula>"C23=No"</formula>
    </cfRule>
  </conditionalFormatting>
  <conditionalFormatting sqref="D26">
    <cfRule type="expression" dxfId="66" priority="5">
      <formula>IF($C$25="No",TRUE,FALSE)</formula>
    </cfRule>
  </conditionalFormatting>
  <conditionalFormatting sqref="D28">
    <cfRule type="expression" dxfId="65" priority="4">
      <formula>IF($C$27="No",TRUE,FALSE)</formula>
    </cfRule>
  </conditionalFormatting>
  <conditionalFormatting sqref="R23:S24">
    <cfRule type="expression" dxfId="64" priority="2">
      <formula>AND($R$23="READY!",$R$23="READY!")</formula>
    </cfRule>
    <cfRule type="expression" dxfId="63" priority="1">
      <formula>AND($R$23&lt;&gt;"READY!",$R$23&lt;&gt;"READY!")</formula>
    </cfRule>
  </conditionalFormatting>
  <dataValidations count="1">
    <dataValidation type="list" allowBlank="1" showInputMessage="1" showErrorMessage="1" sqref="C23 C25 C27">
      <formula1>"Yes,No"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anilha2.Calcular_Proc">
                <anchor moveWithCells="1" sizeWithCells="1">
                  <from>
                    <xdr:col>17</xdr:col>
                    <xdr:colOff>123825</xdr:colOff>
                    <xdr:row>17</xdr:row>
                    <xdr:rowOff>152400</xdr:rowOff>
                  </from>
                  <to>
                    <xdr:col>18</xdr:col>
                    <xdr:colOff>438150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3"/>
  <dimension ref="A1:AB51"/>
  <sheetViews>
    <sheetView showGridLines="0" zoomScale="80" zoomScaleNormal="80" workbookViewId="0">
      <selection activeCell="E14" sqref="E14"/>
    </sheetView>
  </sheetViews>
  <sheetFormatPr defaultRowHeight="15" x14ac:dyDescent="0.25"/>
  <cols>
    <col min="2" max="2" width="10.42578125" customWidth="1"/>
    <col min="4" max="4" width="14.5703125" bestFit="1" customWidth="1"/>
    <col min="8" max="8" width="11.85546875" customWidth="1"/>
    <col min="9" max="9" width="10.5703125" customWidth="1"/>
    <col min="12" max="12" width="10.5703125" customWidth="1"/>
    <col min="14" max="14" width="11.42578125" customWidth="1"/>
    <col min="16" max="16" width="11.42578125" customWidth="1"/>
    <col min="17" max="17" width="11.140625" customWidth="1"/>
    <col min="18" max="18" width="10.5703125" customWidth="1"/>
    <col min="19" max="19" width="11.5703125" customWidth="1"/>
    <col min="20" max="20" width="12.140625" customWidth="1"/>
    <col min="21" max="21" width="11.5703125" bestFit="1" customWidth="1"/>
    <col min="22" max="22" width="10.42578125" customWidth="1"/>
    <col min="24" max="24" width="9.140625" customWidth="1"/>
    <col min="26" max="26" width="11.7109375" customWidth="1"/>
    <col min="27" max="27" width="11.28515625" customWidth="1"/>
    <col min="28" max="28" width="11.140625" customWidth="1"/>
  </cols>
  <sheetData>
    <row r="1" spans="1:21" x14ac:dyDescent="0.25">
      <c r="A1" s="413"/>
    </row>
    <row r="2" spans="1:21" ht="15.75" thickBot="1" x14ac:dyDescent="0.3"/>
    <row r="3" spans="1:21" ht="15.75" customHeight="1" thickBot="1" x14ac:dyDescent="0.3">
      <c r="B3" s="517" t="s">
        <v>296</v>
      </c>
      <c r="C3" s="518"/>
      <c r="D3" s="225" t="s">
        <v>299</v>
      </c>
      <c r="F3" s="593" t="s">
        <v>410</v>
      </c>
      <c r="G3" s="594"/>
      <c r="H3" s="594"/>
      <c r="I3" s="594"/>
      <c r="J3" s="594"/>
      <c r="K3" s="594"/>
      <c r="L3" s="595"/>
      <c r="M3" s="609" t="s">
        <v>346</v>
      </c>
      <c r="N3" s="610"/>
      <c r="O3" s="611"/>
      <c r="P3" s="609" t="s">
        <v>411</v>
      </c>
      <c r="Q3" s="610"/>
      <c r="R3" s="610"/>
      <c r="S3" s="604" t="s">
        <v>418</v>
      </c>
      <c r="T3" s="539" t="s">
        <v>416</v>
      </c>
      <c r="U3" s="607" t="s">
        <v>417</v>
      </c>
    </row>
    <row r="4" spans="1:21" ht="15.75" thickBot="1" x14ac:dyDescent="0.3">
      <c r="B4" s="519" t="s">
        <v>359</v>
      </c>
      <c r="C4" s="520"/>
      <c r="D4" s="224">
        <v>1</v>
      </c>
      <c r="F4" s="346"/>
      <c r="G4" s="354" t="s">
        <v>306</v>
      </c>
      <c r="H4" s="353">
        <v>3774</v>
      </c>
      <c r="I4" s="352" t="s">
        <v>308</v>
      </c>
      <c r="J4" s="351"/>
      <c r="K4" s="351"/>
      <c r="L4" s="350"/>
      <c r="M4" s="363"/>
      <c r="N4" s="351"/>
      <c r="O4" s="364"/>
      <c r="P4" s="363"/>
      <c r="Q4" s="363"/>
      <c r="R4" s="378"/>
      <c r="S4" s="605"/>
      <c r="T4" s="540"/>
      <c r="U4" s="608"/>
    </row>
    <row r="5" spans="1:21" ht="15" customHeight="1" x14ac:dyDescent="0.25">
      <c r="B5" s="519" t="s">
        <v>319</v>
      </c>
      <c r="C5" s="520"/>
      <c r="D5" s="224">
        <v>0</v>
      </c>
      <c r="F5" s="346"/>
      <c r="G5" s="349" t="s">
        <v>401</v>
      </c>
      <c r="H5" s="348" t="s">
        <v>400</v>
      </c>
      <c r="I5" s="348" t="s">
        <v>399</v>
      </c>
      <c r="J5" s="348" t="s">
        <v>398</v>
      </c>
      <c r="K5" s="348" t="s">
        <v>397</v>
      </c>
      <c r="L5" s="347" t="s">
        <v>396</v>
      </c>
      <c r="M5" s="349" t="s">
        <v>413</v>
      </c>
      <c r="N5" s="348" t="s">
        <v>412</v>
      </c>
      <c r="O5" s="347" t="s">
        <v>414</v>
      </c>
      <c r="P5" s="349" t="s">
        <v>397</v>
      </c>
      <c r="Q5" s="347" t="s">
        <v>396</v>
      </c>
      <c r="R5" s="276" t="s">
        <v>398</v>
      </c>
      <c r="S5" s="605"/>
    </row>
    <row r="6" spans="1:21" ht="15.75" thickBot="1" x14ac:dyDescent="0.3">
      <c r="B6" s="519" t="s">
        <v>96</v>
      </c>
      <c r="C6" s="520"/>
      <c r="D6" s="224">
        <v>0</v>
      </c>
      <c r="F6" s="346"/>
      <c r="G6" s="345" t="s">
        <v>307</v>
      </c>
      <c r="H6" s="344" t="s">
        <v>321</v>
      </c>
      <c r="I6" s="344" t="s">
        <v>360</v>
      </c>
      <c r="J6" s="344" t="s">
        <v>309</v>
      </c>
      <c r="K6" s="344" t="s">
        <v>360</v>
      </c>
      <c r="L6" s="343" t="s">
        <v>309</v>
      </c>
      <c r="M6" s="345" t="s">
        <v>307</v>
      </c>
      <c r="N6" s="344" t="s">
        <v>321</v>
      </c>
      <c r="O6" s="343" t="s">
        <v>309</v>
      </c>
      <c r="P6" s="345" t="s">
        <v>360</v>
      </c>
      <c r="Q6" s="343" t="s">
        <v>309</v>
      </c>
      <c r="R6" s="379" t="s">
        <v>309</v>
      </c>
      <c r="S6" s="606"/>
    </row>
    <row r="7" spans="1:21" x14ac:dyDescent="0.25">
      <c r="B7" s="519" t="s">
        <v>97</v>
      </c>
      <c r="C7" s="520"/>
      <c r="D7" s="224">
        <v>0</v>
      </c>
      <c r="F7" s="342">
        <v>1</v>
      </c>
      <c r="G7" s="341">
        <v>22457.630520586419</v>
      </c>
      <c r="H7" s="341">
        <v>6000</v>
      </c>
      <c r="I7" s="340">
        <v>94</v>
      </c>
      <c r="J7" s="340">
        <v>40</v>
      </c>
      <c r="K7" s="340">
        <v>220</v>
      </c>
      <c r="L7" s="262">
        <v>77</v>
      </c>
      <c r="M7" s="365">
        <v>114505.13210393619</v>
      </c>
      <c r="N7" s="341">
        <v>12847.158290277126</v>
      </c>
      <c r="O7" s="262">
        <v>40</v>
      </c>
      <c r="P7" s="366">
        <v>1320</v>
      </c>
      <c r="Q7" s="367">
        <v>124</v>
      </c>
      <c r="R7" s="376">
        <v>46.205213227321678</v>
      </c>
      <c r="S7" s="409">
        <v>1.1020667272721743</v>
      </c>
    </row>
    <row r="8" spans="1:21" ht="15.75" thickBot="1" x14ac:dyDescent="0.3">
      <c r="B8" s="519" t="s">
        <v>98</v>
      </c>
      <c r="C8" s="520"/>
      <c r="D8" s="224">
        <v>0</v>
      </c>
      <c r="F8" s="342">
        <v>2</v>
      </c>
      <c r="G8" s="341">
        <v>31239.38469885166</v>
      </c>
      <c r="H8" s="341">
        <v>8000</v>
      </c>
      <c r="I8" s="340">
        <v>98</v>
      </c>
      <c r="J8" s="340">
        <v>40</v>
      </c>
      <c r="K8" s="340">
        <v>220</v>
      </c>
      <c r="L8" s="262">
        <v>73</v>
      </c>
      <c r="M8" s="365">
        <v>152673.50947191493</v>
      </c>
      <c r="N8" s="341">
        <v>17129.544387036167</v>
      </c>
      <c r="O8" s="262">
        <v>40</v>
      </c>
      <c r="P8" s="366">
        <v>1310</v>
      </c>
      <c r="Q8" s="374">
        <v>118</v>
      </c>
      <c r="R8" s="376">
        <v>45.717467001073658</v>
      </c>
      <c r="S8" s="410">
        <v>1.0697451070999937</v>
      </c>
    </row>
    <row r="9" spans="1:21" x14ac:dyDescent="0.25">
      <c r="B9" s="519" t="s">
        <v>99</v>
      </c>
      <c r="C9" s="520"/>
      <c r="D9" s="224">
        <v>0</v>
      </c>
      <c r="F9" s="342">
        <v>3</v>
      </c>
      <c r="G9" s="341">
        <v>36786.859768449503</v>
      </c>
      <c r="H9" s="341">
        <v>9000</v>
      </c>
      <c r="I9" s="340">
        <v>102.5</v>
      </c>
      <c r="J9" s="340">
        <v>40</v>
      </c>
      <c r="K9" s="340">
        <v>220</v>
      </c>
      <c r="L9" s="262">
        <v>72</v>
      </c>
      <c r="M9" s="365">
        <v>171757.69815590431</v>
      </c>
      <c r="N9" s="341">
        <v>19270.737435415689</v>
      </c>
      <c r="O9" s="262">
        <v>40</v>
      </c>
      <c r="P9" s="366">
        <v>1260</v>
      </c>
      <c r="Q9" s="374">
        <v>115</v>
      </c>
      <c r="R9" s="376">
        <v>45.753010439290506</v>
      </c>
      <c r="S9" s="414">
        <v>1.0252363045602468</v>
      </c>
      <c r="T9" s="578" t="s">
        <v>419</v>
      </c>
      <c r="U9" s="579"/>
    </row>
    <row r="10" spans="1:21" x14ac:dyDescent="0.25">
      <c r="B10" s="519" t="s">
        <v>100</v>
      </c>
      <c r="C10" s="520"/>
      <c r="D10" s="224">
        <v>0</v>
      </c>
      <c r="F10" s="342">
        <v>4</v>
      </c>
      <c r="G10" s="341">
        <v>43108.858111742957</v>
      </c>
      <c r="H10" s="341">
        <v>10000</v>
      </c>
      <c r="I10" s="340">
        <v>108</v>
      </c>
      <c r="J10" s="340">
        <v>40</v>
      </c>
      <c r="K10" s="340">
        <v>220</v>
      </c>
      <c r="L10" s="262">
        <v>71</v>
      </c>
      <c r="M10" s="365">
        <v>196083.27766873469</v>
      </c>
      <c r="N10" s="341">
        <v>22000</v>
      </c>
      <c r="O10" s="262">
        <v>40</v>
      </c>
      <c r="P10" s="366">
        <v>1185</v>
      </c>
      <c r="Q10" s="374">
        <v>112</v>
      </c>
      <c r="R10" s="376">
        <v>45.690037454943763</v>
      </c>
      <c r="S10" s="414">
        <v>1.0019853063766457</v>
      </c>
      <c r="T10" s="580"/>
      <c r="U10" s="581"/>
    </row>
    <row r="11" spans="1:21" ht="15" customHeight="1" x14ac:dyDescent="0.25">
      <c r="B11" s="519" t="s">
        <v>102</v>
      </c>
      <c r="C11" s="520"/>
      <c r="D11" s="224">
        <v>0</v>
      </c>
      <c r="F11" s="342">
        <v>5</v>
      </c>
      <c r="G11" s="341">
        <v>46546.027543562093</v>
      </c>
      <c r="H11" s="341">
        <v>10500</v>
      </c>
      <c r="I11" s="340">
        <v>111</v>
      </c>
      <c r="J11" s="340">
        <v>40</v>
      </c>
      <c r="K11" s="340">
        <v>220</v>
      </c>
      <c r="L11" s="262">
        <v>70.5</v>
      </c>
      <c r="M11" s="365">
        <v>204996.15392640443</v>
      </c>
      <c r="N11" s="341">
        <v>23000</v>
      </c>
      <c r="O11" s="262">
        <v>40</v>
      </c>
      <c r="P11" s="366">
        <v>1157</v>
      </c>
      <c r="Q11" s="374">
        <v>112</v>
      </c>
      <c r="R11" s="376">
        <v>45.745389445507101</v>
      </c>
      <c r="S11" s="414">
        <v>0.97173059952559637</v>
      </c>
      <c r="T11" s="582" t="s">
        <v>420</v>
      </c>
      <c r="U11" s="583"/>
    </row>
    <row r="12" spans="1:21" ht="15.75" customHeight="1" thickBot="1" x14ac:dyDescent="0.3">
      <c r="B12" s="519" t="s">
        <v>295</v>
      </c>
      <c r="C12" s="520"/>
      <c r="D12" s="224">
        <v>0</v>
      </c>
      <c r="F12" s="342">
        <v>6</v>
      </c>
      <c r="G12" s="341">
        <v>69851.180978331904</v>
      </c>
      <c r="H12" s="341">
        <v>13000</v>
      </c>
      <c r="I12" s="340">
        <v>134</v>
      </c>
      <c r="J12" s="340">
        <v>40</v>
      </c>
      <c r="K12" s="340">
        <v>220</v>
      </c>
      <c r="L12" s="262">
        <v>68</v>
      </c>
      <c r="M12" s="365">
        <v>248094.45289186176</v>
      </c>
      <c r="N12" s="341">
        <v>27835.509628933771</v>
      </c>
      <c r="O12" s="262">
        <v>40</v>
      </c>
      <c r="P12" s="366">
        <v>910</v>
      </c>
      <c r="Q12" s="374">
        <v>110</v>
      </c>
      <c r="R12" s="376">
        <v>46.247772001017097</v>
      </c>
      <c r="S12" s="414">
        <v>0.78999494914407875</v>
      </c>
      <c r="T12" s="584"/>
      <c r="U12" s="585"/>
    </row>
    <row r="13" spans="1:21" x14ac:dyDescent="0.25">
      <c r="B13" s="519" t="s">
        <v>104</v>
      </c>
      <c r="C13" s="520"/>
      <c r="D13" s="224">
        <v>0</v>
      </c>
      <c r="F13" s="342">
        <v>7</v>
      </c>
      <c r="G13" s="341"/>
      <c r="H13" s="341"/>
      <c r="I13" s="340"/>
      <c r="J13" s="340"/>
      <c r="K13" s="340"/>
      <c r="L13" s="262"/>
      <c r="M13" s="365"/>
      <c r="N13" s="341"/>
      <c r="O13" s="262"/>
      <c r="P13" s="366"/>
      <c r="Q13" s="374"/>
      <c r="R13" s="376"/>
      <c r="S13" s="411"/>
    </row>
    <row r="14" spans="1:21" x14ac:dyDescent="0.25">
      <c r="B14" s="519" t="s">
        <v>105</v>
      </c>
      <c r="C14" s="520"/>
      <c r="D14" s="224">
        <v>0</v>
      </c>
      <c r="F14" s="342">
        <v>8</v>
      </c>
      <c r="G14" s="341"/>
      <c r="H14" s="341"/>
      <c r="I14" s="340"/>
      <c r="J14" s="340"/>
      <c r="K14" s="340"/>
      <c r="L14" s="262"/>
      <c r="M14" s="365"/>
      <c r="N14" s="341"/>
      <c r="O14" s="262"/>
      <c r="P14" s="366"/>
      <c r="Q14" s="374"/>
      <c r="R14" s="376"/>
      <c r="S14" s="411"/>
    </row>
    <row r="15" spans="1:21" x14ac:dyDescent="0.25">
      <c r="B15" s="519" t="s">
        <v>106</v>
      </c>
      <c r="C15" s="520"/>
      <c r="D15" s="224">
        <v>0</v>
      </c>
      <c r="F15" s="342">
        <v>9</v>
      </c>
      <c r="G15" s="341"/>
      <c r="H15" s="341"/>
      <c r="I15" s="340"/>
      <c r="J15" s="340"/>
      <c r="K15" s="340"/>
      <c r="L15" s="262"/>
      <c r="M15" s="365"/>
      <c r="N15" s="341"/>
      <c r="O15" s="262"/>
      <c r="P15" s="366"/>
      <c r="Q15" s="374"/>
      <c r="R15" s="376"/>
      <c r="S15" s="411"/>
    </row>
    <row r="16" spans="1:21" ht="15.75" thickBot="1" x14ac:dyDescent="0.3">
      <c r="B16" s="519" t="s">
        <v>107</v>
      </c>
      <c r="C16" s="520"/>
      <c r="D16" s="224">
        <v>0</v>
      </c>
      <c r="F16" s="339">
        <v>10</v>
      </c>
      <c r="G16" s="338"/>
      <c r="H16" s="338"/>
      <c r="I16" s="233"/>
      <c r="J16" s="233"/>
      <c r="K16" s="233"/>
      <c r="L16" s="231"/>
      <c r="M16" s="230"/>
      <c r="N16" s="338"/>
      <c r="O16" s="231"/>
      <c r="P16" s="368"/>
      <c r="Q16" s="375"/>
      <c r="R16" s="377"/>
      <c r="S16" s="412"/>
    </row>
    <row r="17" spans="2:28" x14ac:dyDescent="0.25">
      <c r="B17" s="519" t="s">
        <v>108</v>
      </c>
      <c r="C17" s="520"/>
      <c r="D17" s="224">
        <v>0</v>
      </c>
    </row>
    <row r="18" spans="2:28" ht="15.75" thickBot="1" x14ac:dyDescent="0.3">
      <c r="B18" s="519" t="s">
        <v>109</v>
      </c>
      <c r="C18" s="520"/>
      <c r="D18" s="224">
        <v>0</v>
      </c>
    </row>
    <row r="19" spans="2:28" ht="15.75" thickBot="1" x14ac:dyDescent="0.3">
      <c r="B19" s="519" t="s">
        <v>110</v>
      </c>
      <c r="C19" s="520"/>
      <c r="D19" s="224">
        <v>0</v>
      </c>
      <c r="F19" s="541" t="s">
        <v>409</v>
      </c>
      <c r="G19" s="587"/>
      <c r="H19" s="587"/>
      <c r="I19" s="587"/>
      <c r="J19" s="587"/>
      <c r="K19" s="542"/>
      <c r="L19" s="542"/>
      <c r="M19" s="542"/>
      <c r="N19" s="542"/>
      <c r="O19" s="542"/>
      <c r="P19" s="542"/>
      <c r="Q19" s="542"/>
      <c r="R19" s="542"/>
      <c r="S19" s="542"/>
      <c r="T19" s="542"/>
      <c r="U19" s="542"/>
      <c r="V19" s="542"/>
      <c r="W19" s="542"/>
      <c r="X19" s="542"/>
      <c r="Y19" s="542"/>
      <c r="Z19" s="542"/>
      <c r="AA19" s="542"/>
      <c r="AB19" s="543"/>
    </row>
    <row r="20" spans="2:28" ht="15.75" customHeight="1" thickBot="1" x14ac:dyDescent="0.3">
      <c r="B20" s="519" t="s">
        <v>298</v>
      </c>
      <c r="C20" s="520"/>
      <c r="D20" s="224">
        <v>0</v>
      </c>
      <c r="F20" s="337"/>
      <c r="G20" s="596" t="s">
        <v>323</v>
      </c>
      <c r="H20" s="597"/>
      <c r="I20" s="600" t="s">
        <v>311</v>
      </c>
      <c r="J20" s="597"/>
      <c r="K20" s="601" t="s">
        <v>312</v>
      </c>
      <c r="L20" s="599"/>
      <c r="M20" s="601" t="s">
        <v>325</v>
      </c>
      <c r="N20" s="601"/>
      <c r="O20" s="598" t="s">
        <v>328</v>
      </c>
      <c r="P20" s="599"/>
      <c r="Q20" s="601" t="s">
        <v>348</v>
      </c>
      <c r="R20" s="601"/>
      <c r="S20" s="598" t="s">
        <v>350</v>
      </c>
      <c r="T20" s="599"/>
      <c r="U20" s="598" t="s">
        <v>395</v>
      </c>
      <c r="V20" s="599"/>
      <c r="W20" s="601" t="s">
        <v>327</v>
      </c>
      <c r="X20" s="601"/>
      <c r="Y20" s="598" t="s">
        <v>352</v>
      </c>
      <c r="Z20" s="599"/>
      <c r="AA20" s="601" t="s">
        <v>394</v>
      </c>
      <c r="AB20" s="599"/>
    </row>
    <row r="21" spans="2:28" ht="30.75" thickBot="1" x14ac:dyDescent="0.3">
      <c r="F21" s="336"/>
      <c r="G21" s="329" t="s">
        <v>313</v>
      </c>
      <c r="H21" s="334" t="s">
        <v>320</v>
      </c>
      <c r="I21" s="331" t="s">
        <v>393</v>
      </c>
      <c r="J21" s="334" t="s">
        <v>392</v>
      </c>
      <c r="K21" s="335" t="s">
        <v>391</v>
      </c>
      <c r="L21" s="327" t="s">
        <v>326</v>
      </c>
      <c r="M21" s="329" t="s">
        <v>390</v>
      </c>
      <c r="N21" s="333" t="s">
        <v>340</v>
      </c>
      <c r="O21" s="329" t="s">
        <v>389</v>
      </c>
      <c r="P21" s="334" t="s">
        <v>341</v>
      </c>
      <c r="Q21" s="331" t="s">
        <v>388</v>
      </c>
      <c r="R21" s="333" t="s">
        <v>349</v>
      </c>
      <c r="S21" s="329" t="s">
        <v>387</v>
      </c>
      <c r="T21" s="327" t="s">
        <v>351</v>
      </c>
      <c r="U21" s="329" t="s">
        <v>386</v>
      </c>
      <c r="V21" s="332" t="s">
        <v>385</v>
      </c>
      <c r="W21" s="331" t="s">
        <v>384</v>
      </c>
      <c r="X21" s="330" t="s">
        <v>329</v>
      </c>
      <c r="Y21" s="329" t="s">
        <v>383</v>
      </c>
      <c r="Z21" s="327" t="s">
        <v>353</v>
      </c>
      <c r="AA21" s="328" t="s">
        <v>382</v>
      </c>
      <c r="AB21" s="327" t="s">
        <v>379</v>
      </c>
    </row>
    <row r="22" spans="2:28" ht="15.75" thickBot="1" x14ac:dyDescent="0.3">
      <c r="B22" s="586" t="s">
        <v>372</v>
      </c>
      <c r="C22" s="587"/>
      <c r="D22" s="588"/>
      <c r="F22" s="373">
        <v>1</v>
      </c>
      <c r="G22" s="326">
        <v>2.112466134761855</v>
      </c>
      <c r="H22" s="318">
        <v>1.1492199199544111</v>
      </c>
      <c r="I22" s="325">
        <v>0.79120838499138291</v>
      </c>
      <c r="J22" s="324">
        <v>-1.4561676266662604E-2</v>
      </c>
      <c r="K22" s="321">
        <v>1349569.133571781</v>
      </c>
      <c r="L22" s="324">
        <v>0.39182272055972556</v>
      </c>
      <c r="M22" s="321">
        <v>3.6682093372355784E-2</v>
      </c>
      <c r="N22" s="318">
        <v>0.58618819428751245</v>
      </c>
      <c r="O22" s="319">
        <v>2.6145284829827187</v>
      </c>
      <c r="P22" s="316">
        <v>1.2503312276177743</v>
      </c>
      <c r="Q22" s="321">
        <v>22.506117235275429</v>
      </c>
      <c r="R22" s="323">
        <v>0.66833294404019028</v>
      </c>
      <c r="S22" s="319">
        <v>42.10491468821408</v>
      </c>
      <c r="T22" s="318">
        <v>1.2503312454104343</v>
      </c>
      <c r="U22" s="319">
        <v>8206.6772655007953</v>
      </c>
      <c r="V22" s="322">
        <v>0.58618819428751257</v>
      </c>
      <c r="W22" s="321">
        <v>198.9566263561081</v>
      </c>
      <c r="X22" s="320">
        <v>0.27663011023111206</v>
      </c>
      <c r="Y22" s="319">
        <v>521.13773518549738</v>
      </c>
      <c r="Z22" s="318">
        <v>0.7245920468711764</v>
      </c>
      <c r="AA22" s="317">
        <v>0.7056731612812156</v>
      </c>
      <c r="AB22" s="316">
        <v>0.7056731612812156</v>
      </c>
    </row>
    <row r="23" spans="2:28" ht="15" customHeight="1" x14ac:dyDescent="0.25">
      <c r="B23" s="589" t="s">
        <v>373</v>
      </c>
      <c r="C23" s="591" t="s">
        <v>374</v>
      </c>
      <c r="D23" s="274" t="s">
        <v>375</v>
      </c>
      <c r="F23" s="314">
        <v>2</v>
      </c>
      <c r="G23" s="305">
        <v>2.0505113308060468</v>
      </c>
      <c r="H23" s="313">
        <v>1.1155153820821806</v>
      </c>
      <c r="I23" s="307">
        <v>0.79163419486663988</v>
      </c>
      <c r="J23" s="312">
        <v>-1.4135866391405627E-2</v>
      </c>
      <c r="K23" s="307">
        <v>1408061.2762814094</v>
      </c>
      <c r="L23" s="312">
        <v>0.40880484464491257</v>
      </c>
      <c r="M23" s="307">
        <v>4.8909457829807712E-2</v>
      </c>
      <c r="N23" s="311">
        <v>0.78158425905001672</v>
      </c>
      <c r="O23" s="305">
        <v>2.4695269243786622</v>
      </c>
      <c r="P23" s="310">
        <v>1.1809879491046753</v>
      </c>
      <c r="Q23" s="307">
        <v>21.25792961808888</v>
      </c>
      <c r="R23" s="309">
        <v>0.63126724780355603</v>
      </c>
      <c r="S23" s="305">
        <v>39.769778637710971</v>
      </c>
      <c r="T23" s="304">
        <v>1.18098794931665</v>
      </c>
      <c r="U23" s="305">
        <v>10942.236354001061</v>
      </c>
      <c r="V23" s="308">
        <v>0.78158425905001683</v>
      </c>
      <c r="W23" s="307">
        <v>244.6740432310126</v>
      </c>
      <c r="X23" s="306">
        <v>0.34019579437651104</v>
      </c>
      <c r="Y23" s="305">
        <v>614.30239650767885</v>
      </c>
      <c r="Z23" s="304">
        <v>0.85412857452153113</v>
      </c>
      <c r="AA23" s="303">
        <v>0.75393349234841445</v>
      </c>
      <c r="AB23" s="302">
        <v>0.75393349234841445</v>
      </c>
    </row>
    <row r="24" spans="2:28" ht="15.75" thickBot="1" x14ac:dyDescent="0.3">
      <c r="B24" s="590"/>
      <c r="C24" s="592"/>
      <c r="D24" s="275">
        <v>0.01</v>
      </c>
      <c r="F24" s="314">
        <v>3</v>
      </c>
      <c r="G24" s="305">
        <v>1.9651958632964308</v>
      </c>
      <c r="H24" s="313">
        <v>1.0691022192253348</v>
      </c>
      <c r="I24" s="307">
        <v>0.7921144757464188</v>
      </c>
      <c r="J24" s="312">
        <v>-1.3655585511626711E-2</v>
      </c>
      <c r="K24" s="307">
        <v>1473971.4661628488</v>
      </c>
      <c r="L24" s="312">
        <v>0.42794066308468726</v>
      </c>
      <c r="M24" s="307">
        <v>5.502314005853369E-2</v>
      </c>
      <c r="N24" s="311">
        <v>0.87928229143126901</v>
      </c>
      <c r="O24" s="305">
        <v>2.327605509605299</v>
      </c>
      <c r="P24" s="310">
        <v>1.1131176704239121</v>
      </c>
      <c r="Q24" s="307">
        <v>20.036256180650728</v>
      </c>
      <c r="R24" s="309">
        <v>0.59498890638360624</v>
      </c>
      <c r="S24" s="305">
        <v>37.484246467377005</v>
      </c>
      <c r="T24" s="304">
        <v>1.1131176708439283</v>
      </c>
      <c r="U24" s="315">
        <v>12310.015898251195</v>
      </c>
      <c r="V24" s="308">
        <v>0.87928229143126901</v>
      </c>
      <c r="W24" s="307">
        <v>279.28496270724111</v>
      </c>
      <c r="X24" s="306">
        <v>0.38831895893385626</v>
      </c>
      <c r="Y24" s="305">
        <v>669.89099646545867</v>
      </c>
      <c r="Z24" s="304">
        <v>0.9314191921579098</v>
      </c>
      <c r="AA24" s="303">
        <v>0.73309328068200297</v>
      </c>
      <c r="AB24" s="302">
        <v>0.73309328068200297</v>
      </c>
    </row>
    <row r="25" spans="2:28" ht="15" customHeight="1" x14ac:dyDescent="0.25">
      <c r="B25" s="589" t="s">
        <v>377</v>
      </c>
      <c r="C25" s="591" t="s">
        <v>415</v>
      </c>
      <c r="D25" s="274" t="s">
        <v>376</v>
      </c>
      <c r="F25" s="314">
        <v>4</v>
      </c>
      <c r="G25" s="305">
        <v>1.8692886176220738</v>
      </c>
      <c r="H25" s="313">
        <v>1.0169269367991585</v>
      </c>
      <c r="I25" s="307">
        <v>0.79270328564720494</v>
      </c>
      <c r="J25" s="312">
        <v>-1.3066775610840575E-2</v>
      </c>
      <c r="K25" s="307">
        <v>1554682.1041788226</v>
      </c>
      <c r="L25" s="312">
        <v>0.45137352100863298</v>
      </c>
      <c r="M25" s="307">
        <v>6.113682228725964E-2</v>
      </c>
      <c r="N25" s="311">
        <v>0.97698032381252087</v>
      </c>
      <c r="O25" s="305">
        <v>2.1636173370030627</v>
      </c>
      <c r="P25" s="310">
        <v>1.0346945304584849</v>
      </c>
      <c r="Q25" s="307">
        <v>18.624629930714438</v>
      </c>
      <c r="R25" s="309">
        <v>0.55306979978508464</v>
      </c>
      <c r="S25" s="305">
        <v>34.843346620601622</v>
      </c>
      <c r="T25" s="304">
        <v>1.0346945314343339</v>
      </c>
      <c r="U25" s="305">
        <v>13677.795442501325</v>
      </c>
      <c r="V25" s="308">
        <v>0.97698032381252087</v>
      </c>
      <c r="W25" s="307">
        <v>317.13386135680338</v>
      </c>
      <c r="X25" s="306">
        <v>0.44094422302943009</v>
      </c>
      <c r="Y25" s="305">
        <v>718.38036600915348</v>
      </c>
      <c r="Z25" s="304">
        <v>0.99883901067604586</v>
      </c>
      <c r="AA25" s="303">
        <v>0.70324888959426568</v>
      </c>
      <c r="AB25" s="302">
        <v>0.70605330835331781</v>
      </c>
    </row>
    <row r="26" spans="2:28" ht="15.75" customHeight="1" thickBot="1" x14ac:dyDescent="0.3">
      <c r="B26" s="590"/>
      <c r="C26" s="592"/>
      <c r="D26" s="275">
        <v>3</v>
      </c>
      <c r="F26" s="314">
        <v>5</v>
      </c>
      <c r="G26" s="305">
        <v>1.8207278332459582</v>
      </c>
      <c r="H26" s="313">
        <v>0.99050898868850901</v>
      </c>
      <c r="I26" s="307">
        <v>0.79302529356933382</v>
      </c>
      <c r="J26" s="312">
        <v>-1.2744767688711689E-2</v>
      </c>
      <c r="K26" s="307">
        <v>1598777.6102321756</v>
      </c>
      <c r="L26" s="312">
        <v>0.46417584488851865</v>
      </c>
      <c r="M26" s="307">
        <v>6.4193663401622622E-2</v>
      </c>
      <c r="N26" s="311">
        <v>1.0258293400031469</v>
      </c>
      <c r="O26" s="305">
        <v>2.077992154335135</v>
      </c>
      <c r="P26" s="310">
        <v>0.99374648171584901</v>
      </c>
      <c r="Q26" s="307">
        <v>17.887559972609495</v>
      </c>
      <c r="R26" s="309">
        <v>0.53118205567026433</v>
      </c>
      <c r="S26" s="305">
        <v>33.464420776421072</v>
      </c>
      <c r="T26" s="304">
        <v>0.99374648342497618</v>
      </c>
      <c r="U26" s="305">
        <v>14361.685214626392</v>
      </c>
      <c r="V26" s="308">
        <v>1.0258293400031471</v>
      </c>
      <c r="W26" s="307">
        <v>337.00066534739199</v>
      </c>
      <c r="X26" s="306">
        <v>0.46856710887400455</v>
      </c>
      <c r="Y26" s="305">
        <v>742.24860042036789</v>
      </c>
      <c r="Z26" s="304">
        <v>1.0320255018079285</v>
      </c>
      <c r="AA26" s="303">
        <v>0.68627861470732698</v>
      </c>
      <c r="AB26" s="302">
        <v>0.68912072120134127</v>
      </c>
    </row>
    <row r="27" spans="2:28" x14ac:dyDescent="0.25">
      <c r="B27" s="589" t="s">
        <v>378</v>
      </c>
      <c r="C27" s="591" t="s">
        <v>415</v>
      </c>
      <c r="D27" s="274" t="s">
        <v>376</v>
      </c>
      <c r="F27" s="314">
        <v>6</v>
      </c>
      <c r="G27" s="305">
        <v>1.5142799754334948</v>
      </c>
      <c r="H27" s="313">
        <v>0.82379579180919349</v>
      </c>
      <c r="I27" s="307">
        <v>0.79551394604184722</v>
      </c>
      <c r="J27" s="312">
        <v>-1.0256115216198292E-2</v>
      </c>
      <c r="K27" s="307">
        <v>1938534.3825596469</v>
      </c>
      <c r="L27" s="312">
        <v>0.56281801115503138</v>
      </c>
      <c r="M27" s="307">
        <v>7.9477868973437532E-2</v>
      </c>
      <c r="N27" s="311">
        <v>1.2700744209562771</v>
      </c>
      <c r="O27" s="305">
        <v>1.4965032736802197</v>
      </c>
      <c r="P27" s="310">
        <v>0.7156643301051292</v>
      </c>
      <c r="Q27" s="307">
        <v>12.882046739837762</v>
      </c>
      <c r="R27" s="309">
        <v>0.38254027262440604</v>
      </c>
      <c r="S27" s="305">
        <v>24.100008989407826</v>
      </c>
      <c r="T27" s="304">
        <v>0.71566453648613404</v>
      </c>
      <c r="U27" s="305">
        <v>17781.134075251724</v>
      </c>
      <c r="V27" s="308">
        <v>1.2700744209562773</v>
      </c>
      <c r="W27" s="307">
        <v>467.68593621733208</v>
      </c>
      <c r="X27" s="306">
        <v>0.6502724461047813</v>
      </c>
      <c r="Y27" s="305">
        <v>853.35690060674983</v>
      </c>
      <c r="Z27" s="304">
        <v>1.1865109386143247</v>
      </c>
      <c r="AA27" s="303">
        <v>0.53444351606358975</v>
      </c>
      <c r="AB27" s="302">
        <v>0.53444351606358975</v>
      </c>
    </row>
    <row r="28" spans="2:28" ht="15" customHeight="1" thickBot="1" x14ac:dyDescent="0.3">
      <c r="B28" s="590"/>
      <c r="C28" s="592"/>
      <c r="D28" s="275">
        <v>4</v>
      </c>
      <c r="F28" s="314">
        <v>7</v>
      </c>
      <c r="G28" s="305"/>
      <c r="H28" s="313"/>
      <c r="I28" s="307"/>
      <c r="J28" s="312"/>
      <c r="K28" s="307"/>
      <c r="L28" s="312"/>
      <c r="M28" s="307"/>
      <c r="N28" s="311"/>
      <c r="O28" s="305"/>
      <c r="P28" s="310"/>
      <c r="Q28" s="307"/>
      <c r="R28" s="309"/>
      <c r="S28" s="305"/>
      <c r="T28" s="304"/>
      <c r="U28" s="305"/>
      <c r="V28" s="308"/>
      <c r="W28" s="307"/>
      <c r="X28" s="306"/>
      <c r="Y28" s="305"/>
      <c r="Z28" s="304"/>
      <c r="AA28" s="303"/>
      <c r="AB28" s="302"/>
    </row>
    <row r="29" spans="2:28" x14ac:dyDescent="0.25">
      <c r="F29" s="314">
        <v>8</v>
      </c>
      <c r="G29" s="305"/>
      <c r="H29" s="313"/>
      <c r="I29" s="307"/>
      <c r="J29" s="312"/>
      <c r="K29" s="307"/>
      <c r="L29" s="312"/>
      <c r="M29" s="307"/>
      <c r="N29" s="311"/>
      <c r="O29" s="305"/>
      <c r="P29" s="310"/>
      <c r="Q29" s="307"/>
      <c r="R29" s="309"/>
      <c r="S29" s="305"/>
      <c r="T29" s="304"/>
      <c r="U29" s="305"/>
      <c r="V29" s="308"/>
      <c r="W29" s="307"/>
      <c r="X29" s="306"/>
      <c r="Y29" s="305"/>
      <c r="Z29" s="304"/>
      <c r="AA29" s="303"/>
      <c r="AB29" s="302"/>
    </row>
    <row r="30" spans="2:28" ht="15" customHeight="1" x14ac:dyDescent="0.25">
      <c r="F30" s="314">
        <v>9</v>
      </c>
      <c r="G30" s="305"/>
      <c r="H30" s="313"/>
      <c r="I30" s="307"/>
      <c r="J30" s="312"/>
      <c r="K30" s="307"/>
      <c r="L30" s="312"/>
      <c r="M30" s="307"/>
      <c r="N30" s="311"/>
      <c r="O30" s="305"/>
      <c r="P30" s="310"/>
      <c r="Q30" s="307"/>
      <c r="R30" s="309"/>
      <c r="S30" s="305"/>
      <c r="T30" s="304"/>
      <c r="U30" s="305"/>
      <c r="V30" s="308"/>
      <c r="W30" s="307"/>
      <c r="X30" s="306"/>
      <c r="Y30" s="305"/>
      <c r="Z30" s="304"/>
      <c r="AA30" s="303"/>
      <c r="AB30" s="302"/>
    </row>
    <row r="31" spans="2:28" ht="15.75" thickBot="1" x14ac:dyDescent="0.3">
      <c r="F31" s="301">
        <v>10</v>
      </c>
      <c r="G31" s="292"/>
      <c r="H31" s="300"/>
      <c r="I31" s="294"/>
      <c r="J31" s="299"/>
      <c r="K31" s="294"/>
      <c r="L31" s="299"/>
      <c r="M31" s="294"/>
      <c r="N31" s="298"/>
      <c r="O31" s="292"/>
      <c r="P31" s="297"/>
      <c r="Q31" s="294"/>
      <c r="R31" s="296"/>
      <c r="S31" s="292"/>
      <c r="T31" s="291"/>
      <c r="U31" s="292"/>
      <c r="V31" s="295"/>
      <c r="W31" s="294"/>
      <c r="X31" s="293"/>
      <c r="Y31" s="292"/>
      <c r="Z31" s="291"/>
      <c r="AA31" s="290"/>
      <c r="AB31" s="289"/>
    </row>
    <row r="32" spans="2:28" ht="15" customHeight="1" thickBot="1" x14ac:dyDescent="0.3">
      <c r="F32" s="288" t="s">
        <v>381</v>
      </c>
      <c r="G32" s="280">
        <v>1.8464047681831022</v>
      </c>
      <c r="H32" s="277">
        <v>1.0044777073475022</v>
      </c>
      <c r="I32" s="282">
        <v>0.79285502909416161</v>
      </c>
      <c r="J32" s="287">
        <v>-1.2915032163883861E-2</v>
      </c>
      <c r="K32" s="282">
        <v>1575461.7298464119</v>
      </c>
      <c r="L32" s="287">
        <v>0.45740650535804456</v>
      </c>
      <c r="M32" s="282">
        <v>6.2577332211443376E-2</v>
      </c>
      <c r="N32" s="286">
        <v>1</v>
      </c>
      <c r="O32" s="280">
        <v>2.1232672105886912</v>
      </c>
      <c r="P32" s="285">
        <v>1.015398116813506</v>
      </c>
      <c r="Q32" s="282">
        <v>18.277292090851237</v>
      </c>
      <c r="R32" s="284">
        <v>0.54275538976643922</v>
      </c>
      <c r="S32" s="280">
        <v>34.193539748428137</v>
      </c>
      <c r="T32" s="279">
        <v>1.0153981181349059</v>
      </c>
      <c r="U32" s="280">
        <v>14000.072579891637</v>
      </c>
      <c r="V32" s="283">
        <v>1</v>
      </c>
      <c r="W32" s="282">
        <v>326.49592082917468</v>
      </c>
      <c r="X32" s="281">
        <v>0.45396126896182754</v>
      </c>
      <c r="Y32" s="280">
        <v>729.62806494271842</v>
      </c>
      <c r="Z32" s="279">
        <v>1.0144778574580038</v>
      </c>
      <c r="AA32" s="278">
        <v>0.69525179439821538</v>
      </c>
      <c r="AB32" s="277">
        <v>0.69807397317625508</v>
      </c>
    </row>
    <row r="33" spans="6:28" ht="15" customHeight="1" thickBot="1" x14ac:dyDescent="0.3">
      <c r="F33" s="369"/>
      <c r="G33" s="370"/>
      <c r="H33" s="370"/>
      <c r="I33" s="370"/>
      <c r="J33" s="370"/>
      <c r="K33" s="370"/>
      <c r="L33" s="370"/>
      <c r="M33" s="370"/>
      <c r="N33" s="370"/>
      <c r="O33" s="370"/>
      <c r="P33" s="370"/>
      <c r="Q33" s="370"/>
      <c r="R33" s="370"/>
      <c r="S33" s="370"/>
      <c r="T33" s="370"/>
      <c r="U33" s="370"/>
      <c r="V33" s="370"/>
      <c r="W33" s="370"/>
      <c r="X33" s="370"/>
      <c r="Y33" s="370"/>
      <c r="Z33" s="371"/>
      <c r="AA33" s="371"/>
      <c r="AB33" s="372"/>
    </row>
    <row r="34" spans="6:28" ht="15.75" thickBot="1" x14ac:dyDescent="0.3">
      <c r="F34" s="541" t="s">
        <v>408</v>
      </c>
      <c r="G34" s="587"/>
      <c r="H34" s="587"/>
      <c r="I34" s="587"/>
      <c r="J34" s="587"/>
      <c r="K34" s="542"/>
      <c r="L34" s="542"/>
      <c r="M34" s="542"/>
      <c r="N34" s="542"/>
      <c r="O34" s="542"/>
      <c r="P34" s="542"/>
      <c r="Q34" s="542"/>
      <c r="R34" s="542"/>
      <c r="S34" s="542"/>
      <c r="T34" s="542"/>
      <c r="U34" s="542"/>
      <c r="V34" s="542"/>
      <c r="W34" s="542"/>
      <c r="X34" s="542"/>
      <c r="Y34" s="542"/>
      <c r="Z34" s="542"/>
      <c r="AA34" s="542"/>
      <c r="AB34" s="543"/>
    </row>
    <row r="35" spans="6:28" ht="15.75" thickBot="1" x14ac:dyDescent="0.3">
      <c r="F35" s="337"/>
      <c r="G35" s="596" t="s">
        <v>323</v>
      </c>
      <c r="H35" s="597"/>
      <c r="I35" s="600" t="s">
        <v>311</v>
      </c>
      <c r="J35" s="597"/>
      <c r="K35" s="601" t="s">
        <v>312</v>
      </c>
      <c r="L35" s="599"/>
      <c r="M35" s="601" t="s">
        <v>325</v>
      </c>
      <c r="N35" s="601"/>
      <c r="O35" s="598" t="s">
        <v>328</v>
      </c>
      <c r="P35" s="599"/>
      <c r="Q35" s="601" t="s">
        <v>348</v>
      </c>
      <c r="R35" s="601"/>
      <c r="S35" s="598" t="s">
        <v>350</v>
      </c>
      <c r="T35" s="599"/>
      <c r="U35" s="598" t="s">
        <v>395</v>
      </c>
      <c r="V35" s="599"/>
      <c r="W35" s="601" t="s">
        <v>327</v>
      </c>
      <c r="X35" s="601"/>
      <c r="Y35" s="598" t="s">
        <v>352</v>
      </c>
      <c r="Z35" s="599"/>
      <c r="AA35" s="601" t="s">
        <v>394</v>
      </c>
      <c r="AB35" s="599"/>
    </row>
    <row r="36" spans="6:28" ht="30.75" thickBot="1" x14ac:dyDescent="0.3">
      <c r="F36" s="336"/>
      <c r="G36" s="329" t="s">
        <v>313</v>
      </c>
      <c r="H36" s="334" t="s">
        <v>320</v>
      </c>
      <c r="I36" s="331" t="s">
        <v>393</v>
      </c>
      <c r="J36" s="334" t="s">
        <v>392</v>
      </c>
      <c r="K36" s="335" t="s">
        <v>391</v>
      </c>
      <c r="L36" s="327" t="s">
        <v>326</v>
      </c>
      <c r="M36" s="329" t="s">
        <v>390</v>
      </c>
      <c r="N36" s="333" t="s">
        <v>340</v>
      </c>
      <c r="O36" s="329" t="s">
        <v>389</v>
      </c>
      <c r="P36" s="334" t="s">
        <v>341</v>
      </c>
      <c r="Q36" s="331" t="s">
        <v>388</v>
      </c>
      <c r="R36" s="333" t="s">
        <v>349</v>
      </c>
      <c r="S36" s="329" t="s">
        <v>387</v>
      </c>
      <c r="T36" s="327" t="s">
        <v>351</v>
      </c>
      <c r="U36" s="329" t="s">
        <v>386</v>
      </c>
      <c r="V36" s="332" t="s">
        <v>385</v>
      </c>
      <c r="W36" s="331" t="s">
        <v>384</v>
      </c>
      <c r="X36" s="330" t="s">
        <v>329</v>
      </c>
      <c r="Y36" s="329" t="s">
        <v>383</v>
      </c>
      <c r="Z36" s="327" t="s">
        <v>353</v>
      </c>
      <c r="AA36" s="328" t="s">
        <v>382</v>
      </c>
      <c r="AB36" s="327" t="s">
        <v>379</v>
      </c>
    </row>
    <row r="37" spans="6:28" x14ac:dyDescent="0.25">
      <c r="F37" s="373">
        <v>1</v>
      </c>
      <c r="G37" s="326">
        <v>5.189947159576243</v>
      </c>
      <c r="H37" s="318">
        <v>1.1317560242177482</v>
      </c>
      <c r="I37" s="325">
        <v>0.90512213294560329</v>
      </c>
      <c r="J37" s="324">
        <v>1.0476578201826681E-2</v>
      </c>
      <c r="K37" s="321">
        <v>5901659.1996348463</v>
      </c>
      <c r="L37" s="324">
        <v>0.52073370802027941</v>
      </c>
      <c r="M37" s="321">
        <v>6.5355322613017408E-2</v>
      </c>
      <c r="N37" s="318">
        <v>0.55221799311786979</v>
      </c>
      <c r="O37" s="319">
        <v>4.4135455346939301</v>
      </c>
      <c r="P37" s="316">
        <v>1.1116492654072994</v>
      </c>
      <c r="Q37" s="321">
        <v>49.1193437036424</v>
      </c>
      <c r="R37" s="323">
        <v>0.59420400760949033</v>
      </c>
      <c r="S37" s="319">
        <v>91.893492704076337</v>
      </c>
      <c r="T37" s="318">
        <v>1.111649251004682</v>
      </c>
      <c r="U37" s="319">
        <v>21494.671999772527</v>
      </c>
      <c r="V37" s="322">
        <v>0.55221799311786979</v>
      </c>
      <c r="W37" s="321">
        <v>2445.3874499592671</v>
      </c>
      <c r="X37" s="320">
        <v>0.31740729770388515</v>
      </c>
      <c r="Y37" s="319">
        <v>5211.8198242548569</v>
      </c>
      <c r="Z37" s="318">
        <v>0.6764857023224794</v>
      </c>
      <c r="AA37" s="317">
        <v>0.7641962163031073</v>
      </c>
      <c r="AB37" s="316">
        <v>0.7641962163031073</v>
      </c>
    </row>
    <row r="38" spans="6:28" x14ac:dyDescent="0.25">
      <c r="F38" s="314">
        <v>2</v>
      </c>
      <c r="G38" s="305">
        <v>5.2521216739043712</v>
      </c>
      <c r="H38" s="313">
        <v>1.1453142318410832</v>
      </c>
      <c r="I38" s="307">
        <v>0.90590959377154878</v>
      </c>
      <c r="J38" s="312">
        <v>1.1264039027772177E-2</v>
      </c>
      <c r="K38" s="307">
        <v>5920947.1991705243</v>
      </c>
      <c r="L38" s="312">
        <v>0.52243558730180906</v>
      </c>
      <c r="M38" s="307">
        <v>8.7606479116863159E-2</v>
      </c>
      <c r="N38" s="311">
        <v>0.74022852535656958</v>
      </c>
      <c r="O38" s="305">
        <v>4.3434286419646604</v>
      </c>
      <c r="P38" s="310">
        <v>1.0939887718919559</v>
      </c>
      <c r="Q38" s="307">
        <v>48.338996990024711</v>
      </c>
      <c r="R38" s="309">
        <v>0.58476403733313376</v>
      </c>
      <c r="S38" s="305">
        <v>90.433604979483519</v>
      </c>
      <c r="T38" s="304">
        <v>1.0939887720323496</v>
      </c>
      <c r="U38" s="305">
        <v>28812.841225219905</v>
      </c>
      <c r="V38" s="308">
        <v>0.74022852535656947</v>
      </c>
      <c r="W38" s="307">
        <v>2978.9018934081764</v>
      </c>
      <c r="X38" s="306">
        <v>0.38665660123814977</v>
      </c>
      <c r="Y38" s="305">
        <v>6337.8726326642063</v>
      </c>
      <c r="Z38" s="304">
        <v>0.82264551801754893</v>
      </c>
      <c r="AA38" s="303">
        <v>0.82899347513665866</v>
      </c>
      <c r="AB38" s="302">
        <v>0.82899347513665866</v>
      </c>
    </row>
    <row r="39" spans="6:28" x14ac:dyDescent="0.25">
      <c r="F39" s="314">
        <v>3</v>
      </c>
      <c r="G39" s="305">
        <v>5.0852395444010581</v>
      </c>
      <c r="H39" s="313">
        <v>1.108922752391978</v>
      </c>
      <c r="I39" s="307">
        <v>0.9058521185948113</v>
      </c>
      <c r="J39" s="312">
        <v>1.120656385103469E-2</v>
      </c>
      <c r="K39" s="307">
        <v>5919538.1270575672</v>
      </c>
      <c r="L39" s="312">
        <v>0.52231125763087627</v>
      </c>
      <c r="M39" s="307">
        <v>9.9352304061411337E-2</v>
      </c>
      <c r="N39" s="311">
        <v>0.83947454877227035</v>
      </c>
      <c r="O39" s="305">
        <v>4.2330798845102144</v>
      </c>
      <c r="P39" s="310">
        <v>1.066194991540407</v>
      </c>
      <c r="Q39" s="307">
        <v>47.110900779831042</v>
      </c>
      <c r="R39" s="309">
        <v>0.56990757479100518</v>
      </c>
      <c r="S39" s="305">
        <v>88.136056933272016</v>
      </c>
      <c r="T39" s="304">
        <v>1.0661949915418949</v>
      </c>
      <c r="U39" s="315">
        <v>32675.918392549538</v>
      </c>
      <c r="V39" s="308">
        <v>0.83947454877227035</v>
      </c>
      <c r="W39" s="307">
        <v>3218.4456167883459</v>
      </c>
      <c r="X39" s="306">
        <v>0.41774898535964883</v>
      </c>
      <c r="Y39" s="305">
        <v>6848.3905004903781</v>
      </c>
      <c r="Z39" s="304">
        <v>0.88890990358923139</v>
      </c>
      <c r="AA39" s="303">
        <v>0.84795263393430254</v>
      </c>
      <c r="AB39" s="302">
        <v>0.84795263393430254</v>
      </c>
    </row>
    <row r="40" spans="6:28" x14ac:dyDescent="0.25">
      <c r="F40" s="314">
        <v>4</v>
      </c>
      <c r="G40" s="305">
        <v>4.8001838205855165</v>
      </c>
      <c r="H40" s="313">
        <v>1.046761515919518</v>
      </c>
      <c r="I40" s="307">
        <v>0.90595395822810709</v>
      </c>
      <c r="J40" s="312">
        <v>1.1308403484330487E-2</v>
      </c>
      <c r="K40" s="307">
        <v>5922034.9842175459</v>
      </c>
      <c r="L40" s="312">
        <v>0.522531568164462</v>
      </c>
      <c r="M40" s="307">
        <v>0.11392747368535715</v>
      </c>
      <c r="N40" s="311">
        <v>0.96262704190195414</v>
      </c>
      <c r="O40" s="305">
        <v>4.0731455503263723</v>
      </c>
      <c r="P40" s="310">
        <v>1.0259119846672937</v>
      </c>
      <c r="Q40" s="307">
        <v>45.330955502494255</v>
      </c>
      <c r="R40" s="309">
        <v>0.54837531199245571</v>
      </c>
      <c r="S40" s="305">
        <v>84.806098952690306</v>
      </c>
      <c r="T40" s="304">
        <v>1.025911994497573</v>
      </c>
      <c r="U40" s="305">
        <v>37469.536997461182</v>
      </c>
      <c r="V40" s="308">
        <v>0.96262704190195403</v>
      </c>
      <c r="W40" s="307">
        <v>3533.9398937364881</v>
      </c>
      <c r="X40" s="306">
        <v>0.45869962730754094</v>
      </c>
      <c r="Y40" s="305">
        <v>7511.6949074263002</v>
      </c>
      <c r="Z40" s="304">
        <v>0.97500573243799571</v>
      </c>
      <c r="AA40" s="303">
        <v>0.85227570908016359</v>
      </c>
      <c r="AB40" s="302">
        <v>0.85299435746816832</v>
      </c>
    </row>
    <row r="41" spans="6:28" x14ac:dyDescent="0.25">
      <c r="F41" s="314">
        <v>5</v>
      </c>
      <c r="G41" s="305">
        <v>4.6746920424116531</v>
      </c>
      <c r="H41" s="313">
        <v>1.0193959047540928</v>
      </c>
      <c r="I41" s="307">
        <v>0.90586444084644502</v>
      </c>
      <c r="J41" s="312">
        <v>1.1218886102668413E-2</v>
      </c>
      <c r="K41" s="307">
        <v>5919840.2046998059</v>
      </c>
      <c r="L41" s="312">
        <v>0.52233791149302444</v>
      </c>
      <c r="M41" s="307">
        <v>0.11983346182019032</v>
      </c>
      <c r="N41" s="311">
        <v>1.0125295255069531</v>
      </c>
      <c r="O41" s="305">
        <v>4.0204522276381551</v>
      </c>
      <c r="P41" s="310">
        <v>1.0126400034454464</v>
      </c>
      <c r="Q41" s="307">
        <v>44.74451962964244</v>
      </c>
      <c r="R41" s="309">
        <v>0.54128111000236112</v>
      </c>
      <c r="S41" s="305">
        <v>83.708981663484735</v>
      </c>
      <c r="T41" s="304">
        <v>1.0126400034466163</v>
      </c>
      <c r="U41" s="305">
        <v>39411.953815513916</v>
      </c>
      <c r="V41" s="308">
        <v>1.0125295255069531</v>
      </c>
      <c r="W41" s="307">
        <v>3733.6307363418105</v>
      </c>
      <c r="X41" s="306">
        <v>0.4846191725839441</v>
      </c>
      <c r="Y41" s="305">
        <v>7936.9103792569294</v>
      </c>
      <c r="Z41" s="304">
        <v>1.0301980063076808</v>
      </c>
      <c r="AA41" s="303">
        <v>0.83736886508892427</v>
      </c>
      <c r="AB41" s="302">
        <v>0.83816059160406153</v>
      </c>
    </row>
    <row r="42" spans="6:28" x14ac:dyDescent="0.25">
      <c r="F42" s="314">
        <v>6</v>
      </c>
      <c r="G42" s="305">
        <v>3.6216969225633298</v>
      </c>
      <c r="H42" s="313">
        <v>0.78977245508923444</v>
      </c>
      <c r="I42" s="307">
        <v>0.90505354932178195</v>
      </c>
      <c r="J42" s="312">
        <v>1.0407994578005342E-2</v>
      </c>
      <c r="K42" s="307">
        <v>5899981.1097362265</v>
      </c>
      <c r="L42" s="312">
        <v>0.52058564152817266</v>
      </c>
      <c r="M42" s="307">
        <v>0.15173894684950548</v>
      </c>
      <c r="N42" s="311">
        <v>1.2821140399414572</v>
      </c>
      <c r="O42" s="305">
        <v>3.4651649095370631</v>
      </c>
      <c r="P42" s="310">
        <v>0.87277858490909588</v>
      </c>
      <c r="Q42" s="307">
        <v>38.564601824858116</v>
      </c>
      <c r="R42" s="309">
        <v>0.4665217250143287</v>
      </c>
      <c r="S42" s="305">
        <v>72.147462385695817</v>
      </c>
      <c r="T42" s="304">
        <v>0.87277858489091353</v>
      </c>
      <c r="U42" s="305">
        <v>49905.329232838922</v>
      </c>
      <c r="V42" s="308">
        <v>1.282114039941457</v>
      </c>
      <c r="W42" s="307">
        <v>4720.9817801831105</v>
      </c>
      <c r="X42" s="306">
        <v>0.61277572573710493</v>
      </c>
      <c r="Y42" s="305">
        <v>10063.285255047214</v>
      </c>
      <c r="Z42" s="304">
        <v>1.3061979928297638</v>
      </c>
      <c r="AA42" s="303">
        <v>0.72145108693428051</v>
      </c>
      <c r="AB42" s="302">
        <v>0.72145108693428051</v>
      </c>
    </row>
    <row r="43" spans="6:28" x14ac:dyDescent="0.25">
      <c r="F43" s="314">
        <v>7</v>
      </c>
      <c r="G43" s="305"/>
      <c r="H43" s="313"/>
      <c r="I43" s="307"/>
      <c r="J43" s="312"/>
      <c r="K43" s="307"/>
      <c r="L43" s="312"/>
      <c r="M43" s="307"/>
      <c r="N43" s="311"/>
      <c r="O43" s="305"/>
      <c r="P43" s="310"/>
      <c r="Q43" s="307"/>
      <c r="R43" s="309"/>
      <c r="S43" s="305"/>
      <c r="T43" s="304"/>
      <c r="U43" s="305"/>
      <c r="V43" s="308"/>
      <c r="W43" s="307"/>
      <c r="X43" s="306"/>
      <c r="Y43" s="305"/>
      <c r="Z43" s="304"/>
      <c r="AA43" s="303"/>
      <c r="AB43" s="302"/>
    </row>
    <row r="44" spans="6:28" x14ac:dyDescent="0.25">
      <c r="F44" s="314">
        <v>8</v>
      </c>
      <c r="G44" s="305"/>
      <c r="H44" s="313"/>
      <c r="I44" s="307"/>
      <c r="J44" s="312"/>
      <c r="K44" s="307"/>
      <c r="L44" s="312"/>
      <c r="M44" s="307"/>
      <c r="N44" s="311"/>
      <c r="O44" s="305"/>
      <c r="P44" s="310"/>
      <c r="Q44" s="307"/>
      <c r="R44" s="309"/>
      <c r="S44" s="305"/>
      <c r="T44" s="304"/>
      <c r="U44" s="305"/>
      <c r="V44" s="308"/>
      <c r="W44" s="307"/>
      <c r="X44" s="306"/>
      <c r="Y44" s="305"/>
      <c r="Z44" s="304"/>
      <c r="AA44" s="303"/>
      <c r="AB44" s="302"/>
    </row>
    <row r="45" spans="6:28" x14ac:dyDescent="0.25">
      <c r="F45" s="314">
        <v>9</v>
      </c>
      <c r="G45" s="305"/>
      <c r="H45" s="313"/>
      <c r="I45" s="307"/>
      <c r="J45" s="312"/>
      <c r="K45" s="307"/>
      <c r="L45" s="312"/>
      <c r="M45" s="307"/>
      <c r="N45" s="311"/>
      <c r="O45" s="305"/>
      <c r="P45" s="310"/>
      <c r="Q45" s="307"/>
      <c r="R45" s="309"/>
      <c r="S45" s="305"/>
      <c r="T45" s="304"/>
      <c r="U45" s="305"/>
      <c r="V45" s="308"/>
      <c r="W45" s="307"/>
      <c r="X45" s="306"/>
      <c r="Y45" s="305"/>
      <c r="Z45" s="304"/>
      <c r="AA45" s="303"/>
      <c r="AB45" s="302"/>
    </row>
    <row r="46" spans="6:28" ht="15.75" thickBot="1" x14ac:dyDescent="0.3">
      <c r="F46" s="301">
        <v>10</v>
      </c>
      <c r="G46" s="292"/>
      <c r="H46" s="300"/>
      <c r="I46" s="294"/>
      <c r="J46" s="299"/>
      <c r="K46" s="294"/>
      <c r="L46" s="299"/>
      <c r="M46" s="294"/>
      <c r="N46" s="298"/>
      <c r="O46" s="292"/>
      <c r="P46" s="297"/>
      <c r="Q46" s="294"/>
      <c r="R46" s="296"/>
      <c r="S46" s="292"/>
      <c r="T46" s="291"/>
      <c r="U46" s="292"/>
      <c r="V46" s="295"/>
      <c r="W46" s="294"/>
      <c r="X46" s="293"/>
      <c r="Y46" s="292"/>
      <c r="Z46" s="291"/>
      <c r="AA46" s="290"/>
      <c r="AB46" s="289"/>
    </row>
    <row r="47" spans="6:28" ht="15.75" thickBot="1" x14ac:dyDescent="0.3">
      <c r="F47" s="288" t="s">
        <v>381</v>
      </c>
      <c r="G47" s="280">
        <v>4.7062005430303442</v>
      </c>
      <c r="H47" s="277">
        <v>1.0262668678473246</v>
      </c>
      <c r="I47" s="282">
        <v>0.90588691688843381</v>
      </c>
      <c r="J47" s="287">
        <v>1.1241362144657197E-2</v>
      </c>
      <c r="K47" s="282">
        <v>5920391.2703775652</v>
      </c>
      <c r="L47" s="287">
        <v>0.52238653484859876</v>
      </c>
      <c r="M47" s="282">
        <v>0.11835058514485504</v>
      </c>
      <c r="N47" s="286">
        <v>1</v>
      </c>
      <c r="O47" s="280">
        <v>4.0336824775770976</v>
      </c>
      <c r="P47" s="285">
        <v>1.0159723351298413</v>
      </c>
      <c r="Q47" s="282">
        <v>44.891762065214387</v>
      </c>
      <c r="R47" s="284">
        <v>0.54306232364875895</v>
      </c>
      <c r="S47" s="280">
        <v>83.984446090626861</v>
      </c>
      <c r="T47" s="279">
        <v>1.015972337598906</v>
      </c>
      <c r="U47" s="280">
        <v>38924.251414575934</v>
      </c>
      <c r="V47" s="283">
        <v>1</v>
      </c>
      <c r="W47" s="282">
        <v>3683.4923198707374</v>
      </c>
      <c r="X47" s="281">
        <v>0.47811128800168684</v>
      </c>
      <c r="Y47" s="280">
        <v>7830.147194033033</v>
      </c>
      <c r="Z47" s="279">
        <v>1.0163403192091636</v>
      </c>
      <c r="AA47" s="278">
        <v>0.84111167844256052</v>
      </c>
      <c r="AB47" s="277">
        <v>0.84188505648700529</v>
      </c>
    </row>
    <row r="48" spans="6:28" x14ac:dyDescent="0.25">
      <c r="Y48" s="602" t="s">
        <v>380</v>
      </c>
      <c r="Z48" s="602"/>
      <c r="AA48" s="602"/>
      <c r="AB48" s="602"/>
    </row>
    <row r="49" spans="18:28" x14ac:dyDescent="0.25">
      <c r="Y49" s="603"/>
      <c r="Z49" s="603"/>
      <c r="AA49" s="603"/>
      <c r="AB49" s="603"/>
    </row>
    <row r="50" spans="18:28" x14ac:dyDescent="0.25">
      <c r="Y50" s="603"/>
      <c r="Z50" s="603"/>
      <c r="AA50" s="603"/>
      <c r="AB50" s="603"/>
    </row>
    <row r="51" spans="18:28" x14ac:dyDescent="0.25">
      <c r="R51" s="616"/>
    </row>
  </sheetData>
  <mergeCells count="58">
    <mergeCell ref="S3:S6"/>
    <mergeCell ref="T3:T4"/>
    <mergeCell ref="U3:U4"/>
    <mergeCell ref="C27:C28"/>
    <mergeCell ref="M3:O3"/>
    <mergeCell ref="P3:R3"/>
    <mergeCell ref="F19:AB19"/>
    <mergeCell ref="B14:C14"/>
    <mergeCell ref="B15:C15"/>
    <mergeCell ref="B16:C16"/>
    <mergeCell ref="B17:C17"/>
    <mergeCell ref="B18:C18"/>
    <mergeCell ref="B19:C19"/>
    <mergeCell ref="B8:C8"/>
    <mergeCell ref="B9:C9"/>
    <mergeCell ref="W20:X20"/>
    <mergeCell ref="Y20:Z20"/>
    <mergeCell ref="AA20:AB20"/>
    <mergeCell ref="T9:U10"/>
    <mergeCell ref="Y48:AB50"/>
    <mergeCell ref="B25:B26"/>
    <mergeCell ref="C25:C26"/>
    <mergeCell ref="F34:AB34"/>
    <mergeCell ref="G35:H35"/>
    <mergeCell ref="I35:J35"/>
    <mergeCell ref="K35:L35"/>
    <mergeCell ref="M35:N35"/>
    <mergeCell ref="O35:P35"/>
    <mergeCell ref="Q35:R35"/>
    <mergeCell ref="S35:T35"/>
    <mergeCell ref="U35:V35"/>
    <mergeCell ref="W35:X35"/>
    <mergeCell ref="Y35:Z35"/>
    <mergeCell ref="AA35:AB35"/>
    <mergeCell ref="B27:B28"/>
    <mergeCell ref="B22:D22"/>
    <mergeCell ref="B23:B24"/>
    <mergeCell ref="C23:C24"/>
    <mergeCell ref="B20:C20"/>
    <mergeCell ref="G20:H20"/>
    <mergeCell ref="S20:T20"/>
    <mergeCell ref="U20:V20"/>
    <mergeCell ref="B10:C10"/>
    <mergeCell ref="B11:C11"/>
    <mergeCell ref="B12:C12"/>
    <mergeCell ref="B13:C13"/>
    <mergeCell ref="I20:J20"/>
    <mergeCell ref="K20:L20"/>
    <mergeCell ref="M20:N20"/>
    <mergeCell ref="O20:P20"/>
    <mergeCell ref="Q20:R20"/>
    <mergeCell ref="T11:U12"/>
    <mergeCell ref="B7:C7"/>
    <mergeCell ref="B3:C3"/>
    <mergeCell ref="F3:L3"/>
    <mergeCell ref="B4:C4"/>
    <mergeCell ref="B5:C5"/>
    <mergeCell ref="B6:C6"/>
  </mergeCells>
  <conditionalFormatting sqref="H23:H31">
    <cfRule type="expression" dxfId="60" priority="62">
      <formula>AND(AND(P23&gt;0.96,P23&lt;1.04),AND(H23&gt;0.95,H23&lt;1.05))</formula>
    </cfRule>
  </conditionalFormatting>
  <conditionalFormatting sqref="N23:N31">
    <cfRule type="expression" dxfId="59" priority="61">
      <formula>AND(V23&gt;0.96,V23&lt;1.04)</formula>
    </cfRule>
  </conditionalFormatting>
  <conditionalFormatting sqref="H22:H31">
    <cfRule type="expression" dxfId="58" priority="59">
      <formula>AND(AND(N22&gt;0.96,N22&lt;1.04),OR(H22&gt;1.05,H22&lt;0.95))</formula>
    </cfRule>
    <cfRule type="expression" dxfId="57" priority="60">
      <formula>AND(AND(N22&gt;0.96,N22&lt;1.04),AND(H22&lt;1.05,H22&gt;0.95))</formula>
    </cfRule>
  </conditionalFormatting>
  <conditionalFormatting sqref="N22:N31">
    <cfRule type="expression" dxfId="56" priority="52">
      <formula>AND(N22=N10000,N22=N10001)</formula>
    </cfRule>
    <cfRule type="expression" dxfId="55" priority="57">
      <formula>OR(N22&lt;0.96,N22&gt;1.04)</formula>
    </cfRule>
    <cfRule type="expression" dxfId="54" priority="58">
      <formula>AND(N22&gt;0.96,N22&lt;1.04)</formula>
    </cfRule>
  </conditionalFormatting>
  <conditionalFormatting sqref="Z22">
    <cfRule type="expression" dxfId="53" priority="53">
      <formula>AND(AND(N22&gt;0.96,N22&lt;1.04),Z22&gt;1.07)</formula>
    </cfRule>
    <cfRule type="expression" dxfId="52" priority="54">
      <formula>AND(AND(N22&gt;0.96,N22&lt;1.04),Z22&lt;1.07)</formula>
    </cfRule>
  </conditionalFormatting>
  <conditionalFormatting sqref="T22:T31">
    <cfRule type="expression" dxfId="51" priority="55">
      <formula>AND(AND(N22&gt;0.96,N22&lt;1.04),OR(T22&gt;1.05,T22&lt;1))</formula>
    </cfRule>
    <cfRule type="expression" dxfId="50" priority="56">
      <formula>AND(AND(N22&gt;0.96,N22&lt;1.04),AND(T22&lt;1.05,T22&gt;1))</formula>
    </cfRule>
  </conditionalFormatting>
  <conditionalFormatting sqref="F22:F31">
    <cfRule type="expression" dxfId="49" priority="51">
      <formula>AND(N22&gt;0.96,N22&lt;1.04)</formula>
    </cfRule>
  </conditionalFormatting>
  <conditionalFormatting sqref="Z23:Z31">
    <cfRule type="expression" dxfId="48" priority="49">
      <formula>AND(AND(N23&gt;0.96,N23&lt;1.04),Z23&gt;1.07)</formula>
    </cfRule>
    <cfRule type="expression" dxfId="47" priority="50">
      <formula>AND(AND(N23&gt;0.96,N23&lt;1.04),Z23&lt;1.07)</formula>
    </cfRule>
  </conditionalFormatting>
  <conditionalFormatting sqref="H32">
    <cfRule type="expression" dxfId="46" priority="48">
      <formula>AND(AND(P32&gt;0.96,P32&lt;1.04),AND(H32&gt;0.95,H32&lt;1.05))</formula>
    </cfRule>
  </conditionalFormatting>
  <conditionalFormatting sqref="N32">
    <cfRule type="expression" dxfId="45" priority="47">
      <formula>AND(V32&gt;0.96,V32&lt;1.04)</formula>
    </cfRule>
  </conditionalFormatting>
  <conditionalFormatting sqref="H32">
    <cfRule type="expression" dxfId="44" priority="45">
      <formula>AND(AND(N32&gt;0.96,N32&lt;1.04),OR(H32&gt;1.05,H32&lt;0.95))</formula>
    </cfRule>
    <cfRule type="expression" dxfId="43" priority="46">
      <formula>AND(AND(N32&gt;0.96,N32&lt;1.04),AND(H32&lt;1.05,H32&gt;0.95))</formula>
    </cfRule>
  </conditionalFormatting>
  <conditionalFormatting sqref="N32">
    <cfRule type="expression" dxfId="42" priority="40">
      <formula>AND(N32=N10010,N32=N10011)</formula>
    </cfRule>
    <cfRule type="expression" dxfId="41" priority="43">
      <formula>OR(N32&lt;0.96,N32&gt;1.04)</formula>
    </cfRule>
    <cfRule type="expression" dxfId="40" priority="44">
      <formula>AND(N32&gt;0.96,N32&lt;1.04)</formula>
    </cfRule>
  </conditionalFormatting>
  <conditionalFormatting sqref="T32">
    <cfRule type="expression" dxfId="39" priority="41">
      <formula>AND(AND(N32&gt;0.96,N32&lt;1.04),OR(T32&gt;1.05,T32&lt;1))</formula>
    </cfRule>
    <cfRule type="expression" dxfId="38" priority="42">
      <formula>AND(AND(N32&gt;0.96,N32&lt;1.04),AND(T32&lt;1.05,T32&gt;1))</formula>
    </cfRule>
  </conditionalFormatting>
  <conditionalFormatting sqref="F32">
    <cfRule type="expression" dxfId="37" priority="39">
      <formula>AND(N32&gt;0.96,N32&lt;1.04)</formula>
    </cfRule>
  </conditionalFormatting>
  <conditionalFormatting sqref="Z32">
    <cfRule type="expression" dxfId="0" priority="37">
      <formula>AND(AND(N32&gt;0.96,N32&lt;1.04),Z32&gt;1.07)</formula>
    </cfRule>
    <cfRule type="expression" dxfId="36" priority="38">
      <formula>AND(AND(N32&gt;0.96,N32&lt;1.04),Z32&lt;1.07)</formula>
    </cfRule>
  </conditionalFormatting>
  <conditionalFormatting sqref="N38:N46">
    <cfRule type="expression" dxfId="35" priority="35">
      <formula>AND(V38&gt;0.96,V38&lt;1.04)</formula>
    </cfRule>
  </conditionalFormatting>
  <conditionalFormatting sqref="H37:H46">
    <cfRule type="expression" dxfId="34" priority="33">
      <formula>AND(AND(N37&gt;0.96,N37&lt;1.04),OR(H37&gt;1.05,H37&lt;0.95))</formula>
    </cfRule>
    <cfRule type="expression" dxfId="33" priority="34">
      <formula>AND(AND(N37&gt;0.96,N37&lt;1.04),AND(H37&lt;1.05,H37&gt;0.95))</formula>
    </cfRule>
  </conditionalFormatting>
  <conditionalFormatting sqref="N37:N46">
    <cfRule type="expression" dxfId="32" priority="26">
      <formula>AND(N37=N10015,N37=N10016)</formula>
    </cfRule>
    <cfRule type="expression" dxfId="31" priority="31">
      <formula>OR(N37&lt;0.96,N37&gt;1.04)</formula>
    </cfRule>
    <cfRule type="expression" dxfId="30" priority="32">
      <formula>AND(N37&gt;0.96,N37&lt;1.04)</formula>
    </cfRule>
  </conditionalFormatting>
  <conditionalFormatting sqref="Z37">
    <cfRule type="expression" dxfId="29" priority="27">
      <formula>AND(AND(N37&gt;0.96,N37&lt;1.04),Z37&gt;1.07)</formula>
    </cfRule>
    <cfRule type="expression" dxfId="28" priority="28">
      <formula>AND(AND(N37&gt;0.96,N37&lt;1.04),Z37&lt;1.07)</formula>
    </cfRule>
  </conditionalFormatting>
  <conditionalFormatting sqref="T37:T46">
    <cfRule type="expression" dxfId="27" priority="29">
      <formula>AND(AND(N37&gt;0.96,N37&lt;1.04),OR(T37&gt;1.05,T37&lt;1))</formula>
    </cfRule>
    <cfRule type="expression" dxfId="26" priority="30">
      <formula>AND(AND(N37&gt;0.96,N37&lt;1.04),AND(T37&lt;1.05,T37&gt;1))</formula>
    </cfRule>
  </conditionalFormatting>
  <conditionalFormatting sqref="F37:F46">
    <cfRule type="expression" dxfId="25" priority="25">
      <formula>AND(N37&gt;0.96,N37&lt;1.04)</formula>
    </cfRule>
  </conditionalFormatting>
  <conditionalFormatting sqref="Z38:Z46">
    <cfRule type="expression" dxfId="24" priority="23">
      <formula>AND(AND(N38&gt;0.96,N38&lt;1.04),Z38&gt;1.07)</formula>
    </cfRule>
    <cfRule type="expression" dxfId="23" priority="24">
      <formula>AND(AND(N38&gt;0.96,N38&lt;1.04),Z38&lt;1.07)</formula>
    </cfRule>
  </conditionalFormatting>
  <conditionalFormatting sqref="H47">
    <cfRule type="expression" dxfId="22" priority="22">
      <formula>AND(AND(P47&gt;0.96,P47&lt;1.04),AND(H47&gt;0.95,H47&lt;1.05))</formula>
    </cfRule>
  </conditionalFormatting>
  <conditionalFormatting sqref="N47">
    <cfRule type="expression" dxfId="21" priority="21">
      <formula>AND(V47&gt;0.96,V47&lt;1.04)</formula>
    </cfRule>
  </conditionalFormatting>
  <conditionalFormatting sqref="H47">
    <cfRule type="expression" dxfId="20" priority="19">
      <formula>AND(AND(N47&gt;0.96,N47&lt;1.04),OR(H47&gt;1.05,H47&lt;0.95))</formula>
    </cfRule>
    <cfRule type="expression" dxfId="19" priority="20">
      <formula>AND(AND(N47&gt;0.96,N47&lt;1.04),AND(H47&lt;1.05,H47&gt;0.95))</formula>
    </cfRule>
  </conditionalFormatting>
  <conditionalFormatting sqref="N47">
    <cfRule type="expression" dxfId="18" priority="14">
      <formula>AND(N47=N10025,N47=N10026)</formula>
    </cfRule>
    <cfRule type="expression" dxfId="17" priority="17">
      <formula>OR(N47&lt;0.96,N47&gt;1.04)</formula>
    </cfRule>
    <cfRule type="expression" dxfId="16" priority="18">
      <formula>AND(N47&gt;0.96,N47&lt;1.04)</formula>
    </cfRule>
  </conditionalFormatting>
  <conditionalFormatting sqref="T47">
    <cfRule type="expression" dxfId="15" priority="15">
      <formula>AND(AND(N47&gt;0.96,N47&lt;1.04),OR(T47&gt;1.05,T47&lt;1))</formula>
    </cfRule>
    <cfRule type="expression" dxfId="14" priority="16">
      <formula>AND(AND(N47&gt;0.96,N47&lt;1.04),AND(T47&lt;1.05,T47&gt;1))</formula>
    </cfRule>
  </conditionalFormatting>
  <conditionalFormatting sqref="F47">
    <cfRule type="expression" dxfId="13" priority="13">
      <formula>AND(N47&gt;0.96,N47&lt;1.04)</formula>
    </cfRule>
  </conditionalFormatting>
  <conditionalFormatting sqref="Z47">
    <cfRule type="expression" dxfId="12" priority="11">
      <formula>AND(AND(N47&gt;0.96,N47&lt;1.04),Z47&gt;1.07)</formula>
    </cfRule>
    <cfRule type="expression" dxfId="11" priority="12">
      <formula>AND(AND(N47&gt;0.96,N47&lt;1.04),Z47&lt;1.07)</formula>
    </cfRule>
  </conditionalFormatting>
  <conditionalFormatting sqref="D24">
    <cfRule type="expression" dxfId="10" priority="9">
      <formula>IF($C$23="No",TRUE,FALSE)</formula>
    </cfRule>
    <cfRule type="expression" dxfId="9" priority="10">
      <formula>"C23=No"</formula>
    </cfRule>
  </conditionalFormatting>
  <conditionalFormatting sqref="D26">
    <cfRule type="expression" dxfId="8" priority="8">
      <formula>IF($C$25="No",TRUE,FALSE)</formula>
    </cfRule>
  </conditionalFormatting>
  <conditionalFormatting sqref="D28">
    <cfRule type="expression" dxfId="7" priority="7">
      <formula>IF($C$27="No",TRUE,FALSE)</formula>
    </cfRule>
  </conditionalFormatting>
  <conditionalFormatting sqref="S7:S16">
    <cfRule type="cellIs" dxfId="6" priority="4" operator="between">
      <formula>1.1</formula>
      <formula>1000</formula>
    </cfRule>
    <cfRule type="cellIs" dxfId="5" priority="5" operator="between">
      <formula>-100</formula>
      <formula>0.9</formula>
    </cfRule>
    <cfRule type="cellIs" dxfId="4" priority="6" operator="between">
      <formula>0.9</formula>
      <formula>1.1</formula>
    </cfRule>
    <cfRule type="expression" dxfId="3" priority="3">
      <formula>AND(S7=S1000,S7=S1001)</formula>
    </cfRule>
  </conditionalFormatting>
  <conditionalFormatting sqref="T11:U12">
    <cfRule type="expression" dxfId="2" priority="2">
      <formula>AND(T11="READY!",T11="READY!")</formula>
    </cfRule>
    <cfRule type="expression" dxfId="1" priority="1">
      <formula>AND(T11&lt;&gt;"READY!",T11&lt;&gt;"READY!")</formula>
    </cfRule>
  </conditionalFormatting>
  <dataValidations count="2">
    <dataValidation type="list" allowBlank="1" showInputMessage="1" showErrorMessage="1" sqref="C23 C25 C27">
      <formula1>"Yes,No"</formula1>
    </dataValidation>
    <dataValidation type="list" allowBlank="1" showInputMessage="1" showErrorMessage="1" sqref="U3">
      <formula1>"Vazão Seção 1,Vazão Seção 2"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97" r:id="rId4" name="Button 29">
              <controlPr defaultSize="0" print="0" autoFill="0" autoPict="0" macro="[0]!Planilha3.Calcular_Teste">
                <anchor moveWithCells="1" sizeWithCells="1">
                  <from>
                    <xdr:col>19</xdr:col>
                    <xdr:colOff>142875</xdr:colOff>
                    <xdr:row>4</xdr:row>
                    <xdr:rowOff>171450</xdr:rowOff>
                  </from>
                  <to>
                    <xdr:col>20</xdr:col>
                    <xdr:colOff>628650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2:D13"/>
  <sheetViews>
    <sheetView workbookViewId="0">
      <selection activeCell="F7" sqref="F7"/>
    </sheetView>
  </sheetViews>
  <sheetFormatPr defaultRowHeight="15" x14ac:dyDescent="0.25"/>
  <sheetData>
    <row r="2" spans="1:4" ht="15.75" thickBot="1" x14ac:dyDescent="0.3"/>
    <row r="3" spans="1:4" x14ac:dyDescent="0.25">
      <c r="B3" s="612" t="s">
        <v>371</v>
      </c>
      <c r="C3" s="613"/>
      <c r="D3" s="614"/>
    </row>
    <row r="4" spans="1:4" ht="15.75" thickBot="1" x14ac:dyDescent="0.3">
      <c r="B4" s="267"/>
      <c r="C4" s="263" t="s">
        <v>369</v>
      </c>
      <c r="D4" s="264" t="s">
        <v>364</v>
      </c>
    </row>
    <row r="5" spans="1:4" x14ac:dyDescent="0.25">
      <c r="A5" t="s">
        <v>1</v>
      </c>
      <c r="B5" s="268" t="s">
        <v>363</v>
      </c>
      <c r="C5" s="272">
        <v>16.84</v>
      </c>
      <c r="D5" s="262">
        <f>0.980665*C5+1.01325</f>
        <v>17.527648599999999</v>
      </c>
    </row>
    <row r="6" spans="1:4" x14ac:dyDescent="0.25">
      <c r="B6" s="269"/>
      <c r="C6" s="266"/>
      <c r="D6" s="265"/>
    </row>
    <row r="7" spans="1:4" x14ac:dyDescent="0.25">
      <c r="B7" s="270" t="s">
        <v>366</v>
      </c>
      <c r="C7" s="272">
        <v>0</v>
      </c>
      <c r="D7" s="262">
        <f>0.980665*C7</f>
        <v>0</v>
      </c>
    </row>
    <row r="8" spans="1:4" x14ac:dyDescent="0.25">
      <c r="B8" s="269"/>
      <c r="C8" s="266"/>
      <c r="D8" s="265"/>
    </row>
    <row r="9" spans="1:4" x14ac:dyDescent="0.25">
      <c r="B9" s="270" t="s">
        <v>365</v>
      </c>
      <c r="C9" s="272">
        <v>0</v>
      </c>
      <c r="D9" s="262">
        <f>C9+1.01325</f>
        <v>1.01325</v>
      </c>
    </row>
    <row r="10" spans="1:4" x14ac:dyDescent="0.25">
      <c r="B10" s="269"/>
      <c r="C10" s="266"/>
      <c r="D10" s="265"/>
    </row>
    <row r="11" spans="1:4" x14ac:dyDescent="0.25">
      <c r="B11" s="270" t="s">
        <v>367</v>
      </c>
      <c r="C11" s="272">
        <v>0</v>
      </c>
      <c r="D11" s="262">
        <f>C11/100000+1.01325</f>
        <v>1.01325</v>
      </c>
    </row>
    <row r="12" spans="1:4" x14ac:dyDescent="0.25">
      <c r="B12" s="269"/>
      <c r="C12" s="266"/>
      <c r="D12" s="265"/>
    </row>
    <row r="13" spans="1:4" ht="15.75" thickBot="1" x14ac:dyDescent="0.3">
      <c r="B13" s="271" t="s">
        <v>368</v>
      </c>
      <c r="C13" s="273">
        <v>0</v>
      </c>
      <c r="D13" s="231">
        <f>C13/100000</f>
        <v>0</v>
      </c>
    </row>
  </sheetData>
  <mergeCells count="1">
    <mergeCell ref="B3:D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I56"/>
  <sheetViews>
    <sheetView workbookViewId="0">
      <selection activeCell="L36" sqref="L36"/>
    </sheetView>
  </sheetViews>
  <sheetFormatPr defaultRowHeight="15" x14ac:dyDescent="0.25"/>
  <sheetData>
    <row r="1" spans="1:9" x14ac:dyDescent="0.25">
      <c r="A1" s="615" t="s">
        <v>335</v>
      </c>
      <c r="B1" s="615"/>
      <c r="C1" s="615"/>
      <c r="D1" s="615"/>
      <c r="E1" s="245"/>
      <c r="F1" s="245"/>
      <c r="G1" s="615" t="s">
        <v>336</v>
      </c>
      <c r="H1" s="615"/>
      <c r="I1" s="615"/>
    </row>
    <row r="2" spans="1:9" x14ac:dyDescent="0.25">
      <c r="A2" s="245"/>
      <c r="B2" s="245"/>
      <c r="C2" s="245" t="s">
        <v>337</v>
      </c>
      <c r="D2" s="245" t="s">
        <v>338</v>
      </c>
      <c r="E2" s="245"/>
      <c r="F2" s="245"/>
      <c r="G2" s="245"/>
      <c r="H2" s="245" t="s">
        <v>337</v>
      </c>
      <c r="I2" s="245" t="s">
        <v>338</v>
      </c>
    </row>
    <row r="3" spans="1:9" x14ac:dyDescent="0.25">
      <c r="A3" s="245">
        <v>1</v>
      </c>
      <c r="B3" s="245"/>
      <c r="C3" s="245"/>
      <c r="D3" s="245"/>
      <c r="E3" s="245"/>
      <c r="F3" s="245"/>
      <c r="G3" s="245">
        <v>0</v>
      </c>
      <c r="H3" s="245">
        <f>-G3</f>
        <v>0</v>
      </c>
      <c r="I3" s="245">
        <f>-0.25*G3+0.286</f>
        <v>0.28599999999999998</v>
      </c>
    </row>
    <row r="4" spans="1:9" x14ac:dyDescent="0.25">
      <c r="A4" s="245">
        <v>2</v>
      </c>
      <c r="B4" s="245"/>
      <c r="C4" s="245"/>
      <c r="D4" s="245"/>
      <c r="E4" s="245"/>
      <c r="F4" s="245"/>
      <c r="G4" s="245">
        <v>0.1</v>
      </c>
      <c r="H4" s="245">
        <f>-G4</f>
        <v>-0.1</v>
      </c>
      <c r="I4" s="245">
        <f>-0.25*G4+0.286</f>
        <v>0.26099999999999995</v>
      </c>
    </row>
    <row r="5" spans="1:9" x14ac:dyDescent="0.25">
      <c r="A5" s="245">
        <v>3</v>
      </c>
      <c r="B5" s="245"/>
      <c r="C5" s="245"/>
      <c r="D5" s="245"/>
      <c r="E5" s="245"/>
      <c r="F5" s="245"/>
      <c r="G5" s="245">
        <v>0.2</v>
      </c>
      <c r="H5" s="245">
        <f>-G5</f>
        <v>-0.2</v>
      </c>
      <c r="I5" s="245">
        <f t="shared" ref="I5:I14" si="0">-0.25*G5+0.286</f>
        <v>0.23599999999999999</v>
      </c>
    </row>
    <row r="6" spans="1:9" x14ac:dyDescent="0.25">
      <c r="A6" s="245">
        <v>4</v>
      </c>
      <c r="B6" s="245"/>
      <c r="C6" s="245"/>
      <c r="D6" s="245"/>
      <c r="E6" s="245"/>
      <c r="F6" s="245"/>
      <c r="G6" s="245">
        <v>0.214</v>
      </c>
      <c r="H6" s="245">
        <f>-G6</f>
        <v>-0.214</v>
      </c>
      <c r="I6" s="245">
        <f t="shared" si="0"/>
        <v>0.23249999999999998</v>
      </c>
    </row>
    <row r="7" spans="1:9" x14ac:dyDescent="0.25">
      <c r="A7" s="245">
        <v>5</v>
      </c>
      <c r="B7" s="245"/>
      <c r="C7" s="245"/>
      <c r="D7" s="245"/>
      <c r="E7" s="245"/>
      <c r="F7" s="245"/>
      <c r="G7" s="245">
        <v>0.215</v>
      </c>
      <c r="H7" s="245">
        <f>0.266*G7-0.271</f>
        <v>-0.21381</v>
      </c>
      <c r="I7" s="245">
        <f t="shared" si="0"/>
        <v>0.23224999999999998</v>
      </c>
    </row>
    <row r="8" spans="1:9" x14ac:dyDescent="0.25">
      <c r="A8" s="245">
        <v>6</v>
      </c>
      <c r="B8" s="245"/>
      <c r="C8" s="245"/>
      <c r="D8" s="245"/>
      <c r="E8" s="245"/>
      <c r="F8" s="245"/>
      <c r="G8" s="245">
        <v>0.3</v>
      </c>
      <c r="H8" s="245">
        <f t="shared" ref="H8:H14" si="1">0.266*G8-0.271</f>
        <v>-0.19120000000000004</v>
      </c>
      <c r="I8" s="245">
        <f t="shared" si="0"/>
        <v>0.21099999999999997</v>
      </c>
    </row>
    <row r="9" spans="1:9" x14ac:dyDescent="0.25">
      <c r="A9" s="245">
        <v>7</v>
      </c>
      <c r="B9" s="245"/>
      <c r="C9" s="245"/>
      <c r="D9" s="245"/>
      <c r="E9" s="245"/>
      <c r="F9" s="245"/>
      <c r="G9" s="245">
        <v>0.4</v>
      </c>
      <c r="H9" s="245">
        <f t="shared" si="1"/>
        <v>-0.16460000000000002</v>
      </c>
      <c r="I9" s="245">
        <f t="shared" si="0"/>
        <v>0.18599999999999997</v>
      </c>
    </row>
    <row r="10" spans="1:9" x14ac:dyDescent="0.25">
      <c r="A10" s="245">
        <v>8</v>
      </c>
      <c r="B10" s="245"/>
      <c r="C10" s="245"/>
      <c r="D10" s="245"/>
      <c r="E10" s="245"/>
      <c r="F10" s="245"/>
      <c r="G10" s="245">
        <v>0.5</v>
      </c>
      <c r="H10" s="245">
        <f t="shared" si="1"/>
        <v>-0.13800000000000001</v>
      </c>
      <c r="I10" s="245">
        <f t="shared" si="0"/>
        <v>0.16099999999999998</v>
      </c>
    </row>
    <row r="11" spans="1:9" x14ac:dyDescent="0.25">
      <c r="A11" s="245">
        <v>9</v>
      </c>
      <c r="B11" s="245">
        <f>$A$11*10^4</f>
        <v>90000</v>
      </c>
      <c r="C11" s="245">
        <f t="shared" ref="C11:C21" si="2" xml:space="preserve"> 0.01 ^ ((B11 / 10 ^ 7) ^ 0.3)</f>
        <v>0.32602702390909377</v>
      </c>
      <c r="D11" s="245">
        <f>100 ^ (( B11/ 10 ^ 7) ^ 0.3)</f>
        <v>3.0672304032037254</v>
      </c>
      <c r="E11" s="245"/>
      <c r="F11" s="245"/>
      <c r="G11" s="245">
        <v>0.6</v>
      </c>
      <c r="H11" s="245">
        <f t="shared" si="1"/>
        <v>-0.11140000000000003</v>
      </c>
      <c r="I11" s="245">
        <f t="shared" si="0"/>
        <v>0.13599999999999998</v>
      </c>
    </row>
    <row r="12" spans="1:9" x14ac:dyDescent="0.25">
      <c r="A12" s="245"/>
      <c r="B12" s="245">
        <f>$A$3*10^5</f>
        <v>100000</v>
      </c>
      <c r="C12" s="245">
        <f t="shared" si="2"/>
        <v>0.31450149461575455</v>
      </c>
      <c r="D12" s="245">
        <f t="shared" ref="D12:D29" si="3">100 ^ (( B12/ 10 ^ 7) ^ 0.3)</f>
        <v>3.179635127717789</v>
      </c>
      <c r="E12" s="245"/>
      <c r="F12" s="245"/>
      <c r="G12" s="245">
        <v>0.7</v>
      </c>
      <c r="H12" s="245">
        <f t="shared" si="1"/>
        <v>-8.4800000000000014E-2</v>
      </c>
      <c r="I12" s="245">
        <f t="shared" si="0"/>
        <v>0.11099999999999999</v>
      </c>
    </row>
    <row r="13" spans="1:9" x14ac:dyDescent="0.25">
      <c r="A13" s="245"/>
      <c r="B13" s="245">
        <f>$A$4*10^5</f>
        <v>200000</v>
      </c>
      <c r="C13" s="245">
        <f t="shared" si="2"/>
        <v>0.24071381203141462</v>
      </c>
      <c r="D13" s="245">
        <f t="shared" si="3"/>
        <v>4.1543108455674913</v>
      </c>
      <c r="E13" s="245"/>
      <c r="F13" s="245"/>
      <c r="G13" s="245">
        <v>0.8</v>
      </c>
      <c r="H13" s="245">
        <f t="shared" si="1"/>
        <v>-5.8200000000000002E-2</v>
      </c>
      <c r="I13" s="245">
        <f t="shared" si="0"/>
        <v>8.5999999999999965E-2</v>
      </c>
    </row>
    <row r="14" spans="1:9" x14ac:dyDescent="0.25">
      <c r="A14" s="245"/>
      <c r="B14" s="245">
        <f>$A$5*10^5</f>
        <v>300000</v>
      </c>
      <c r="C14" s="245">
        <f t="shared" si="2"/>
        <v>0.20021659060962196</v>
      </c>
      <c r="D14" s="245">
        <f t="shared" si="3"/>
        <v>4.9945910923524757</v>
      </c>
      <c r="E14" s="245"/>
      <c r="F14" s="245"/>
      <c r="G14" s="245">
        <v>0.86</v>
      </c>
      <c r="H14" s="245">
        <f t="shared" si="1"/>
        <v>-4.224E-2</v>
      </c>
      <c r="I14" s="245">
        <f t="shared" si="0"/>
        <v>7.099999999999998E-2</v>
      </c>
    </row>
    <row r="15" spans="1:9" x14ac:dyDescent="0.25">
      <c r="A15" s="245"/>
      <c r="B15" s="245">
        <f>$A$6*10^5</f>
        <v>400000</v>
      </c>
      <c r="C15" s="245">
        <f t="shared" si="2"/>
        <v>0.1731962260566193</v>
      </c>
      <c r="D15" s="245">
        <f t="shared" si="3"/>
        <v>5.7737978636618337</v>
      </c>
      <c r="E15" s="245"/>
      <c r="F15" s="245"/>
      <c r="G15" s="245">
        <v>0.9</v>
      </c>
      <c r="H15" s="245">
        <v>-4.2000000000000003E-2</v>
      </c>
      <c r="I15" s="245">
        <v>7.0000000000000007E-2</v>
      </c>
    </row>
    <row r="16" spans="1:9" x14ac:dyDescent="0.25">
      <c r="A16" s="245"/>
      <c r="B16" s="245">
        <f>$A$7*10^5</f>
        <v>500000</v>
      </c>
      <c r="C16" s="245">
        <f t="shared" si="2"/>
        <v>0.15339773141749091</v>
      </c>
      <c r="D16" s="245">
        <f t="shared" si="3"/>
        <v>6.5190012313700816</v>
      </c>
      <c r="E16" s="245"/>
      <c r="F16" s="245"/>
      <c r="G16" s="245">
        <v>1</v>
      </c>
      <c r="H16" s="245">
        <v>-4.2000000000000003E-2</v>
      </c>
      <c r="I16" s="245">
        <v>7.0000000000000007E-2</v>
      </c>
    </row>
    <row r="17" spans="1:9" x14ac:dyDescent="0.25">
      <c r="A17" s="245"/>
      <c r="B17" s="245">
        <f>$A$8*10^5</f>
        <v>600000</v>
      </c>
      <c r="C17" s="245">
        <f t="shared" si="2"/>
        <v>0.1380529537863758</v>
      </c>
      <c r="D17" s="245">
        <f t="shared" si="3"/>
        <v>7.2435972760670371</v>
      </c>
      <c r="E17" s="245"/>
      <c r="F17" s="245"/>
      <c r="G17" s="245">
        <v>1.1000000000000001</v>
      </c>
      <c r="H17" s="245">
        <v>-4.2000000000000003E-2</v>
      </c>
      <c r="I17" s="245">
        <v>7.0000000000000007E-2</v>
      </c>
    </row>
    <row r="18" spans="1:9" x14ac:dyDescent="0.25">
      <c r="A18" s="245"/>
      <c r="B18" s="245">
        <f>$A$9*10^5</f>
        <v>700000</v>
      </c>
      <c r="C18" s="245">
        <f t="shared" si="2"/>
        <v>0.12570224778156519</v>
      </c>
      <c r="D18" s="245">
        <f t="shared" si="3"/>
        <v>7.955307225195499</v>
      </c>
      <c r="E18" s="245"/>
      <c r="F18" s="245"/>
      <c r="G18" s="245">
        <v>1.2</v>
      </c>
      <c r="H18" s="245">
        <v>-4.2000000000000003E-2</v>
      </c>
      <c r="I18" s="245">
        <v>7.0000000000000007E-2</v>
      </c>
    </row>
    <row r="19" spans="1:9" x14ac:dyDescent="0.25">
      <c r="A19" s="245"/>
      <c r="B19" s="245">
        <f>$A$10*10^5</f>
        <v>800000</v>
      </c>
      <c r="C19" s="245">
        <f t="shared" si="2"/>
        <v>0.11548639783308461</v>
      </c>
      <c r="D19" s="245">
        <f t="shared" si="3"/>
        <v>8.6590284116864176</v>
      </c>
      <c r="E19" s="245"/>
      <c r="F19" s="245"/>
      <c r="G19" s="245">
        <v>1.3</v>
      </c>
      <c r="H19" s="245">
        <v>-4.2000000000000003E-2</v>
      </c>
      <c r="I19" s="245">
        <v>7.0000000000000007E-2</v>
      </c>
    </row>
    <row r="20" spans="1:9" x14ac:dyDescent="0.25">
      <c r="A20" s="245"/>
      <c r="B20" s="245">
        <f>$A$11*10^5</f>
        <v>900000</v>
      </c>
      <c r="C20" s="245">
        <f t="shared" si="2"/>
        <v>0.10685952769812936</v>
      </c>
      <c r="D20" s="245">
        <f t="shared" si="3"/>
        <v>9.3580799161393458</v>
      </c>
      <c r="E20" s="245"/>
      <c r="F20" s="245"/>
      <c r="G20" s="245">
        <v>1.4</v>
      </c>
      <c r="H20" s="245">
        <v>-4.2000000000000003E-2</v>
      </c>
      <c r="I20" s="245">
        <v>7.0000000000000007E-2</v>
      </c>
    </row>
    <row r="21" spans="1:9" x14ac:dyDescent="0.25">
      <c r="A21" s="245"/>
      <c r="B21" s="245">
        <f>$A$3*10^6</f>
        <v>1000000</v>
      </c>
      <c r="C21" s="245">
        <f t="shared" si="2"/>
        <v>9.945475061958052E-2</v>
      </c>
      <c r="D21" s="245">
        <f t="shared" si="3"/>
        <v>10.054823864825234</v>
      </c>
      <c r="E21" s="245"/>
      <c r="F21" s="245"/>
      <c r="G21" s="245">
        <v>1.5</v>
      </c>
      <c r="H21" s="245">
        <v>-4.2000000000000003E-2</v>
      </c>
      <c r="I21" s="245">
        <v>7.0000000000000007E-2</v>
      </c>
    </row>
    <row r="22" spans="1:9" x14ac:dyDescent="0.25">
      <c r="A22" s="245"/>
      <c r="B22" s="245">
        <f>$A$4*10^6</f>
        <v>2000000</v>
      </c>
      <c r="C22" s="245">
        <v>0.1</v>
      </c>
      <c r="D22" s="245">
        <f t="shared" si="3"/>
        <v>17.142246090031101</v>
      </c>
      <c r="E22" s="245"/>
      <c r="F22" s="245"/>
      <c r="G22" s="245">
        <v>1.6</v>
      </c>
      <c r="H22" s="245">
        <v>-4.2000000000000003E-2</v>
      </c>
      <c r="I22" s="245">
        <v>7.0000000000000007E-2</v>
      </c>
    </row>
    <row r="23" spans="1:9" x14ac:dyDescent="0.25">
      <c r="A23" s="245"/>
      <c r="B23" s="245">
        <f>$A$5*10^6</f>
        <v>3000000</v>
      </c>
      <c r="C23" s="245">
        <v>0.1</v>
      </c>
      <c r="D23" s="245">
        <f t="shared" si="3"/>
        <v>24.756577436576972</v>
      </c>
      <c r="E23" s="245"/>
      <c r="F23" s="245"/>
      <c r="G23" s="245"/>
      <c r="H23" s="245"/>
      <c r="I23" s="245"/>
    </row>
    <row r="24" spans="1:9" x14ac:dyDescent="0.25">
      <c r="A24" s="245"/>
      <c r="B24" s="245">
        <f>$A$6*10^6</f>
        <v>4000000</v>
      </c>
      <c r="C24" s="245">
        <v>0.1</v>
      </c>
      <c r="D24" s="245">
        <f t="shared" si="3"/>
        <v>33.06096957055027</v>
      </c>
      <c r="E24" s="245"/>
      <c r="F24" s="245"/>
      <c r="G24" s="245"/>
      <c r="H24" s="245"/>
      <c r="I24" s="245"/>
    </row>
    <row r="25" spans="1:9" x14ac:dyDescent="0.25">
      <c r="A25" s="245"/>
      <c r="B25" s="245">
        <f>$A$7*10^6</f>
        <v>5000000</v>
      </c>
      <c r="C25" s="245">
        <v>0.1</v>
      </c>
      <c r="D25" s="245">
        <f t="shared" si="3"/>
        <v>42.121593511090794</v>
      </c>
      <c r="E25" s="245"/>
      <c r="F25" s="245"/>
      <c r="G25" s="245"/>
      <c r="H25" s="245"/>
      <c r="I25" s="245"/>
    </row>
    <row r="26" spans="1:9" x14ac:dyDescent="0.25">
      <c r="A26" s="245"/>
      <c r="B26" s="245">
        <f>$A$8*10^6</f>
        <v>6000000</v>
      </c>
      <c r="C26" s="245">
        <v>0.1</v>
      </c>
      <c r="D26" s="245">
        <f t="shared" si="3"/>
        <v>51.979775671342622</v>
      </c>
      <c r="E26" s="245"/>
      <c r="F26" s="245"/>
      <c r="G26" s="245"/>
      <c r="H26" s="245"/>
      <c r="I26" s="245"/>
    </row>
    <row r="27" spans="1:9" x14ac:dyDescent="0.25">
      <c r="A27" s="245"/>
      <c r="B27" s="245">
        <f>$A$9*10^6</f>
        <v>7000000</v>
      </c>
      <c r="C27" s="245">
        <v>0.1</v>
      </c>
      <c r="D27" s="245">
        <f t="shared" si="3"/>
        <v>62.668151344306395</v>
      </c>
      <c r="E27" s="245"/>
      <c r="F27" s="245"/>
      <c r="G27" s="245"/>
      <c r="H27" s="245"/>
      <c r="I27" s="245"/>
    </row>
    <row r="28" spans="1:9" x14ac:dyDescent="0.25">
      <c r="A28" s="245"/>
      <c r="B28" s="245">
        <f>$A$10*10^6</f>
        <v>8000000</v>
      </c>
      <c r="C28" s="245">
        <v>0.1</v>
      </c>
      <c r="D28" s="245">
        <f t="shared" si="3"/>
        <v>74.215889273774081</v>
      </c>
      <c r="E28" s="245"/>
      <c r="F28" s="245"/>
      <c r="G28" s="245"/>
      <c r="H28" s="245"/>
      <c r="I28" s="245"/>
    </row>
    <row r="29" spans="1:9" x14ac:dyDescent="0.25">
      <c r="A29" s="245"/>
      <c r="B29" s="245">
        <f>$A$11*10^6</f>
        <v>9000000</v>
      </c>
      <c r="C29" s="245">
        <v>0.1</v>
      </c>
      <c r="D29" s="245">
        <f t="shared" si="3"/>
        <v>86.650749265830541</v>
      </c>
      <c r="E29" s="245"/>
      <c r="F29" s="245"/>
      <c r="G29" s="245"/>
      <c r="H29" s="245"/>
      <c r="I29" s="245"/>
    </row>
    <row r="30" spans="1:9" x14ac:dyDescent="0.25">
      <c r="A30" s="245"/>
      <c r="B30" s="245">
        <f>$A$3*10^7</f>
        <v>10000000</v>
      </c>
      <c r="C30" s="245">
        <v>0.1</v>
      </c>
      <c r="D30" s="245">
        <v>100</v>
      </c>
      <c r="E30" s="245"/>
      <c r="F30" s="245"/>
      <c r="G30" s="245"/>
      <c r="H30" s="245"/>
      <c r="I30" s="245"/>
    </row>
    <row r="31" spans="1:9" x14ac:dyDescent="0.25">
      <c r="A31" s="245"/>
      <c r="B31" s="245">
        <f>$A$4*10^7</f>
        <v>20000000</v>
      </c>
      <c r="C31" s="245">
        <v>0.1</v>
      </c>
      <c r="D31" s="245">
        <v>100</v>
      </c>
      <c r="E31" s="245"/>
      <c r="F31" s="245"/>
      <c r="G31" s="245"/>
      <c r="H31" s="245"/>
      <c r="I31" s="245"/>
    </row>
    <row r="32" spans="1:9" x14ac:dyDescent="0.25">
      <c r="A32" s="245"/>
      <c r="B32" s="245">
        <f>$A$5*10^7</f>
        <v>30000000</v>
      </c>
      <c r="C32" s="245">
        <v>0.1</v>
      </c>
      <c r="D32" s="245">
        <v>100</v>
      </c>
      <c r="E32" s="245"/>
      <c r="F32" s="245"/>
      <c r="G32" s="245"/>
      <c r="H32" s="245"/>
      <c r="I32" s="245"/>
    </row>
    <row r="33" spans="1:9" x14ac:dyDescent="0.25">
      <c r="A33" s="245"/>
      <c r="B33" s="245">
        <f>$A$6*10^7</f>
        <v>40000000</v>
      </c>
      <c r="C33" s="245">
        <v>0.1</v>
      </c>
      <c r="D33" s="245">
        <v>100</v>
      </c>
      <c r="E33" s="245"/>
      <c r="F33" s="245"/>
      <c r="G33" s="245"/>
      <c r="H33" s="245"/>
      <c r="I33" s="245"/>
    </row>
    <row r="34" spans="1:9" x14ac:dyDescent="0.25">
      <c r="A34" s="245"/>
      <c r="B34" s="245">
        <f>$A$7*10^7</f>
        <v>50000000</v>
      </c>
      <c r="C34" s="245">
        <v>0.1</v>
      </c>
      <c r="D34" s="245">
        <v>100</v>
      </c>
      <c r="E34" s="245"/>
      <c r="F34" s="245"/>
      <c r="G34" s="245"/>
      <c r="H34" s="245"/>
      <c r="I34" s="245"/>
    </row>
    <row r="35" spans="1:9" x14ac:dyDescent="0.25">
      <c r="A35" s="245"/>
      <c r="B35" s="245">
        <f>$A$8*10^7</f>
        <v>60000000</v>
      </c>
      <c r="C35" s="245">
        <v>0.1</v>
      </c>
      <c r="D35" s="245">
        <v>100</v>
      </c>
      <c r="E35" s="245"/>
      <c r="F35" s="245"/>
      <c r="G35" s="245"/>
      <c r="H35" s="245"/>
      <c r="I35" s="245"/>
    </row>
    <row r="36" spans="1:9" x14ac:dyDescent="0.25">
      <c r="A36" s="245"/>
      <c r="B36" s="245">
        <f>$A$9*10^7</f>
        <v>70000000</v>
      </c>
      <c r="C36" s="245">
        <v>0.1</v>
      </c>
      <c r="D36" s="245">
        <v>100</v>
      </c>
      <c r="E36" s="245"/>
      <c r="F36" s="245"/>
      <c r="G36" s="245"/>
      <c r="H36" s="245"/>
      <c r="I36" s="245"/>
    </row>
    <row r="37" spans="1:9" x14ac:dyDescent="0.25">
      <c r="A37" s="245"/>
      <c r="B37" s="245">
        <f>$A$10*10^7</f>
        <v>80000000</v>
      </c>
      <c r="C37" s="245">
        <v>0.1</v>
      </c>
      <c r="D37" s="245">
        <v>100</v>
      </c>
      <c r="E37" s="245"/>
      <c r="F37" s="245"/>
      <c r="G37" s="245"/>
      <c r="H37" s="245"/>
      <c r="I37" s="245"/>
    </row>
    <row r="38" spans="1:9" x14ac:dyDescent="0.25">
      <c r="A38" s="245"/>
      <c r="B38" s="245">
        <f>$A$11*10^7</f>
        <v>90000000</v>
      </c>
      <c r="C38" s="245">
        <v>0.1</v>
      </c>
      <c r="D38" s="245">
        <v>100</v>
      </c>
      <c r="E38" s="245"/>
      <c r="F38" s="245"/>
      <c r="G38" s="245"/>
      <c r="H38" s="245"/>
      <c r="I38" s="245"/>
    </row>
    <row r="39" spans="1:9" x14ac:dyDescent="0.25">
      <c r="A39" s="245"/>
      <c r="B39" s="245">
        <f>$A$3*10^8</f>
        <v>100000000</v>
      </c>
      <c r="C39" s="245">
        <v>0.1</v>
      </c>
      <c r="D39" s="245">
        <v>100</v>
      </c>
      <c r="E39" s="245"/>
      <c r="F39" s="245"/>
      <c r="G39" s="245"/>
      <c r="H39" s="245"/>
      <c r="I39" s="245"/>
    </row>
    <row r="40" spans="1:9" x14ac:dyDescent="0.25">
      <c r="A40" s="245"/>
      <c r="B40" s="245">
        <f>$A$4*10^8</f>
        <v>200000000</v>
      </c>
      <c r="C40" s="245">
        <v>0.1</v>
      </c>
      <c r="D40" s="245">
        <v>100</v>
      </c>
      <c r="E40" s="245"/>
      <c r="F40" s="245"/>
      <c r="G40" s="245"/>
      <c r="H40" s="245"/>
      <c r="I40" s="245"/>
    </row>
    <row r="41" spans="1:9" x14ac:dyDescent="0.25">
      <c r="A41" s="245"/>
      <c r="B41" s="245">
        <f>$A$5*10^8</f>
        <v>300000000</v>
      </c>
      <c r="C41" s="245">
        <v>0.1</v>
      </c>
      <c r="D41" s="245">
        <v>100</v>
      </c>
      <c r="E41" s="245"/>
      <c r="F41" s="245"/>
      <c r="G41" s="245"/>
      <c r="H41" s="245"/>
      <c r="I41" s="245"/>
    </row>
    <row r="42" spans="1:9" x14ac:dyDescent="0.25">
      <c r="A42" s="245"/>
      <c r="B42" s="245">
        <f>$A$6*10^8</f>
        <v>400000000</v>
      </c>
      <c r="C42" s="245">
        <v>0.1</v>
      </c>
      <c r="D42" s="245">
        <v>100</v>
      </c>
      <c r="E42" s="245"/>
      <c r="F42" s="245"/>
      <c r="G42" s="245"/>
      <c r="H42" s="245"/>
      <c r="I42" s="245"/>
    </row>
    <row r="43" spans="1:9" x14ac:dyDescent="0.25">
      <c r="A43" s="245"/>
      <c r="B43" s="245">
        <f>$A$7*10^8</f>
        <v>500000000</v>
      </c>
      <c r="C43" s="245">
        <v>0.1</v>
      </c>
      <c r="D43" s="245">
        <v>100</v>
      </c>
      <c r="E43" s="245"/>
      <c r="F43" s="245"/>
      <c r="G43" s="245"/>
      <c r="H43" s="245"/>
      <c r="I43" s="245"/>
    </row>
    <row r="44" spans="1:9" x14ac:dyDescent="0.25">
      <c r="A44" s="245"/>
      <c r="B44" s="245">
        <f>$A$8*10^8</f>
        <v>600000000</v>
      </c>
      <c r="C44" s="245">
        <v>0.1</v>
      </c>
      <c r="D44" s="245">
        <v>100</v>
      </c>
      <c r="E44" s="245"/>
      <c r="F44" s="245"/>
      <c r="G44" s="245"/>
      <c r="H44" s="245"/>
      <c r="I44" s="245"/>
    </row>
    <row r="45" spans="1:9" x14ac:dyDescent="0.25">
      <c r="A45" s="245"/>
      <c r="B45" s="245">
        <f>$A$9*10^8</f>
        <v>700000000</v>
      </c>
      <c r="C45" s="245">
        <v>0.1</v>
      </c>
      <c r="D45" s="245">
        <v>100</v>
      </c>
      <c r="E45" s="245"/>
      <c r="F45" s="245"/>
      <c r="G45" s="245"/>
      <c r="H45" s="245"/>
      <c r="I45" s="245"/>
    </row>
    <row r="46" spans="1:9" x14ac:dyDescent="0.25">
      <c r="A46" s="245"/>
      <c r="B46" s="245">
        <f>$A$10*10^8</f>
        <v>800000000</v>
      </c>
      <c r="C46" s="245">
        <v>0.1</v>
      </c>
      <c r="D46" s="245">
        <v>100</v>
      </c>
      <c r="E46" s="245"/>
      <c r="F46" s="245"/>
      <c r="G46" s="245"/>
      <c r="H46" s="245"/>
      <c r="I46" s="245"/>
    </row>
    <row r="47" spans="1:9" x14ac:dyDescent="0.25">
      <c r="A47" s="245"/>
      <c r="B47" s="245">
        <f>$A$11*10^8</f>
        <v>900000000</v>
      </c>
      <c r="C47" s="245">
        <v>0.1</v>
      </c>
      <c r="D47" s="245">
        <v>100</v>
      </c>
      <c r="E47" s="245"/>
      <c r="F47" s="245"/>
      <c r="G47" s="245"/>
      <c r="H47" s="245"/>
      <c r="I47" s="245"/>
    </row>
    <row r="48" spans="1:9" x14ac:dyDescent="0.25">
      <c r="A48" s="245"/>
      <c r="B48" s="245">
        <f>$A$3*10^9</f>
        <v>1000000000</v>
      </c>
      <c r="C48" s="245">
        <v>0.1</v>
      </c>
      <c r="D48" s="245">
        <v>100</v>
      </c>
      <c r="E48" s="245"/>
      <c r="F48" s="245"/>
      <c r="G48" s="245"/>
      <c r="H48" s="245"/>
      <c r="I48" s="245"/>
    </row>
    <row r="49" spans="1:9" x14ac:dyDescent="0.25">
      <c r="A49" s="245"/>
      <c r="B49" s="245">
        <f>$A$4*10^9</f>
        <v>2000000000</v>
      </c>
      <c r="C49" s="245">
        <v>0.1</v>
      </c>
      <c r="D49" s="245">
        <v>100</v>
      </c>
      <c r="E49" s="245"/>
      <c r="F49" s="245"/>
      <c r="G49" s="245"/>
      <c r="H49" s="245"/>
      <c r="I49" s="245"/>
    </row>
    <row r="50" spans="1:9" x14ac:dyDescent="0.25">
      <c r="A50" s="245"/>
      <c r="B50" s="245">
        <f>$A$5*10^9</f>
        <v>3000000000</v>
      </c>
      <c r="C50" s="245">
        <v>0.1</v>
      </c>
      <c r="D50" s="245">
        <v>100</v>
      </c>
      <c r="E50" s="245"/>
      <c r="F50" s="245"/>
      <c r="G50" s="245"/>
      <c r="H50" s="245"/>
      <c r="I50" s="245"/>
    </row>
    <row r="51" spans="1:9" x14ac:dyDescent="0.25">
      <c r="A51" s="245"/>
      <c r="B51" s="245">
        <f>$A$6*10^9</f>
        <v>4000000000</v>
      </c>
      <c r="C51" s="245">
        <v>0.1</v>
      </c>
      <c r="D51" s="245">
        <v>100</v>
      </c>
      <c r="E51" s="245"/>
      <c r="F51" s="245"/>
      <c r="G51" s="245"/>
      <c r="H51" s="245"/>
      <c r="I51" s="245"/>
    </row>
    <row r="52" spans="1:9" x14ac:dyDescent="0.25">
      <c r="A52" s="245"/>
      <c r="B52" s="245">
        <f>$A$7*10^9</f>
        <v>5000000000</v>
      </c>
      <c r="C52" s="245">
        <v>0.1</v>
      </c>
      <c r="D52" s="245">
        <v>100</v>
      </c>
      <c r="E52" s="245"/>
      <c r="F52" s="245"/>
      <c r="G52" s="245"/>
      <c r="H52" s="245"/>
      <c r="I52" s="245"/>
    </row>
    <row r="53" spans="1:9" x14ac:dyDescent="0.25">
      <c r="A53" s="245"/>
      <c r="B53" s="245">
        <f>$A$8*10^9</f>
        <v>6000000000</v>
      </c>
      <c r="C53" s="245">
        <v>0.1</v>
      </c>
      <c r="D53" s="245">
        <v>100</v>
      </c>
      <c r="E53" s="245"/>
      <c r="F53" s="245"/>
      <c r="G53" s="245"/>
      <c r="H53" s="245"/>
      <c r="I53" s="245"/>
    </row>
    <row r="54" spans="1:9" x14ac:dyDescent="0.25">
      <c r="A54" s="245"/>
      <c r="B54" s="245">
        <f>$A$9*10^9</f>
        <v>7000000000</v>
      </c>
      <c r="C54" s="245">
        <v>0.1</v>
      </c>
      <c r="D54" s="245">
        <v>100</v>
      </c>
      <c r="E54" s="245"/>
      <c r="F54" s="245"/>
      <c r="G54" s="245"/>
      <c r="H54" s="245"/>
      <c r="I54" s="245"/>
    </row>
    <row r="55" spans="1:9" x14ac:dyDescent="0.25">
      <c r="A55" s="245"/>
      <c r="B55" s="245">
        <f>$A$10*10^9</f>
        <v>8000000000</v>
      </c>
      <c r="C55" s="245">
        <v>0.1</v>
      </c>
      <c r="D55" s="245">
        <v>100</v>
      </c>
      <c r="E55" s="245"/>
      <c r="F55" s="245"/>
      <c r="G55" s="245"/>
      <c r="H55" s="245"/>
      <c r="I55" s="245"/>
    </row>
    <row r="56" spans="1:9" x14ac:dyDescent="0.25">
      <c r="A56" s="245"/>
      <c r="B56" s="245">
        <f>$A$11*10^9</f>
        <v>9000000000</v>
      </c>
      <c r="C56" s="245">
        <v>0.1</v>
      </c>
      <c r="D56" s="245">
        <v>100</v>
      </c>
      <c r="E56" s="245"/>
      <c r="F56" s="245"/>
      <c r="G56" s="245"/>
      <c r="H56" s="245"/>
      <c r="I56" s="245"/>
    </row>
  </sheetData>
  <mergeCells count="2">
    <mergeCell ref="A1:D1"/>
    <mergeCell ref="G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DataSheet</vt:lpstr>
      <vt:lpstr>Test Procedure Data</vt:lpstr>
      <vt:lpstr>Actual Test Data</vt:lpstr>
      <vt:lpstr>Tools</vt:lpstr>
      <vt:lpstr>GRAF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Albuquerque Thomas e Brandao</dc:creator>
  <cp:lastModifiedBy>Andre Albuquerque Thomas e Brandao</cp:lastModifiedBy>
  <dcterms:created xsi:type="dcterms:W3CDTF">2019-07-04T13:27:16Z</dcterms:created>
  <dcterms:modified xsi:type="dcterms:W3CDTF">2019-07-25T13:52:21Z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andrebrandao@petrobras.com.br</vt:lpwstr>
  </property>
  <property fmtid="{D5CDD505-2E9C-101B-9397-08002B2CF9AE}" pid="5" name="MSIP_Label_8e61996e-cafd-4c9a-8a94-2dc1b82131ae_SetDate">
    <vt:lpwstr>2019-07-04T16:48:20.4429169Z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5db9a622-4a6a-438b-af73-686278d5c9d7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