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56263AA7-8AF2-410B-BD9C-58D0CBC79AFC}" xr6:coauthVersionLast="47" xr6:coauthVersionMax="47" xr10:uidLastSave="{00000000-0000-0000-0000-000000000000}"/>
  <bookViews>
    <workbookView xWindow="345" yWindow="810" windowWidth="28800" windowHeight="11235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externalReferences>
    <externalReference r:id="rId8"/>
  </externalReferences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<sst xmlns="http://schemas.openxmlformats.org/spreadsheetml/2006/main" count="1631" uniqueCount="493">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</sst>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8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0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0.84472980113763063</c:v>
                </c:pt>
                <c:pt idx="1">
                  <c:v>0.85413602350379358</c:v>
                </c:pt>
                <c:pt idx="2">
                  <c:v>0.85802904247659162</c:v>
                </c:pt>
                <c:pt idx="3">
                  <c:v>0.83862467997507517</c:v>
                </c:pt>
                <c:pt idx="4">
                  <c:v>0.78971731765291686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149.71664686477069</c:v>
                </c:pt>
                <c:pt idx="1">
                  <c:v>145.24564501581557</c:v>
                </c:pt>
                <c:pt idx="2">
                  <c:v>136.99352101218651</c:v>
                </c:pt>
                <c:pt idx="3">
                  <c:v>122.83390994646659</c:v>
                </c:pt>
                <c:pt idx="4">
                  <c:v>103.28051784508978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abSelected="1" zoomScale="85" zoomScaleNormal="85" workbookViewId="0">
      <selection activeCell="AQ7" sqref="AQ7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450" t="s">
        <v>415</v>
      </c>
      <c r="B3" s="451"/>
      <c r="C3" s="451"/>
      <c r="D3" s="449"/>
      <c r="E3" s="449"/>
      <c r="F3" s="449"/>
      <c r="G3" s="449"/>
      <c r="H3" s="449"/>
      <c r="I3" s="449"/>
      <c r="J3" s="449"/>
      <c r="K3" s="449"/>
      <c r="L3" s="449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24" t="s">
        <v>5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20"/>
      <c r="AE4" s="520"/>
      <c r="AF4" s="520"/>
      <c r="AG4" s="520"/>
      <c r="AH4" s="520"/>
      <c r="AI4" s="520"/>
      <c r="AJ4" s="520"/>
      <c r="AK4" s="520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26" t="s">
        <v>8</v>
      </c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527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8" t="s">
        <v>282</v>
      </c>
      <c r="B6" s="529"/>
      <c r="C6" s="529"/>
      <c r="D6" s="529"/>
      <c r="E6" s="529"/>
      <c r="F6" s="529"/>
      <c r="G6" s="529"/>
      <c r="H6" s="529"/>
      <c r="I6" s="529"/>
      <c r="J6" s="529"/>
      <c r="K6" s="529"/>
      <c r="L6" s="529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521"/>
      <c r="F8" s="521"/>
      <c r="G8" s="521"/>
      <c r="H8" s="521"/>
      <c r="I8" s="521"/>
      <c r="J8" s="521"/>
      <c r="K8" s="521"/>
      <c r="L8" s="521"/>
      <c r="M8" s="521"/>
      <c r="N8" s="521"/>
      <c r="O8" s="521"/>
      <c r="P8" s="521"/>
      <c r="Q8" s="521"/>
      <c r="R8" s="521"/>
      <c r="S8" s="521"/>
      <c r="T8" s="521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520"/>
      <c r="F9" s="520"/>
      <c r="G9" s="520"/>
      <c r="H9" s="520"/>
      <c r="I9" s="520"/>
      <c r="J9" s="520"/>
      <c r="K9" s="520"/>
      <c r="L9" s="520"/>
      <c r="M9" s="520"/>
      <c r="N9" s="520"/>
      <c r="O9" s="520"/>
      <c r="P9" s="520"/>
      <c r="Q9" s="520"/>
      <c r="R9" s="520"/>
      <c r="S9" s="520"/>
      <c r="T9" s="520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520"/>
      <c r="F10" s="520"/>
      <c r="G10" s="520"/>
      <c r="H10" s="520"/>
      <c r="I10" s="520"/>
      <c r="J10" s="520"/>
      <c r="K10" s="520"/>
      <c r="L10" s="520"/>
      <c r="M10" s="520"/>
      <c r="N10" s="520"/>
      <c r="O10" s="520"/>
      <c r="P10" s="520"/>
      <c r="Q10" s="520"/>
      <c r="R10" s="520"/>
      <c r="S10" s="520"/>
      <c r="T10" s="520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517" t="s">
        <v>31</v>
      </c>
      <c r="C15" s="518"/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522" t="s">
        <v>32</v>
      </c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3"/>
      <c r="N16" s="523"/>
      <c r="O16" s="523"/>
      <c r="P16" s="523"/>
      <c r="Q16" s="523"/>
      <c r="R16" s="523"/>
      <c r="S16" s="13"/>
      <c r="T16" s="517" t="s">
        <v>33</v>
      </c>
      <c r="U16" s="518"/>
      <c r="V16" s="518"/>
      <c r="W16" s="518"/>
      <c r="X16" s="518"/>
      <c r="Y16" s="519"/>
      <c r="Z16" s="517" t="s">
        <v>34</v>
      </c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7" t="s">
        <v>35</v>
      </c>
      <c r="U17" s="518"/>
      <c r="V17" s="519"/>
      <c r="W17" s="517" t="s">
        <v>36</v>
      </c>
      <c r="X17" s="518"/>
      <c r="Y17" s="519"/>
      <c r="Z17" s="517" t="s">
        <v>35</v>
      </c>
      <c r="AA17" s="518"/>
      <c r="AB17" s="519"/>
      <c r="AC17" s="517" t="s">
        <v>36</v>
      </c>
      <c r="AD17" s="518"/>
      <c r="AE17" s="519"/>
      <c r="AF17" s="517" t="s">
        <v>35</v>
      </c>
      <c r="AG17" s="518"/>
      <c r="AH17" s="519"/>
      <c r="AI17" s="517" t="s">
        <v>36</v>
      </c>
      <c r="AJ17" s="518"/>
      <c r="AK17" s="518"/>
      <c r="AL17" s="518"/>
      <c r="AM17" s="519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32"/>
      <c r="U18" s="533"/>
      <c r="V18" s="534"/>
      <c r="W18" s="532"/>
      <c r="X18" s="533"/>
      <c r="Y18" s="534"/>
      <c r="Z18" s="532"/>
      <c r="AA18" s="533"/>
      <c r="AB18" s="534"/>
      <c r="AC18" s="532"/>
      <c r="AD18" s="533"/>
      <c r="AE18" s="534"/>
      <c r="AF18" s="532"/>
      <c r="AG18" s="533"/>
      <c r="AH18" s="534"/>
      <c r="AI18" s="532"/>
      <c r="AJ18" s="533"/>
      <c r="AK18" s="533"/>
      <c r="AL18" s="533"/>
      <c r="AM18" s="534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32"/>
      <c r="U19" s="533"/>
      <c r="V19" s="534"/>
      <c r="W19" s="532"/>
      <c r="X19" s="533"/>
      <c r="Y19" s="534"/>
      <c r="Z19" s="532"/>
      <c r="AA19" s="533"/>
      <c r="AB19" s="534"/>
      <c r="AC19" s="532"/>
      <c r="AD19" s="533"/>
      <c r="AE19" s="534"/>
      <c r="AF19" s="532"/>
      <c r="AG19" s="533"/>
      <c r="AH19" s="534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4"/>
      <c r="U21" s="515"/>
      <c r="V21" s="516"/>
      <c r="W21" s="505">
        <v>327439.09999999998</v>
      </c>
      <c r="X21" s="506"/>
      <c r="Y21" s="507"/>
      <c r="Z21" s="535"/>
      <c r="AA21" s="536"/>
      <c r="AB21" s="537"/>
      <c r="AC21" s="487"/>
      <c r="AD21" s="488"/>
      <c r="AE21" s="489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84">
        <v>17</v>
      </c>
      <c r="U23" s="485"/>
      <c r="V23" s="486"/>
      <c r="W23" s="505">
        <v>499.4</v>
      </c>
      <c r="X23" s="506"/>
      <c r="Y23" s="507"/>
      <c r="Z23" s="508"/>
      <c r="AA23" s="509"/>
      <c r="AB23" s="510"/>
      <c r="AC23" s="493"/>
      <c r="AD23" s="494"/>
      <c r="AE23" s="495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4">
        <v>40</v>
      </c>
      <c r="U24" s="485"/>
      <c r="V24" s="486"/>
      <c r="W24" s="505">
        <v>84.8</v>
      </c>
      <c r="X24" s="506"/>
      <c r="Y24" s="507"/>
      <c r="Z24" s="508"/>
      <c r="AA24" s="509"/>
      <c r="AB24" s="510"/>
      <c r="AC24" s="493"/>
      <c r="AD24" s="494"/>
      <c r="AE24" s="495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38" t="s">
        <v>306</v>
      </c>
      <c r="AR24" s="539"/>
      <c r="AS24" s="540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62" t="s">
        <v>307</v>
      </c>
      <c r="AR25" s="563"/>
      <c r="AS25" s="255">
        <v>0.81849193197828662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64" t="s">
        <v>308</v>
      </c>
      <c r="AR26" s="560"/>
      <c r="AS26" s="345">
        <v>11421781.562105583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11"/>
      <c r="AD27" s="512"/>
      <c r="AE27" s="513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65" t="s">
        <v>309</v>
      </c>
      <c r="AR27" s="566"/>
      <c r="AS27" s="341">
        <v>2.9769601339209655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61" t="s">
        <v>382</v>
      </c>
      <c r="AQ28" s="530" t="s">
        <v>378</v>
      </c>
      <c r="AR28" s="531"/>
      <c r="AS28" s="344">
        <v>133484.90541862699</v>
      </c>
      <c r="AT28" s="59" t="s">
        <v>381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4">
        <v>11370.6</v>
      </c>
      <c r="U29" s="515"/>
      <c r="V29" s="516"/>
      <c r="W29" s="505">
        <v>0</v>
      </c>
      <c r="X29" s="506"/>
      <c r="Y29" s="507"/>
      <c r="Z29" s="508"/>
      <c r="AA29" s="509"/>
      <c r="AB29" s="510"/>
      <c r="AC29" s="493"/>
      <c r="AD29" s="494"/>
      <c r="AE29" s="495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62"/>
      <c r="AQ29" s="553" t="s">
        <v>377</v>
      </c>
      <c r="AR29" s="554"/>
      <c r="AS29" s="346">
        <v>142.7403988908506</v>
      </c>
      <c r="AT29" s="59" t="s">
        <v>146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63"/>
      <c r="AQ30" s="555" t="s">
        <v>379</v>
      </c>
      <c r="AR30" s="556"/>
      <c r="AS30" s="340">
        <v>9749.9450996777814</v>
      </c>
      <c r="AT30" s="59" t="s">
        <v>311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4">
        <v>66.099999999999994</v>
      </c>
      <c r="U31" s="485"/>
      <c r="V31" s="486"/>
      <c r="W31" s="505">
        <v>499.5</v>
      </c>
      <c r="X31" s="506"/>
      <c r="Y31" s="507"/>
      <c r="Z31" s="508"/>
      <c r="AA31" s="509"/>
      <c r="AB31" s="510"/>
      <c r="AC31" s="493"/>
      <c r="AD31" s="494"/>
      <c r="AE31" s="495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61" t="s">
        <v>383</v>
      </c>
      <c r="AQ31" s="557" t="s">
        <v>378</v>
      </c>
      <c r="AR31" s="558"/>
      <c r="AS31" s="343">
        <v>133198.91956291537</v>
      </c>
      <c r="AT31" s="59" t="s">
        <v>381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4">
        <v>141.5</v>
      </c>
      <c r="U32" s="485"/>
      <c r="V32" s="486"/>
      <c r="W32" s="505">
        <v>84.899999999999991</v>
      </c>
      <c r="X32" s="506"/>
      <c r="Y32" s="507"/>
      <c r="Z32" s="508"/>
      <c r="AA32" s="509"/>
      <c r="AB32" s="510"/>
      <c r="AC32" s="493"/>
      <c r="AD32" s="494"/>
      <c r="AE32" s="495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62"/>
      <c r="AQ32" s="559" t="s">
        <v>310</v>
      </c>
      <c r="AR32" s="560"/>
      <c r="AS32" s="347">
        <v>0.871676061339274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63"/>
      <c r="AQ33" s="561" t="s">
        <v>380</v>
      </c>
      <c r="AR33" s="552"/>
      <c r="AS33" s="342">
        <v>9586.4585274438905</v>
      </c>
      <c r="AT33" s="9" t="s">
        <v>311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51" t="s">
        <v>296</v>
      </c>
      <c r="AR34" s="552"/>
      <c r="AS34" s="342">
        <v>225847.41062266074</v>
      </c>
      <c r="AT34" s="59" t="s">
        <v>303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4">
        <v>9710</v>
      </c>
      <c r="U35" s="485"/>
      <c r="V35" s="486"/>
      <c r="W35" s="505">
        <v>0.1</v>
      </c>
      <c r="X35" s="506"/>
      <c r="Y35" s="507"/>
      <c r="Z35" s="508"/>
      <c r="AA35" s="509"/>
      <c r="AB35" s="510"/>
      <c r="AC35" s="493"/>
      <c r="AD35" s="494"/>
      <c r="AE35" s="495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2">
        <v>9802</v>
      </c>
      <c r="U36" s="503"/>
      <c r="V36" s="503"/>
      <c r="W36" s="503"/>
      <c r="X36" s="503"/>
      <c r="Y36" s="504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41" t="s">
        <v>348</v>
      </c>
      <c r="AQ36" s="542"/>
      <c r="AR36" s="542"/>
      <c r="AS36" s="543"/>
      <c r="AT36" s="544" t="s">
        <v>349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350</v>
      </c>
      <c r="AQ37" s="545" t="s">
        <v>351</v>
      </c>
      <c r="AR37" s="545"/>
      <c r="AS37" s="266" t="s">
        <v>352</v>
      </c>
      <c r="AT37" s="544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4">
        <v>12493</v>
      </c>
      <c r="U38" s="485"/>
      <c r="V38" s="485"/>
      <c r="W38" s="485"/>
      <c r="X38" s="485"/>
      <c r="Y38" s="486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546" t="s">
        <v>353</v>
      </c>
      <c r="AR38" s="546"/>
      <c r="AS38" s="268" t="s">
        <v>67</v>
      </c>
      <c r="AT38" s="544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0">
        <v>9594</v>
      </c>
      <c r="AQ39" s="547">
        <v>145.9</v>
      </c>
      <c r="AR39" s="548"/>
      <c r="AS39" s="269">
        <v>0.85</v>
      </c>
      <c r="AT39" s="544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4">
        <v>132500</v>
      </c>
      <c r="U40" s="485"/>
      <c r="V40" s="486"/>
      <c r="W40" s="487">
        <v>0</v>
      </c>
      <c r="X40" s="488"/>
      <c r="Y40" s="489"/>
      <c r="Z40" s="490"/>
      <c r="AA40" s="491"/>
      <c r="AB40" s="492"/>
      <c r="AC40" s="493"/>
      <c r="AD40" s="494"/>
      <c r="AE40" s="495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0">
        <v>10593</v>
      </c>
      <c r="AQ40" s="547">
        <v>139.30000000000001</v>
      </c>
      <c r="AR40" s="548"/>
      <c r="AS40" s="269">
        <v>0.85699999999999998</v>
      </c>
      <c r="AT40" s="544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6">
        <v>0.8589</v>
      </c>
      <c r="U41" s="497"/>
      <c r="V41" s="498"/>
      <c r="W41" s="487">
        <v>0</v>
      </c>
      <c r="X41" s="488"/>
      <c r="Y41" s="489"/>
      <c r="Z41" s="499"/>
      <c r="AA41" s="500"/>
      <c r="AB41" s="501"/>
      <c r="AC41" s="493"/>
      <c r="AD41" s="494"/>
      <c r="AE41" s="495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0">
        <v>11370.6</v>
      </c>
      <c r="AQ41" s="547">
        <v>133.19891956291536</v>
      </c>
      <c r="AR41" s="548"/>
      <c r="AS41" s="269">
        <v>0.871676061339274</v>
      </c>
      <c r="AT41" s="544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0">
        <v>11409.497079890152</v>
      </c>
      <c r="AQ42" s="549">
        <v>133.19891956291536</v>
      </c>
      <c r="AR42" s="549"/>
      <c r="AS42" s="269">
        <v>0.871676061339274</v>
      </c>
      <c r="AT42" s="544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0">
        <v>12407</v>
      </c>
      <c r="AQ43" s="549">
        <v>119.3</v>
      </c>
      <c r="AR43" s="549"/>
      <c r="AS43" s="269">
        <v>0.84199999999999997</v>
      </c>
      <c r="AT43" s="544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0">
        <v>13296</v>
      </c>
      <c r="AQ44" s="549">
        <v>102.96</v>
      </c>
      <c r="AR44" s="549"/>
      <c r="AS44" s="269">
        <v>0.80300000000000005</v>
      </c>
      <c r="AT44" s="544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0"/>
      <c r="AQ45" s="549"/>
      <c r="AR45" s="549"/>
      <c r="AS45" s="269"/>
      <c r="AT45" s="544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1"/>
      <c r="AQ46" s="550"/>
      <c r="AR46" s="550"/>
      <c r="AS46" s="292"/>
      <c r="AT46" s="544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0"/>
      <c r="AP50" s="440"/>
      <c r="AQ50" s="440"/>
      <c r="AR50" s="440"/>
      <c r="AS50" s="440"/>
      <c r="AT50" s="440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0"/>
      <c r="AP51" s="440"/>
      <c r="AQ51" s="440"/>
      <c r="AR51" s="440"/>
      <c r="AS51" s="440"/>
      <c r="AT51" s="440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0"/>
      <c r="AP52" s="440"/>
      <c r="AQ52" s="440"/>
      <c r="AR52" s="440"/>
      <c r="AS52" s="440"/>
      <c r="AT52" s="440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0"/>
      <c r="AP53" s="440"/>
      <c r="AQ53" s="440"/>
      <c r="AR53" s="440"/>
      <c r="AS53" s="440"/>
      <c r="AT53" s="440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0"/>
      <c r="AP54" s="440"/>
      <c r="AQ54" s="440"/>
      <c r="AR54" s="440"/>
      <c r="AS54" s="440"/>
      <c r="AT54" s="440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0"/>
      <c r="AP55" s="440"/>
      <c r="AQ55" s="440"/>
      <c r="AR55" s="440"/>
      <c r="AS55" s="440"/>
      <c r="AT55" s="440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0"/>
      <c r="AP56" s="440"/>
      <c r="AQ56" s="440"/>
      <c r="AR56" s="440"/>
      <c r="AS56" s="440"/>
      <c r="AT56" s="440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0"/>
      <c r="AP57" s="440"/>
      <c r="AQ57" s="440"/>
      <c r="AR57" s="440"/>
      <c r="AS57" s="440"/>
      <c r="AT57" s="440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0"/>
      <c r="AP58" s="440"/>
      <c r="AQ58" s="440"/>
      <c r="AR58" s="440"/>
      <c r="AS58" s="440"/>
      <c r="AT58" s="440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65">
        <v>0</v>
      </c>
      <c r="X61" s="465"/>
      <c r="Y61" s="465"/>
      <c r="Z61" s="465"/>
      <c r="AA61" s="465"/>
      <c r="AB61" s="91" t="s">
        <v>2</v>
      </c>
      <c r="AC61" s="91"/>
      <c r="AD61" s="91"/>
      <c r="AE61" s="465" t="s">
        <v>84</v>
      </c>
      <c r="AF61" s="465"/>
      <c r="AG61" s="465"/>
      <c r="AH61" s="465"/>
      <c r="AI61" s="465"/>
      <c r="AJ61" s="465"/>
      <c r="AK61" s="465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66" t="s">
        <v>84</v>
      </c>
      <c r="Y62" s="466"/>
      <c r="Z62" s="466"/>
      <c r="AA62" s="466"/>
      <c r="AB62" s="96" t="s">
        <v>7</v>
      </c>
      <c r="AC62" s="96"/>
      <c r="AD62" s="465" t="s">
        <v>84</v>
      </c>
      <c r="AE62" s="465"/>
      <c r="AF62" s="465"/>
      <c r="AG62" s="465"/>
      <c r="AH62" s="465"/>
      <c r="AI62" s="465"/>
      <c r="AJ62" s="465"/>
      <c r="AK62" s="465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67" t="s">
        <v>89</v>
      </c>
      <c r="L66" s="468"/>
      <c r="M66" s="468"/>
      <c r="N66" s="468"/>
      <c r="O66" s="468"/>
      <c r="P66" s="468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82" t="s">
        <v>96</v>
      </c>
      <c r="AE67" s="483"/>
      <c r="AF67" s="483"/>
      <c r="AG67" s="483"/>
      <c r="AH67" s="483"/>
      <c r="AI67" s="483"/>
      <c r="AJ67" s="483"/>
      <c r="AK67" s="483"/>
      <c r="AL67" s="483"/>
      <c r="AM67" s="116"/>
      <c r="AN67" s="9"/>
      <c r="AO67" s="422"/>
      <c r="AP67" s="422"/>
      <c r="AQ67" s="422"/>
      <c r="AR67" s="425"/>
      <c r="AS67" s="425"/>
      <c r="AT67" s="425"/>
      <c r="AU67" s="425"/>
      <c r="AV67" s="425"/>
      <c r="AW67" s="425"/>
      <c r="AX67" s="425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2"/>
      <c r="AP68" s="422"/>
      <c r="AQ68" s="422"/>
      <c r="AR68" s="425"/>
      <c r="AS68" s="425"/>
      <c r="AT68" s="425"/>
      <c r="AU68" s="425"/>
      <c r="AV68" s="425"/>
      <c r="AW68" s="425"/>
      <c r="AX68" s="425"/>
    </row>
    <row r="69" spans="1:50" x14ac:dyDescent="0.25">
      <c r="A69" s="105">
        <f t="shared" si="1"/>
        <v>5</v>
      </c>
      <c r="B69" s="458" t="s">
        <v>477</v>
      </c>
      <c r="C69" s="459" t="s">
        <v>477</v>
      </c>
      <c r="D69" s="459" t="s">
        <v>477</v>
      </c>
      <c r="E69" s="459" t="s">
        <v>477</v>
      </c>
      <c r="F69" s="459" t="s">
        <v>477</v>
      </c>
      <c r="G69" s="460" t="s">
        <v>477</v>
      </c>
      <c r="H69" s="231"/>
      <c r="I69" s="232"/>
      <c r="J69" s="227"/>
      <c r="K69" s="452">
        <v>0.55064000000000002</v>
      </c>
      <c r="L69" s="453"/>
      <c r="M69" s="454"/>
      <c r="N69" s="455">
        <v>0.73660000000000003</v>
      </c>
      <c r="O69" s="456"/>
      <c r="P69" s="457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23"/>
      <c r="AP69" s="423"/>
      <c r="AQ69" s="423"/>
      <c r="AR69" s="425"/>
      <c r="AS69" s="425"/>
      <c r="AT69" s="425"/>
      <c r="AU69" s="425"/>
      <c r="AV69" s="425"/>
      <c r="AW69" s="425"/>
      <c r="AX69" s="425"/>
    </row>
    <row r="70" spans="1:50" x14ac:dyDescent="0.25">
      <c r="A70" s="105">
        <f t="shared" si="1"/>
        <v>6</v>
      </c>
      <c r="B70" s="458" t="s">
        <v>98</v>
      </c>
      <c r="C70" s="459" t="s">
        <v>477</v>
      </c>
      <c r="D70" s="459" t="s">
        <v>477</v>
      </c>
      <c r="E70" s="459" t="s">
        <v>477</v>
      </c>
      <c r="F70" s="459" t="s">
        <v>477</v>
      </c>
      <c r="G70" s="460" t="s">
        <v>477</v>
      </c>
      <c r="H70" s="231"/>
      <c r="I70" s="232"/>
      <c r="J70" s="227"/>
      <c r="K70" s="452">
        <v>7.8490000000000004E-2</v>
      </c>
      <c r="L70" s="453"/>
      <c r="M70" s="454"/>
      <c r="N70" s="455">
        <v>0.11527</v>
      </c>
      <c r="O70" s="456"/>
      <c r="P70" s="457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23"/>
      <c r="AP70" s="423"/>
      <c r="AQ70" s="423"/>
      <c r="AR70" s="425"/>
      <c r="AS70" s="425"/>
      <c r="AT70" s="425"/>
      <c r="AU70" s="425"/>
      <c r="AV70" s="425"/>
      <c r="AW70" s="425"/>
      <c r="AX70" s="425"/>
    </row>
    <row r="71" spans="1:50" x14ac:dyDescent="0.25">
      <c r="A71" s="105">
        <f t="shared" si="1"/>
        <v>7</v>
      </c>
      <c r="B71" s="458" t="s">
        <v>472</v>
      </c>
      <c r="C71" s="459" t="s">
        <v>477</v>
      </c>
      <c r="D71" s="459" t="s">
        <v>477</v>
      </c>
      <c r="E71" s="459" t="s">
        <v>477</v>
      </c>
      <c r="F71" s="459" t="s">
        <v>477</v>
      </c>
      <c r="G71" s="460" t="s">
        <v>477</v>
      </c>
      <c r="H71" s="231"/>
      <c r="I71" s="232"/>
      <c r="J71" s="227"/>
      <c r="K71" s="452">
        <v>0</v>
      </c>
      <c r="L71" s="453"/>
      <c r="M71" s="454"/>
      <c r="N71" s="455">
        <v>7.3779999999999998E-2</v>
      </c>
      <c r="O71" s="456"/>
      <c r="P71" s="457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23"/>
      <c r="AP71" s="423"/>
      <c r="AQ71" s="423"/>
      <c r="AR71" s="425"/>
      <c r="AS71" s="425"/>
      <c r="AT71" s="425"/>
      <c r="AU71" s="425"/>
      <c r="AV71" s="425"/>
      <c r="AW71" s="425"/>
      <c r="AX71" s="425"/>
    </row>
    <row r="72" spans="1:50" x14ac:dyDescent="0.25">
      <c r="A72" s="105">
        <f t="shared" si="1"/>
        <v>8</v>
      </c>
      <c r="B72" s="458" t="s">
        <v>99</v>
      </c>
      <c r="C72" s="459" t="s">
        <v>477</v>
      </c>
      <c r="D72" s="459" t="s">
        <v>477</v>
      </c>
      <c r="E72" s="459" t="s">
        <v>477</v>
      </c>
      <c r="F72" s="459" t="s">
        <v>477</v>
      </c>
      <c r="G72" s="460" t="s">
        <v>477</v>
      </c>
      <c r="H72" s="231"/>
      <c r="I72" s="232"/>
      <c r="J72" s="227"/>
      <c r="K72" s="452">
        <v>7.1590000000000001E-2</v>
      </c>
      <c r="L72" s="453"/>
      <c r="M72" s="454"/>
      <c r="N72" s="455">
        <v>1.8689999999999998E-2</v>
      </c>
      <c r="O72" s="456"/>
      <c r="P72" s="457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23"/>
      <c r="AP72" s="423"/>
      <c r="AQ72" s="423"/>
      <c r="AR72" s="425"/>
      <c r="AS72" s="425"/>
      <c r="AT72" s="425"/>
      <c r="AU72" s="425"/>
      <c r="AV72" s="425"/>
      <c r="AW72" s="425"/>
      <c r="AX72" s="425"/>
    </row>
    <row r="73" spans="1:50" x14ac:dyDescent="0.25">
      <c r="A73" s="105">
        <f t="shared" si="1"/>
        <v>9</v>
      </c>
      <c r="B73" s="458" t="s">
        <v>481</v>
      </c>
      <c r="C73" s="459" t="s">
        <v>477</v>
      </c>
      <c r="D73" s="459" t="s">
        <v>477</v>
      </c>
      <c r="E73" s="459" t="s">
        <v>477</v>
      </c>
      <c r="F73" s="459" t="s">
        <v>477</v>
      </c>
      <c r="G73" s="460" t="s">
        <v>477</v>
      </c>
      <c r="H73" s="231"/>
      <c r="I73" s="232"/>
      <c r="J73" s="227"/>
      <c r="K73" s="452">
        <v>0</v>
      </c>
      <c r="L73" s="453"/>
      <c r="M73" s="454"/>
      <c r="N73" s="455">
        <v>1.0999999999999999E-2</v>
      </c>
      <c r="O73" s="456"/>
      <c r="P73" s="457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23"/>
      <c r="AP73" s="423"/>
      <c r="AQ73" s="423"/>
      <c r="AR73" s="425"/>
      <c r="AS73" s="425"/>
      <c r="AT73" s="425"/>
      <c r="AU73" s="425"/>
      <c r="AV73" s="425"/>
      <c r="AW73" s="425"/>
      <c r="AX73" s="425"/>
    </row>
    <row r="74" spans="1:50" x14ac:dyDescent="0.25">
      <c r="A74" s="105">
        <f t="shared" si="1"/>
        <v>10</v>
      </c>
      <c r="B74" s="458" t="s">
        <v>101</v>
      </c>
      <c r="C74" s="459" t="s">
        <v>477</v>
      </c>
      <c r="D74" s="459" t="s">
        <v>477</v>
      </c>
      <c r="E74" s="459" t="s">
        <v>477</v>
      </c>
      <c r="F74" s="459" t="s">
        <v>477</v>
      </c>
      <c r="G74" s="460" t="s">
        <v>477</v>
      </c>
      <c r="H74" s="231"/>
      <c r="I74" s="232"/>
      <c r="J74" s="227"/>
      <c r="K74" s="452">
        <v>1.3100000000000001E-2</v>
      </c>
      <c r="L74" s="453"/>
      <c r="M74" s="454"/>
      <c r="N74" s="455">
        <v>3.3E-3</v>
      </c>
      <c r="O74" s="456"/>
      <c r="P74" s="457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23"/>
      <c r="AP74" s="423"/>
      <c r="AQ74" s="423"/>
      <c r="AR74" s="425"/>
      <c r="AS74" s="425"/>
      <c r="AT74" s="425"/>
      <c r="AU74" s="425"/>
      <c r="AV74" s="425"/>
      <c r="AW74" s="425"/>
      <c r="AX74" s="425"/>
    </row>
    <row r="75" spans="1:50" x14ac:dyDescent="0.25">
      <c r="A75" s="105">
        <f t="shared" si="1"/>
        <v>11</v>
      </c>
      <c r="B75" s="458" t="s">
        <v>100</v>
      </c>
      <c r="C75" s="459" t="s">
        <v>477</v>
      </c>
      <c r="D75" s="459" t="s">
        <v>477</v>
      </c>
      <c r="E75" s="459" t="s">
        <v>477</v>
      </c>
      <c r="F75" s="459" t="s">
        <v>477</v>
      </c>
      <c r="G75" s="460" t="s">
        <v>477</v>
      </c>
      <c r="H75" s="231"/>
      <c r="I75" s="232"/>
      <c r="J75" s="227"/>
      <c r="K75" s="452">
        <v>3.0499999999999999E-2</v>
      </c>
      <c r="L75" s="453"/>
      <c r="M75" s="454"/>
      <c r="N75" s="455">
        <v>3.0000000000000001E-3</v>
      </c>
      <c r="O75" s="456"/>
      <c r="P75" s="457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23"/>
      <c r="AP75" s="423"/>
      <c r="AQ75" s="423"/>
      <c r="AR75" s="425"/>
      <c r="AS75" s="425"/>
      <c r="AT75" s="425"/>
      <c r="AU75" s="425"/>
      <c r="AV75" s="425"/>
      <c r="AW75" s="425"/>
      <c r="AX75" s="425"/>
    </row>
    <row r="76" spans="1:50" x14ac:dyDescent="0.25">
      <c r="A76" s="105">
        <f t="shared" si="1"/>
        <v>12</v>
      </c>
      <c r="B76" s="458" t="s">
        <v>103</v>
      </c>
      <c r="C76" s="459" t="s">
        <v>477</v>
      </c>
      <c r="D76" s="459" t="s">
        <v>477</v>
      </c>
      <c r="E76" s="459" t="s">
        <v>477</v>
      </c>
      <c r="F76" s="459" t="s">
        <v>477</v>
      </c>
      <c r="G76" s="460" t="s">
        <v>477</v>
      </c>
      <c r="H76" s="231"/>
      <c r="I76" s="232"/>
      <c r="J76" s="227"/>
      <c r="K76" s="452">
        <v>5.4999999999999997E-3</v>
      </c>
      <c r="L76" s="453"/>
      <c r="M76" s="454"/>
      <c r="N76" s="455">
        <v>5.9999999999999995E-4</v>
      </c>
      <c r="O76" s="456"/>
      <c r="P76" s="457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23"/>
      <c r="AP76" s="423"/>
      <c r="AQ76" s="423"/>
      <c r="AR76" s="425"/>
      <c r="AS76" s="425"/>
      <c r="AT76" s="425"/>
      <c r="AU76" s="425"/>
      <c r="AV76" s="425"/>
      <c r="AW76" s="425"/>
      <c r="AX76" s="425"/>
    </row>
    <row r="77" spans="1:50" x14ac:dyDescent="0.25">
      <c r="A77" s="105">
        <f t="shared" si="1"/>
        <v>13</v>
      </c>
      <c r="B77" s="458" t="s">
        <v>102</v>
      </c>
      <c r="C77" s="459" t="s">
        <v>477</v>
      </c>
      <c r="D77" s="459" t="s">
        <v>477</v>
      </c>
      <c r="E77" s="459" t="s">
        <v>477</v>
      </c>
      <c r="F77" s="459" t="s">
        <v>477</v>
      </c>
      <c r="G77" s="460" t="s">
        <v>477</v>
      </c>
      <c r="H77" s="231"/>
      <c r="I77" s="232"/>
      <c r="J77" s="227"/>
      <c r="K77" s="452">
        <v>7.9000000000000008E-3</v>
      </c>
      <c r="L77" s="453"/>
      <c r="M77" s="454"/>
      <c r="N77" s="455">
        <v>0</v>
      </c>
      <c r="O77" s="456"/>
      <c r="P77" s="457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23"/>
      <c r="AP77" s="423"/>
      <c r="AQ77" s="423"/>
      <c r="AR77" s="425"/>
      <c r="AS77" s="425"/>
      <c r="AT77" s="425"/>
      <c r="AU77" s="425"/>
      <c r="AV77" s="425"/>
      <c r="AW77" s="425"/>
      <c r="AX77" s="425"/>
    </row>
    <row r="78" spans="1:50" x14ac:dyDescent="0.25">
      <c r="A78" s="105">
        <f t="shared" si="1"/>
        <v>14</v>
      </c>
      <c r="B78" s="458" t="s">
        <v>105</v>
      </c>
      <c r="C78" s="459" t="s">
        <v>477</v>
      </c>
      <c r="D78" s="459" t="s">
        <v>477</v>
      </c>
      <c r="E78" s="459" t="s">
        <v>477</v>
      </c>
      <c r="F78" s="459" t="s">
        <v>477</v>
      </c>
      <c r="G78" s="460" t="s">
        <v>477</v>
      </c>
      <c r="H78" s="231"/>
      <c r="I78" s="232"/>
      <c r="J78" s="227"/>
      <c r="K78" s="452">
        <f>0.31%+0.1%+0.05%+0.02%+0.01%</f>
        <v>4.8999999999999998E-3</v>
      </c>
      <c r="L78" s="453"/>
      <c r="M78" s="454"/>
      <c r="N78" s="455">
        <v>0</v>
      </c>
      <c r="O78" s="456"/>
      <c r="P78" s="457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23"/>
      <c r="AP78" s="423"/>
      <c r="AQ78" s="423"/>
      <c r="AR78" s="425"/>
      <c r="AS78" s="425"/>
      <c r="AT78" s="425"/>
      <c r="AU78" s="425"/>
      <c r="AV78" s="425"/>
      <c r="AW78" s="425"/>
      <c r="AX78" s="425"/>
    </row>
    <row r="79" spans="1:50" x14ac:dyDescent="0.25">
      <c r="A79" s="105">
        <f t="shared" si="1"/>
        <v>15</v>
      </c>
      <c r="B79" s="458" t="s">
        <v>462</v>
      </c>
      <c r="C79" s="459" t="s">
        <v>477</v>
      </c>
      <c r="D79" s="459" t="s">
        <v>477</v>
      </c>
      <c r="E79" s="459" t="s">
        <v>477</v>
      </c>
      <c r="F79" s="459" t="s">
        <v>477</v>
      </c>
      <c r="G79" s="460" t="s">
        <v>477</v>
      </c>
      <c r="H79" s="231"/>
      <c r="I79" s="232"/>
      <c r="J79" s="227"/>
      <c r="K79" s="452">
        <v>0</v>
      </c>
      <c r="L79" s="453"/>
      <c r="M79" s="454"/>
      <c r="N79" s="455">
        <v>0</v>
      </c>
      <c r="O79" s="456"/>
      <c r="P79" s="457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23"/>
      <c r="AP79" s="423"/>
      <c r="AQ79" s="423"/>
      <c r="AR79" s="425"/>
      <c r="AS79" s="425"/>
      <c r="AT79" s="425"/>
      <c r="AU79" s="425"/>
      <c r="AV79" s="425"/>
      <c r="AW79" s="425"/>
      <c r="AX79" s="425"/>
    </row>
    <row r="80" spans="1:50" x14ac:dyDescent="0.25">
      <c r="A80" s="105">
        <f t="shared" si="1"/>
        <v>16</v>
      </c>
      <c r="B80" s="458" t="s">
        <v>467</v>
      </c>
      <c r="C80" s="459" t="s">
        <v>477</v>
      </c>
      <c r="D80" s="459" t="s">
        <v>477</v>
      </c>
      <c r="E80" s="459" t="s">
        <v>477</v>
      </c>
      <c r="F80" s="459" t="s">
        <v>477</v>
      </c>
      <c r="G80" s="460" t="s">
        <v>477</v>
      </c>
      <c r="H80" s="231"/>
      <c r="I80" s="232"/>
      <c r="J80" s="227"/>
      <c r="K80" s="452">
        <v>0.22947999999999999</v>
      </c>
      <c r="L80" s="453"/>
      <c r="M80" s="454"/>
      <c r="N80" s="455">
        <v>0</v>
      </c>
      <c r="O80" s="456"/>
      <c r="P80" s="457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23"/>
      <c r="AP80" s="423"/>
      <c r="AQ80" s="423"/>
      <c r="AR80" s="425"/>
      <c r="AS80" s="425"/>
      <c r="AT80" s="425"/>
      <c r="AU80" s="425"/>
      <c r="AV80" s="425"/>
      <c r="AW80" s="425"/>
      <c r="AX80" s="425"/>
    </row>
    <row r="81" spans="1:51" x14ac:dyDescent="0.25">
      <c r="A81" s="105">
        <f>A80+1</f>
        <v>17</v>
      </c>
      <c r="B81" s="458" t="s">
        <v>485</v>
      </c>
      <c r="C81" s="459" t="s">
        <v>477</v>
      </c>
      <c r="D81" s="459" t="s">
        <v>477</v>
      </c>
      <c r="E81" s="459" t="s">
        <v>477</v>
      </c>
      <c r="F81" s="459" t="s">
        <v>477</v>
      </c>
      <c r="G81" s="460" t="s">
        <v>477</v>
      </c>
      <c r="H81" s="231"/>
      <c r="I81" s="232"/>
      <c r="J81" s="227"/>
      <c r="K81" s="452">
        <v>4.7000000000000002E-3</v>
      </c>
      <c r="L81" s="453"/>
      <c r="M81" s="454"/>
      <c r="N81" s="455">
        <v>0</v>
      </c>
      <c r="O81" s="456"/>
      <c r="P81" s="457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23"/>
      <c r="AP81" s="423"/>
      <c r="AQ81" s="423"/>
      <c r="AR81" s="425"/>
      <c r="AS81" s="425"/>
      <c r="AT81" s="425"/>
      <c r="AU81" s="425"/>
      <c r="AV81" s="425"/>
      <c r="AW81" s="425"/>
      <c r="AX81" s="425"/>
    </row>
    <row r="82" spans="1:51" x14ac:dyDescent="0.25">
      <c r="A82" s="105">
        <f t="shared" si="1"/>
        <v>18</v>
      </c>
      <c r="B82" s="458" t="s">
        <v>107</v>
      </c>
      <c r="C82" s="459" t="s">
        <v>477</v>
      </c>
      <c r="D82" s="459" t="s">
        <v>477</v>
      </c>
      <c r="E82" s="459" t="s">
        <v>477</v>
      </c>
      <c r="F82" s="459" t="s">
        <v>477</v>
      </c>
      <c r="G82" s="460" t="s">
        <v>477</v>
      </c>
      <c r="H82" s="231"/>
      <c r="I82" s="232"/>
      <c r="J82" s="227"/>
      <c r="K82" s="452">
        <v>2.8E-3</v>
      </c>
      <c r="L82" s="453"/>
      <c r="M82" s="454"/>
      <c r="N82" s="455">
        <v>0</v>
      </c>
      <c r="O82" s="456"/>
      <c r="P82" s="457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23"/>
      <c r="AP82" s="423"/>
      <c r="AQ82" s="423"/>
      <c r="AR82" s="425"/>
      <c r="AS82" s="425"/>
      <c r="AT82" s="425"/>
      <c r="AU82" s="425"/>
      <c r="AV82" s="425"/>
      <c r="AW82" s="425"/>
      <c r="AX82" s="425"/>
    </row>
    <row r="83" spans="1:51" x14ac:dyDescent="0.25">
      <c r="A83" s="105">
        <f>A82+1</f>
        <v>19</v>
      </c>
      <c r="B83" s="458" t="s">
        <v>108</v>
      </c>
      <c r="C83" s="459" t="s">
        <v>477</v>
      </c>
      <c r="D83" s="459" t="s">
        <v>477</v>
      </c>
      <c r="E83" s="459" t="s">
        <v>477</v>
      </c>
      <c r="F83" s="459" t="s">
        <v>477</v>
      </c>
      <c r="G83" s="460" t="s">
        <v>477</v>
      </c>
      <c r="H83" s="231"/>
      <c r="I83" s="232"/>
      <c r="J83" s="227"/>
      <c r="K83" s="452">
        <v>4.0000000000000002E-4</v>
      </c>
      <c r="L83" s="453"/>
      <c r="M83" s="454"/>
      <c r="N83" s="455">
        <v>7.6E-3</v>
      </c>
      <c r="O83" s="456"/>
      <c r="P83" s="457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23"/>
      <c r="AP83" s="423"/>
      <c r="AQ83" s="423"/>
      <c r="AR83" s="425"/>
      <c r="AS83" s="425"/>
      <c r="AT83" s="425"/>
      <c r="AU83" s="425"/>
      <c r="AV83" s="425"/>
      <c r="AW83" s="425"/>
      <c r="AX83" s="425"/>
    </row>
    <row r="84" spans="1:51" x14ac:dyDescent="0.25">
      <c r="A84" s="105">
        <f t="shared" si="1"/>
        <v>20</v>
      </c>
      <c r="B84" s="458" t="s">
        <v>474</v>
      </c>
      <c r="C84" s="459" t="s">
        <v>477</v>
      </c>
      <c r="D84" s="459" t="s">
        <v>477</v>
      </c>
      <c r="E84" s="459" t="s">
        <v>477</v>
      </c>
      <c r="F84" s="459" t="s">
        <v>477</v>
      </c>
      <c r="G84" s="460" t="s">
        <v>477</v>
      </c>
      <c r="H84" s="231"/>
      <c r="I84" s="232"/>
      <c r="J84" s="227"/>
      <c r="K84" s="452">
        <v>0</v>
      </c>
      <c r="L84" s="453"/>
      <c r="M84" s="454"/>
      <c r="N84" s="455">
        <v>1.7000000000000001E-4</v>
      </c>
      <c r="O84" s="456"/>
      <c r="P84" s="457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23"/>
      <c r="AP84" s="423"/>
      <c r="AQ84" s="423"/>
      <c r="AR84" s="425"/>
      <c r="AS84" s="425"/>
      <c r="AT84" s="425"/>
      <c r="AU84" s="425"/>
      <c r="AV84" s="425"/>
      <c r="AW84" s="425"/>
      <c r="AX84" s="425"/>
    </row>
    <row r="85" spans="1:51" x14ac:dyDescent="0.25">
      <c r="A85" s="105">
        <f t="shared" si="1"/>
        <v>21</v>
      </c>
      <c r="B85" s="458" t="s">
        <v>480</v>
      </c>
      <c r="C85" s="459" t="s">
        <v>477</v>
      </c>
      <c r="D85" s="459" t="s">
        <v>477</v>
      </c>
      <c r="E85" s="459" t="s">
        <v>477</v>
      </c>
      <c r="F85" s="459" t="s">
        <v>477</v>
      </c>
      <c r="G85" s="460" t="s">
        <v>477</v>
      </c>
      <c r="H85" s="231"/>
      <c r="I85" s="232"/>
      <c r="J85" s="227"/>
      <c r="K85" s="452">
        <v>0</v>
      </c>
      <c r="L85" s="453"/>
      <c r="M85" s="454"/>
      <c r="N85" s="455">
        <v>2.9989999999999999E-2</v>
      </c>
      <c r="O85" s="456"/>
      <c r="P85" s="457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23"/>
      <c r="AP85" s="423"/>
      <c r="AQ85" s="423"/>
      <c r="AR85" s="425"/>
      <c r="AS85" s="425"/>
      <c r="AT85" s="425"/>
      <c r="AU85" s="425"/>
      <c r="AV85" s="425"/>
      <c r="AW85" s="425"/>
      <c r="AX85" s="425"/>
    </row>
    <row r="86" spans="1:51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55">
        <v>0</v>
      </c>
      <c r="O86" s="456"/>
      <c r="P86" s="457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1"/>
      <c r="AP86" s="424"/>
      <c r="AQ86" s="422"/>
      <c r="AR86" s="425"/>
      <c r="AS86" s="425"/>
      <c r="AT86" s="425"/>
      <c r="AU86" s="425"/>
      <c r="AV86" s="425"/>
      <c r="AW86" s="425"/>
      <c r="AX86" s="425"/>
    </row>
    <row r="87" spans="1:51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55">
        <v>0</v>
      </c>
      <c r="O87" s="456"/>
      <c r="P87" s="457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26"/>
    </row>
    <row r="88" spans="1:51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55">
        <v>0</v>
      </c>
      <c r="O88" s="456"/>
      <c r="P88" s="457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469">
        <f>IF(SUM(K69:M88)=0,"",SUM(K69:M85))</f>
        <v>1</v>
      </c>
      <c r="L89" s="470"/>
      <c r="M89" s="471"/>
      <c r="N89" s="472">
        <f>IF(SUM(N69:P88)=0,"",SUM(N69:P88))</f>
        <v>1</v>
      </c>
      <c r="O89" s="473"/>
      <c r="P89" s="474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475">
        <v>28.550023372999998</v>
      </c>
      <c r="L90" s="476"/>
      <c r="M90" s="477"/>
      <c r="N90" s="478" t="str">
        <f>IF(SUMPRODUCT(H69:H88,N69:N88)=0,"",SUMPRODUCT(H69:H88,N69:N88))</f>
        <v/>
      </c>
      <c r="O90" s="479"/>
      <c r="P90" s="480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[1]!FluidString(B69:B88,K69:K88)</f>
        <v>#NAME?</v>
      </c>
      <c r="L91" s="133"/>
      <c r="M91" s="133"/>
      <c r="N91" s="132" t="e">
        <f ca="1">[1]!FluidString(B69:B88,N69:N88)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64" t="s">
        <v>1</v>
      </c>
      <c r="X118" s="464"/>
      <c r="Y118" s="464"/>
      <c r="Z118" s="464"/>
      <c r="AA118" s="464"/>
      <c r="AB118" s="150" t="s">
        <v>2</v>
      </c>
      <c r="AC118" s="150"/>
      <c r="AD118" s="150"/>
      <c r="AE118" s="464" t="e">
        <v>#REF!</v>
      </c>
      <c r="AF118" s="464"/>
      <c r="AG118" s="464"/>
      <c r="AH118" s="464"/>
      <c r="AI118" s="464"/>
      <c r="AJ118" s="464"/>
      <c r="AK118" s="464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81" t="e">
        <v>#REF!</v>
      </c>
      <c r="Y119" s="481"/>
      <c r="Z119" s="481"/>
      <c r="AA119" s="481"/>
      <c r="AB119" s="162" t="s">
        <v>7</v>
      </c>
      <c r="AC119" s="162"/>
      <c r="AD119" s="464" t="e">
        <v>#REF!</v>
      </c>
      <c r="AE119" s="464"/>
      <c r="AF119" s="464"/>
      <c r="AG119" s="464"/>
      <c r="AH119" s="464"/>
      <c r="AI119" s="464"/>
      <c r="AJ119" s="464"/>
      <c r="AK119" s="464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403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26.9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3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87" t="s">
        <v>293</v>
      </c>
      <c r="C3" s="588"/>
      <c r="D3" s="245" t="s">
        <v>294</v>
      </c>
      <c r="F3" s="589" t="s">
        <v>295</v>
      </c>
      <c r="G3" s="590"/>
      <c r="H3" s="590"/>
      <c r="I3" s="590"/>
      <c r="J3" s="590"/>
      <c r="K3" s="590"/>
      <c r="L3" s="590"/>
      <c r="M3" s="590"/>
      <c r="N3" s="590"/>
      <c r="O3" s="590"/>
      <c r="P3" s="590"/>
      <c r="Q3" s="590"/>
      <c r="R3" s="590"/>
      <c r="S3" s="591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581" t="s">
        <v>477</v>
      </c>
      <c r="C4" s="582" t="s">
        <v>477</v>
      </c>
      <c r="D4" s="244">
        <v>0</v>
      </c>
      <c r="F4" s="592" t="s">
        <v>296</v>
      </c>
      <c r="G4" s="593"/>
      <c r="H4" s="597" t="s">
        <v>314</v>
      </c>
      <c r="I4" s="598"/>
      <c r="J4" s="592" t="s">
        <v>302</v>
      </c>
      <c r="K4" s="593"/>
      <c r="L4" s="594" t="s">
        <v>297</v>
      </c>
      <c r="M4" s="595"/>
      <c r="N4" s="595"/>
      <c r="O4" s="596"/>
      <c r="P4" s="594" t="s">
        <v>298</v>
      </c>
      <c r="Q4" s="595"/>
      <c r="R4" s="595"/>
      <c r="S4" s="596"/>
      <c r="T4" s="246"/>
      <c r="U4" s="246"/>
    </row>
    <row r="5" spans="2:27" x14ac:dyDescent="0.25">
      <c r="B5" s="581" t="s">
        <v>98</v>
      </c>
      <c r="C5" s="582" t="s">
        <v>477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5.75" thickBot="1" x14ac:dyDescent="0.3">
      <c r="B6" s="581" t="s">
        <v>472</v>
      </c>
      <c r="C6" s="582" t="s">
        <v>477</v>
      </c>
      <c r="D6" s="244">
        <v>0</v>
      </c>
      <c r="F6" s="250">
        <v>9.4319525364350927</v>
      </c>
      <c r="G6" s="251" t="s">
        <v>431</v>
      </c>
      <c r="H6" s="250">
        <v>2.62</v>
      </c>
      <c r="I6" s="251" t="s">
        <v>423</v>
      </c>
      <c r="J6" s="252">
        <v>10300</v>
      </c>
      <c r="K6" s="251" t="s">
        <v>304</v>
      </c>
      <c r="L6" s="252">
        <v>2</v>
      </c>
      <c r="M6" s="253" t="s">
        <v>429</v>
      </c>
      <c r="N6" s="253">
        <v>30</v>
      </c>
      <c r="O6" s="251" t="s">
        <v>305</v>
      </c>
      <c r="P6" s="252">
        <v>8.1</v>
      </c>
      <c r="Q6" s="253" t="s">
        <v>429</v>
      </c>
      <c r="R6" s="254">
        <v>134.76481812288597</v>
      </c>
      <c r="S6" s="251" t="s">
        <v>305</v>
      </c>
      <c r="U6" s="249"/>
    </row>
    <row r="7" spans="2:27" ht="15.75" thickBot="1" x14ac:dyDescent="0.3">
      <c r="B7" s="581" t="s">
        <v>99</v>
      </c>
      <c r="C7" s="582" t="s">
        <v>477</v>
      </c>
      <c r="D7" s="244">
        <v>0</v>
      </c>
      <c r="F7" s="578" t="s">
        <v>333</v>
      </c>
      <c r="G7" s="579"/>
      <c r="H7" s="579"/>
      <c r="I7" s="580"/>
    </row>
    <row r="8" spans="2:27" ht="15.75" thickBot="1" x14ac:dyDescent="0.3">
      <c r="B8" s="581" t="s">
        <v>481</v>
      </c>
      <c r="C8" s="582" t="s">
        <v>477</v>
      </c>
      <c r="D8" s="244">
        <v>0</v>
      </c>
    </row>
    <row r="9" spans="2:27" ht="15.75" thickBot="1" x14ac:dyDescent="0.3">
      <c r="B9" s="581" t="s">
        <v>101</v>
      </c>
      <c r="C9" s="582" t="s">
        <v>477</v>
      </c>
      <c r="D9" s="244">
        <v>0</v>
      </c>
      <c r="F9" s="599" t="s">
        <v>322</v>
      </c>
      <c r="G9" s="605"/>
      <c r="H9" s="605"/>
      <c r="I9" s="600"/>
      <c r="J9" s="599" t="s">
        <v>323</v>
      </c>
      <c r="K9" s="600"/>
    </row>
    <row r="10" spans="2:27" x14ac:dyDescent="0.25">
      <c r="B10" s="581" t="s">
        <v>100</v>
      </c>
      <c r="C10" s="582" t="s">
        <v>477</v>
      </c>
      <c r="D10" s="244">
        <v>0</v>
      </c>
      <c r="F10" s="572" t="s">
        <v>315</v>
      </c>
      <c r="G10" s="263" t="s">
        <v>309</v>
      </c>
      <c r="H10" s="567" t="s">
        <v>312</v>
      </c>
      <c r="I10" s="568"/>
      <c r="J10" s="601" t="s">
        <v>324</v>
      </c>
      <c r="K10" s="602"/>
    </row>
    <row r="11" spans="2:27" ht="15.75" thickBot="1" x14ac:dyDescent="0.3">
      <c r="B11" s="581" t="s">
        <v>103</v>
      </c>
      <c r="C11" s="582" t="s">
        <v>477</v>
      </c>
      <c r="D11" s="244">
        <v>0</v>
      </c>
      <c r="F11" s="573"/>
      <c r="G11" s="259">
        <v>3.006448784627509</v>
      </c>
      <c r="H11" s="569">
        <v>0.9901915339927545</v>
      </c>
      <c r="I11" s="570"/>
      <c r="J11" s="603"/>
      <c r="K11" s="604"/>
    </row>
    <row r="12" spans="2:27" x14ac:dyDescent="0.25">
      <c r="B12" s="581" t="s">
        <v>102</v>
      </c>
      <c r="C12" s="582" t="s">
        <v>477</v>
      </c>
      <c r="D12" s="244">
        <v>0</v>
      </c>
      <c r="F12" s="572" t="s">
        <v>307</v>
      </c>
      <c r="G12" s="574">
        <v>0.82887730266939474</v>
      </c>
      <c r="H12" s="567" t="s">
        <v>316</v>
      </c>
      <c r="I12" s="568"/>
      <c r="J12" s="610" t="s">
        <v>330</v>
      </c>
      <c r="K12" s="611"/>
    </row>
    <row r="13" spans="2:27" ht="15.75" thickBot="1" x14ac:dyDescent="0.3">
      <c r="B13" s="581" t="s">
        <v>483</v>
      </c>
      <c r="C13" s="582" t="s">
        <v>477</v>
      </c>
      <c r="D13" s="244">
        <v>0</v>
      </c>
      <c r="F13" s="573"/>
      <c r="G13" s="575"/>
      <c r="H13" s="616">
        <v>1.038537069110812E-2</v>
      </c>
      <c r="I13" s="617"/>
      <c r="J13" s="612"/>
      <c r="K13" s="613"/>
    </row>
    <row r="14" spans="2:27" x14ac:dyDescent="0.25">
      <c r="B14" s="581" t="s">
        <v>482</v>
      </c>
      <c r="C14" s="582" t="s">
        <v>477</v>
      </c>
      <c r="D14" s="244">
        <v>0.2</v>
      </c>
      <c r="F14" s="572" t="s">
        <v>308</v>
      </c>
      <c r="G14" s="583">
        <v>1211621.8470128567</v>
      </c>
      <c r="H14" s="567" t="s">
        <v>318</v>
      </c>
      <c r="I14" s="568"/>
      <c r="J14" s="612"/>
      <c r="K14" s="613"/>
    </row>
    <row r="15" spans="2:27" ht="15.75" thickBot="1" x14ac:dyDescent="0.3">
      <c r="B15" s="581" t="s">
        <v>467</v>
      </c>
      <c r="C15" s="582" t="s">
        <v>477</v>
      </c>
      <c r="D15" s="244">
        <v>0</v>
      </c>
      <c r="F15" s="573"/>
      <c r="G15" s="584"/>
      <c r="H15" s="618">
        <v>0.10607993511561227</v>
      </c>
      <c r="I15" s="619"/>
      <c r="J15" s="614"/>
      <c r="K15" s="615"/>
    </row>
    <row r="16" spans="2:27" x14ac:dyDescent="0.25">
      <c r="B16" s="581" t="s">
        <v>485</v>
      </c>
      <c r="C16" s="582" t="s">
        <v>477</v>
      </c>
      <c r="D16" s="244">
        <v>0</v>
      </c>
      <c r="F16" s="572" t="s">
        <v>317</v>
      </c>
      <c r="G16" s="574">
        <v>9.4506226884542063E-2</v>
      </c>
      <c r="H16" s="567" t="s">
        <v>331</v>
      </c>
      <c r="I16" s="568"/>
      <c r="J16" s="606" t="s">
        <v>325</v>
      </c>
      <c r="K16" s="607"/>
    </row>
    <row r="17" spans="2:11" ht="15.75" thickBot="1" x14ac:dyDescent="0.3">
      <c r="B17" s="581" t="s">
        <v>107</v>
      </c>
      <c r="C17" s="582" t="s">
        <v>477</v>
      </c>
      <c r="D17" s="244">
        <v>0.8</v>
      </c>
      <c r="F17" s="573"/>
      <c r="G17" s="575"/>
      <c r="H17" s="569">
        <v>1.0061203317907759</v>
      </c>
      <c r="I17" s="570"/>
      <c r="J17" s="608"/>
      <c r="K17" s="609"/>
    </row>
    <row r="18" spans="2:11" ht="15" customHeight="1" x14ac:dyDescent="0.25">
      <c r="B18" s="581" t="s">
        <v>108</v>
      </c>
      <c r="C18" s="582" t="s">
        <v>477</v>
      </c>
      <c r="D18" s="244">
        <v>0</v>
      </c>
      <c r="F18" s="572" t="s">
        <v>320</v>
      </c>
      <c r="G18" s="583">
        <v>3.8370601124942811</v>
      </c>
      <c r="H18" s="567" t="s">
        <v>332</v>
      </c>
      <c r="I18" s="568"/>
      <c r="J18" s="260"/>
      <c r="K18" s="260"/>
    </row>
    <row r="19" spans="2:11" ht="15.75" thickBot="1" x14ac:dyDescent="0.3">
      <c r="B19" s="581" t="s">
        <v>474</v>
      </c>
      <c r="C19" s="582" t="s">
        <v>477</v>
      </c>
      <c r="D19" s="244">
        <v>0</v>
      </c>
      <c r="F19" s="573"/>
      <c r="G19" s="584"/>
      <c r="H19" s="585">
        <v>1.0009415604883929</v>
      </c>
      <c r="I19" s="586"/>
      <c r="J19" s="260"/>
      <c r="K19" s="439"/>
    </row>
    <row r="20" spans="2:11" ht="15" customHeight="1" thickBot="1" x14ac:dyDescent="0.3">
      <c r="B20" s="581" t="s">
        <v>480</v>
      </c>
      <c r="C20" s="582" t="s">
        <v>477</v>
      </c>
      <c r="D20" s="244">
        <v>0</v>
      </c>
      <c r="F20" s="572" t="s">
        <v>337</v>
      </c>
      <c r="G20" s="574">
        <v>90.625495410092867</v>
      </c>
      <c r="H20" s="567" t="s">
        <v>339</v>
      </c>
      <c r="I20" s="568"/>
      <c r="J20" s="260"/>
      <c r="K20" s="260"/>
    </row>
    <row r="21" spans="2:11" ht="15.75" thickBot="1" x14ac:dyDescent="0.3">
      <c r="F21" s="573"/>
      <c r="G21" s="575"/>
      <c r="H21" s="569">
        <v>0.67891942632673608</v>
      </c>
      <c r="I21" s="571"/>
      <c r="J21" s="627" t="s">
        <v>374</v>
      </c>
      <c r="K21" s="628"/>
    </row>
    <row r="22" spans="2:11" ht="15" customHeight="1" thickBot="1" x14ac:dyDescent="0.3">
      <c r="B22" s="635" t="s">
        <v>342</v>
      </c>
      <c r="C22" s="636"/>
      <c r="D22" s="637"/>
      <c r="F22" s="572" t="s">
        <v>338</v>
      </c>
      <c r="G22" s="574">
        <v>133.68166398023567</v>
      </c>
      <c r="H22" s="567" t="s">
        <v>340</v>
      </c>
      <c r="I22" s="568"/>
      <c r="J22" s="629"/>
      <c r="K22" s="630"/>
    </row>
    <row r="23" spans="2:11" ht="15.75" thickBot="1" x14ac:dyDescent="0.3">
      <c r="B23" s="638" t="s">
        <v>346</v>
      </c>
      <c r="C23" s="640" t="s">
        <v>345</v>
      </c>
      <c r="D23" s="262" t="s">
        <v>344</v>
      </c>
      <c r="F23" s="573"/>
      <c r="G23" s="575"/>
      <c r="H23" s="576">
        <v>1.0014740135672391</v>
      </c>
      <c r="I23" s="577"/>
      <c r="J23" s="631" t="s">
        <v>492</v>
      </c>
      <c r="K23" s="632"/>
    </row>
    <row r="24" spans="2:11" ht="15" customHeight="1" thickBot="1" x14ac:dyDescent="0.3">
      <c r="B24" s="639"/>
      <c r="C24" s="641"/>
      <c r="D24" s="264">
        <v>0.01</v>
      </c>
      <c r="F24" s="572" t="s">
        <v>319</v>
      </c>
      <c r="G24" s="574">
        <v>984.01256578206562</v>
      </c>
      <c r="H24" s="567" t="s">
        <v>321</v>
      </c>
      <c r="I24" s="568"/>
      <c r="J24" s="633"/>
      <c r="K24" s="634"/>
    </row>
    <row r="25" spans="2:11" ht="15.75" thickBot="1" x14ac:dyDescent="0.3">
      <c r="B25" s="621" t="s">
        <v>347</v>
      </c>
      <c r="C25" s="624" t="s">
        <v>345</v>
      </c>
      <c r="D25" s="371" t="s">
        <v>407</v>
      </c>
      <c r="F25" s="573"/>
      <c r="G25" s="575"/>
      <c r="H25" s="569">
        <v>0.10264609844866666</v>
      </c>
      <c r="I25" s="571"/>
    </row>
    <row r="26" spans="2:11" ht="15" customHeight="1" x14ac:dyDescent="0.25">
      <c r="B26" s="622"/>
      <c r="C26" s="625"/>
      <c r="D26" s="376">
        <v>5.81</v>
      </c>
      <c r="F26" s="572" t="s">
        <v>335</v>
      </c>
      <c r="G26" s="574">
        <v>9687.6982103433274</v>
      </c>
      <c r="H26" s="567" t="s">
        <v>336</v>
      </c>
      <c r="I26" s="568"/>
    </row>
    <row r="27" spans="2:11" ht="26.25" thickBot="1" x14ac:dyDescent="0.3">
      <c r="B27" s="622"/>
      <c r="C27" s="625"/>
      <c r="D27" s="375" t="s">
        <v>406</v>
      </c>
      <c r="F27" s="573"/>
      <c r="G27" s="575"/>
      <c r="H27" s="576">
        <v>1.0105606969048695</v>
      </c>
      <c r="I27" s="577"/>
    </row>
    <row r="28" spans="2:11" ht="15" customHeight="1" x14ac:dyDescent="0.25">
      <c r="B28" s="622"/>
      <c r="C28" s="625"/>
      <c r="D28" s="376">
        <v>64.61</v>
      </c>
      <c r="F28" s="572" t="s">
        <v>341</v>
      </c>
      <c r="G28" s="642">
        <v>0.86866306490665668</v>
      </c>
      <c r="H28" s="567" t="s">
        <v>343</v>
      </c>
      <c r="I28" s="568"/>
    </row>
    <row r="29" spans="2:11" ht="26.25" thickBot="1" x14ac:dyDescent="0.3">
      <c r="B29" s="622"/>
      <c r="C29" s="625"/>
      <c r="D29" s="375" t="s">
        <v>405</v>
      </c>
      <c r="F29" s="573"/>
      <c r="G29" s="643"/>
      <c r="H29" s="576">
        <v>0.87099122918277305</v>
      </c>
      <c r="I29" s="577"/>
    </row>
    <row r="30" spans="2:11" x14ac:dyDescent="0.25">
      <c r="B30" s="622"/>
      <c r="C30" s="625"/>
      <c r="D30" s="376">
        <v>13.06</v>
      </c>
    </row>
    <row r="31" spans="2:11" ht="25.5" x14ac:dyDescent="0.25">
      <c r="B31" s="622"/>
      <c r="C31" s="625"/>
      <c r="D31" s="375" t="s">
        <v>408</v>
      </c>
    </row>
    <row r="32" spans="2:11" ht="15.75" thickBot="1" x14ac:dyDescent="0.3">
      <c r="B32" s="623"/>
      <c r="C32" s="626"/>
      <c r="D32" s="377">
        <v>13.6</v>
      </c>
    </row>
    <row r="34" spans="2:5" x14ac:dyDescent="0.25">
      <c r="B34" s="620" t="s">
        <v>409</v>
      </c>
      <c r="C34" s="620"/>
      <c r="D34" s="620"/>
      <c r="E34" s="620"/>
    </row>
    <row r="35" spans="2:5" x14ac:dyDescent="0.25">
      <c r="B35" s="620"/>
      <c r="C35" s="620"/>
      <c r="D35" s="620"/>
      <c r="E35" s="620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opLeftCell="A23" zoomScale="85" zoomScaleNormal="85" workbookViewId="0">
      <selection activeCell="D42" sqref="D42:G43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400"/>
    </row>
    <row r="3" spans="2:20" ht="15.75" thickBot="1" x14ac:dyDescent="0.3">
      <c r="B3" s="662"/>
      <c r="C3" s="662"/>
      <c r="D3" s="373"/>
      <c r="F3" s="657" t="s">
        <v>354</v>
      </c>
      <c r="G3" s="658"/>
      <c r="H3" s="658"/>
      <c r="I3" s="658"/>
      <c r="J3" s="658"/>
      <c r="K3" s="658"/>
      <c r="L3" s="658"/>
      <c r="M3" s="658"/>
      <c r="N3" s="658"/>
      <c r="O3" s="658"/>
      <c r="P3" s="658"/>
      <c r="Q3" s="659"/>
      <c r="R3" s="359"/>
      <c r="S3" s="359"/>
      <c r="T3" s="359"/>
    </row>
    <row r="4" spans="2:20" ht="15.75" thickBot="1" x14ac:dyDescent="0.3">
      <c r="B4" s="652"/>
      <c r="C4" s="652"/>
      <c r="D4" s="374"/>
      <c r="F4" s="338"/>
      <c r="G4" s="367"/>
      <c r="H4" s="367"/>
      <c r="I4" s="367"/>
      <c r="J4" s="367"/>
      <c r="K4" s="339"/>
      <c r="L4" s="361"/>
      <c r="M4" s="660" t="s">
        <v>399</v>
      </c>
      <c r="N4" s="405"/>
      <c r="O4" s="406"/>
      <c r="P4" s="406"/>
      <c r="Q4" s="406"/>
      <c r="R4" s="360"/>
      <c r="S4" s="360"/>
      <c r="T4" s="360"/>
    </row>
    <row r="5" spans="2:20" x14ac:dyDescent="0.25">
      <c r="B5" s="652"/>
      <c r="C5" s="652"/>
      <c r="D5" s="374"/>
      <c r="F5" s="270"/>
      <c r="G5" s="370" t="s">
        <v>355</v>
      </c>
      <c r="H5" s="275" t="s">
        <v>350</v>
      </c>
      <c r="I5" s="275" t="s">
        <v>357</v>
      </c>
      <c r="J5" s="275" t="s">
        <v>356</v>
      </c>
      <c r="K5" s="275" t="s">
        <v>359</v>
      </c>
      <c r="L5" s="362" t="s">
        <v>358</v>
      </c>
      <c r="M5" s="661"/>
      <c r="N5" s="271" t="s">
        <v>400</v>
      </c>
      <c r="O5" s="368" t="s">
        <v>401</v>
      </c>
      <c r="P5" s="403" t="s">
        <v>404</v>
      </c>
      <c r="Q5" s="401" t="s">
        <v>302</v>
      </c>
      <c r="R5" s="360"/>
      <c r="S5" s="360"/>
      <c r="T5" s="360"/>
    </row>
    <row r="6" spans="2:20" ht="15.75" thickBot="1" x14ac:dyDescent="0.3">
      <c r="B6" s="652"/>
      <c r="C6" s="652"/>
      <c r="D6" s="374"/>
      <c r="F6" s="270"/>
      <c r="G6" s="272" t="s">
        <v>431</v>
      </c>
      <c r="H6" s="273" t="s">
        <v>313</v>
      </c>
      <c r="I6" s="273" t="s">
        <v>429</v>
      </c>
      <c r="J6" s="273" t="s">
        <v>435</v>
      </c>
      <c r="K6" s="273" t="s">
        <v>429</v>
      </c>
      <c r="L6" s="363" t="s">
        <v>435</v>
      </c>
      <c r="M6" s="661"/>
      <c r="N6" s="256" t="s">
        <v>431</v>
      </c>
      <c r="O6" s="365" t="s">
        <v>431</v>
      </c>
      <c r="P6" s="258" t="s">
        <v>305</v>
      </c>
      <c r="Q6" s="258" t="s">
        <v>304</v>
      </c>
    </row>
    <row r="7" spans="2:20" x14ac:dyDescent="0.25">
      <c r="B7" s="652"/>
      <c r="C7" s="652"/>
      <c r="D7" s="374"/>
      <c r="F7" s="271">
        <v>1</v>
      </c>
      <c r="G7" s="356">
        <v>9.7050999999999998</v>
      </c>
      <c r="H7" s="356">
        <v>6775.0626214342547</v>
      </c>
      <c r="I7" s="274">
        <v>2.2761999999999998</v>
      </c>
      <c r="J7" s="274">
        <v>291.01</v>
      </c>
      <c r="K7" s="274">
        <v>10.45</v>
      </c>
      <c r="L7" s="364">
        <v>387.68</v>
      </c>
      <c r="M7" s="366">
        <v>3</v>
      </c>
      <c r="N7" s="407">
        <v>0.13491</v>
      </c>
      <c r="O7" s="369">
        <v>0.1</v>
      </c>
      <c r="P7" s="404">
        <v>20</v>
      </c>
      <c r="Q7" s="402">
        <v>9025.2999999999993</v>
      </c>
    </row>
    <row r="8" spans="2:20" x14ac:dyDescent="0.25">
      <c r="B8" s="652"/>
      <c r="C8" s="652"/>
      <c r="D8" s="374"/>
      <c r="F8" s="271">
        <v>2</v>
      </c>
      <c r="G8" s="356">
        <v>10.802</v>
      </c>
      <c r="H8" s="356">
        <v>7465.3521200481991</v>
      </c>
      <c r="I8" s="274">
        <v>2.2942999999999998</v>
      </c>
      <c r="J8" s="274">
        <v>290.58999999999997</v>
      </c>
      <c r="K8" s="274">
        <v>10.192</v>
      </c>
      <c r="L8" s="364">
        <v>383.75</v>
      </c>
      <c r="M8" s="366">
        <v>2</v>
      </c>
      <c r="N8" s="407">
        <v>0.12989999999999999</v>
      </c>
      <c r="O8" s="369">
        <v>0.1</v>
      </c>
      <c r="P8" s="404">
        <v>20</v>
      </c>
      <c r="Q8" s="402">
        <v>9031.6</v>
      </c>
    </row>
    <row r="9" spans="2:20" x14ac:dyDescent="0.25">
      <c r="B9" s="652"/>
      <c r="C9" s="652"/>
      <c r="D9" s="374"/>
      <c r="F9" s="271">
        <v>3</v>
      </c>
      <c r="G9" s="356">
        <v>12.038000000000002</v>
      </c>
      <c r="H9" s="356">
        <v>8159.0092158463549</v>
      </c>
      <c r="I9" s="274">
        <v>2.3353999999999999</v>
      </c>
      <c r="J9" s="274">
        <v>290.14</v>
      </c>
      <c r="K9" s="274">
        <v>9.6599000000000004</v>
      </c>
      <c r="L9" s="364">
        <v>377.94</v>
      </c>
      <c r="M9" s="366">
        <v>2</v>
      </c>
      <c r="N9" s="407">
        <v>0.12324</v>
      </c>
      <c r="O9" s="369">
        <v>0.1</v>
      </c>
      <c r="P9" s="404">
        <v>20</v>
      </c>
      <c r="Q9" s="402">
        <v>9033</v>
      </c>
    </row>
    <row r="10" spans="2:20" x14ac:dyDescent="0.25">
      <c r="B10" s="652"/>
      <c r="C10" s="652"/>
      <c r="D10" s="374"/>
      <c r="F10" s="271">
        <v>4</v>
      </c>
      <c r="G10" s="442">
        <v>13.745068936568224</v>
      </c>
      <c r="H10" s="356">
        <v>8946.8417922235221</v>
      </c>
      <c r="I10" s="274">
        <v>2.4024000000000001</v>
      </c>
      <c r="J10" s="274">
        <v>289.54000000000002</v>
      </c>
      <c r="K10" s="274">
        <v>8.8091000000000008</v>
      </c>
      <c r="L10" s="364">
        <v>370.41</v>
      </c>
      <c r="M10" s="366">
        <v>1</v>
      </c>
      <c r="N10" s="408">
        <v>0.12942999999999999</v>
      </c>
      <c r="O10" s="369">
        <v>0.1</v>
      </c>
      <c r="P10" s="404">
        <v>20</v>
      </c>
      <c r="Q10" s="402">
        <v>9029.2999999999993</v>
      </c>
    </row>
    <row r="11" spans="2:20" x14ac:dyDescent="0.25">
      <c r="B11" s="652"/>
      <c r="C11" s="652"/>
      <c r="D11" s="374"/>
      <c r="F11" s="271">
        <v>5</v>
      </c>
      <c r="G11" s="356">
        <v>15.542999999999999</v>
      </c>
      <c r="H11" s="356">
        <v>9643.7689425325789</v>
      </c>
      <c r="I11" s="274">
        <v>2.5152000000000001</v>
      </c>
      <c r="J11" s="274">
        <v>289.08</v>
      </c>
      <c r="K11" s="274">
        <v>7.6822999999999997</v>
      </c>
      <c r="L11" s="364">
        <v>362.23</v>
      </c>
      <c r="M11" s="366">
        <v>1</v>
      </c>
      <c r="N11" s="407">
        <v>0.11104</v>
      </c>
      <c r="O11" s="369">
        <v>0.1</v>
      </c>
      <c r="P11" s="404">
        <v>20</v>
      </c>
      <c r="Q11" s="402">
        <v>9076.6</v>
      </c>
    </row>
    <row r="12" spans="2:20" x14ac:dyDescent="0.25">
      <c r="B12" s="652"/>
      <c r="C12" s="652"/>
      <c r="D12" s="374"/>
      <c r="F12" s="271">
        <v>6</v>
      </c>
      <c r="G12" s="356"/>
      <c r="H12" s="356"/>
      <c r="I12" s="274"/>
      <c r="J12" s="274"/>
      <c r="K12" s="274"/>
      <c r="L12" s="364"/>
      <c r="M12" s="366"/>
      <c r="N12" s="407"/>
      <c r="O12" s="369"/>
      <c r="P12" s="404"/>
      <c r="Q12" s="402"/>
    </row>
    <row r="13" spans="2:20" x14ac:dyDescent="0.25">
      <c r="B13" s="652"/>
      <c r="C13" s="652"/>
      <c r="D13" s="374"/>
      <c r="F13" s="271">
        <v>7</v>
      </c>
      <c r="G13" s="356"/>
      <c r="H13" s="356"/>
      <c r="I13" s="274"/>
      <c r="J13" s="274"/>
      <c r="K13" s="274"/>
      <c r="L13" s="364"/>
      <c r="M13" s="366"/>
      <c r="N13" s="407"/>
      <c r="O13" s="369"/>
      <c r="P13" s="404"/>
      <c r="Q13" s="402"/>
    </row>
    <row r="14" spans="2:20" x14ac:dyDescent="0.25">
      <c r="B14" s="652"/>
      <c r="C14" s="652"/>
      <c r="D14" s="374"/>
      <c r="F14" s="271">
        <v>8</v>
      </c>
      <c r="G14" s="356"/>
      <c r="H14" s="356"/>
      <c r="I14" s="274"/>
      <c r="J14" s="274"/>
      <c r="K14" s="274"/>
      <c r="L14" s="364"/>
      <c r="M14" s="366"/>
      <c r="N14" s="407"/>
      <c r="O14" s="369"/>
      <c r="P14" s="404"/>
      <c r="Q14" s="402"/>
    </row>
    <row r="15" spans="2:20" x14ac:dyDescent="0.25">
      <c r="B15" s="652"/>
      <c r="C15" s="652"/>
      <c r="D15" s="374"/>
      <c r="F15" s="271">
        <v>9</v>
      </c>
      <c r="G15" s="442"/>
      <c r="H15" s="356"/>
      <c r="I15" s="274"/>
      <c r="J15" s="274"/>
      <c r="K15" s="274"/>
      <c r="L15" s="364"/>
      <c r="M15" s="366"/>
      <c r="N15" s="408"/>
      <c r="O15" s="369"/>
      <c r="P15" s="404"/>
      <c r="Q15" s="402"/>
    </row>
    <row r="16" spans="2:20" ht="15.75" thickBot="1" x14ac:dyDescent="0.3">
      <c r="B16" s="652"/>
      <c r="C16" s="652"/>
      <c r="D16" s="374"/>
      <c r="F16" s="372">
        <v>10</v>
      </c>
      <c r="G16" s="356"/>
      <c r="H16" s="356"/>
      <c r="I16" s="274"/>
      <c r="J16" s="274"/>
      <c r="K16" s="274"/>
      <c r="L16" s="364"/>
      <c r="M16" s="366"/>
      <c r="N16" s="407"/>
      <c r="O16" s="369"/>
      <c r="P16" s="404"/>
      <c r="Q16" s="402"/>
    </row>
    <row r="17" spans="2:28" x14ac:dyDescent="0.25">
      <c r="B17" s="652"/>
      <c r="C17" s="652"/>
      <c r="D17" s="374"/>
    </row>
    <row r="18" spans="2:28" ht="15.75" thickBot="1" x14ac:dyDescent="0.3">
      <c r="B18" s="652"/>
      <c r="C18" s="652"/>
      <c r="D18" s="374"/>
    </row>
    <row r="19" spans="2:28" ht="15.75" thickBot="1" x14ac:dyDescent="0.3">
      <c r="B19" s="652"/>
      <c r="C19" s="652"/>
      <c r="D19" s="374"/>
      <c r="F19" s="599" t="s">
        <v>360</v>
      </c>
      <c r="G19" s="636"/>
      <c r="H19" s="636"/>
      <c r="I19" s="636"/>
      <c r="J19" s="636"/>
      <c r="K19" s="605"/>
      <c r="L19" s="605"/>
      <c r="M19" s="605"/>
      <c r="N19" s="605"/>
      <c r="O19" s="605"/>
      <c r="P19" s="605"/>
      <c r="Q19" s="605"/>
      <c r="R19" s="605"/>
      <c r="S19" s="605"/>
      <c r="T19" s="605"/>
      <c r="U19" s="605"/>
      <c r="V19" s="605"/>
      <c r="W19" s="605"/>
      <c r="X19" s="605"/>
      <c r="Y19" s="605"/>
      <c r="Z19" s="605"/>
      <c r="AA19" s="605"/>
      <c r="AB19" s="600"/>
    </row>
    <row r="20" spans="2:28" ht="15.75" customHeight="1" thickBot="1" x14ac:dyDescent="0.3">
      <c r="B20" s="652"/>
      <c r="C20" s="652"/>
      <c r="D20" s="374"/>
      <c r="F20" s="285"/>
      <c r="G20" s="653" t="s">
        <v>315</v>
      </c>
      <c r="H20" s="654"/>
      <c r="I20" s="655" t="s">
        <v>307</v>
      </c>
      <c r="J20" s="654"/>
      <c r="K20" s="647" t="s">
        <v>308</v>
      </c>
      <c r="L20" s="648"/>
      <c r="M20" s="647" t="s">
        <v>317</v>
      </c>
      <c r="N20" s="647"/>
      <c r="O20" s="656" t="s">
        <v>384</v>
      </c>
      <c r="P20" s="648"/>
      <c r="Q20" s="647" t="s">
        <v>337</v>
      </c>
      <c r="R20" s="647"/>
      <c r="S20" s="656" t="s">
        <v>338</v>
      </c>
      <c r="T20" s="648"/>
      <c r="U20" s="656" t="s">
        <v>370</v>
      </c>
      <c r="V20" s="648"/>
      <c r="W20" s="647" t="s">
        <v>319</v>
      </c>
      <c r="X20" s="647"/>
      <c r="Y20" s="656" t="s">
        <v>335</v>
      </c>
      <c r="Z20" s="648"/>
      <c r="AA20" s="647" t="s">
        <v>361</v>
      </c>
      <c r="AB20" s="648"/>
    </row>
    <row r="21" spans="2:28" ht="30.75" thickBot="1" x14ac:dyDescent="0.3">
      <c r="F21" s="286"/>
      <c r="G21" s="276" t="s">
        <v>309</v>
      </c>
      <c r="H21" s="277" t="s">
        <v>312</v>
      </c>
      <c r="I21" s="278" t="s">
        <v>362</v>
      </c>
      <c r="J21" s="277" t="s">
        <v>369</v>
      </c>
      <c r="K21" s="281" t="s">
        <v>363</v>
      </c>
      <c r="L21" s="280" t="s">
        <v>318</v>
      </c>
      <c r="M21" s="276" t="s">
        <v>364</v>
      </c>
      <c r="N21" s="279" t="s">
        <v>331</v>
      </c>
      <c r="O21" s="276" t="s">
        <v>385</v>
      </c>
      <c r="P21" s="283" t="s">
        <v>386</v>
      </c>
      <c r="Q21" s="278" t="s">
        <v>365</v>
      </c>
      <c r="R21" s="279" t="s">
        <v>339</v>
      </c>
      <c r="S21" s="276" t="s">
        <v>366</v>
      </c>
      <c r="T21" s="280" t="s">
        <v>340</v>
      </c>
      <c r="U21" s="276" t="s">
        <v>371</v>
      </c>
      <c r="V21" s="283" t="s">
        <v>372</v>
      </c>
      <c r="W21" s="278" t="s">
        <v>367</v>
      </c>
      <c r="X21" s="282" t="s">
        <v>321</v>
      </c>
      <c r="Y21" s="276" t="s">
        <v>368</v>
      </c>
      <c r="Z21" s="280" t="s">
        <v>336</v>
      </c>
      <c r="AA21" s="284" t="s">
        <v>373</v>
      </c>
      <c r="AB21" s="280" t="s">
        <v>343</v>
      </c>
    </row>
    <row r="22" spans="2:28" ht="15.75" thickBot="1" x14ac:dyDescent="0.3">
      <c r="B22" s="649" t="s">
        <v>342</v>
      </c>
      <c r="C22" s="650"/>
      <c r="D22" s="651"/>
      <c r="F22" s="287">
        <v>1</v>
      </c>
      <c r="G22" s="293">
        <v>3.4559374329283625</v>
      </c>
      <c r="H22" s="294">
        <v>1.1608947642763809</v>
      </c>
      <c r="I22" s="295">
        <v>0.82884308304515664</v>
      </c>
      <c r="J22" s="296">
        <v>1.0351151066870012E-2</v>
      </c>
      <c r="K22" s="297">
        <v>1655358.1193824853</v>
      </c>
      <c r="L22" s="296">
        <v>0.14492994025332448</v>
      </c>
      <c r="M22" s="297">
        <v>7.7472134925919048E-2</v>
      </c>
      <c r="N22" s="348">
        <v>0.82477411981997906</v>
      </c>
      <c r="O22" s="298">
        <v>75.985840137618069</v>
      </c>
      <c r="P22" s="299">
        <v>1.1495588523088969</v>
      </c>
      <c r="Q22" s="297">
        <v>77.9008162512784</v>
      </c>
      <c r="R22" s="391">
        <v>0.58359269916677647</v>
      </c>
      <c r="S22" s="298">
        <v>149.71664686477069</v>
      </c>
      <c r="T22" s="294">
        <v>1.1215998273006129</v>
      </c>
      <c r="U22" s="298">
        <v>9376.5974502936915</v>
      </c>
      <c r="V22" s="300">
        <v>0.82463523915129289</v>
      </c>
      <c r="W22" s="297">
        <v>897.02021743376486</v>
      </c>
      <c r="X22" s="301">
        <v>9.3571595273248848E-2</v>
      </c>
      <c r="Y22" s="298">
        <v>9169.1015030738308</v>
      </c>
      <c r="Z22" s="294">
        <v>0.95646389924128294</v>
      </c>
      <c r="AA22" s="302">
        <v>0.84282962313065923</v>
      </c>
      <c r="AB22" s="299">
        <v>0.84472980113763063</v>
      </c>
    </row>
    <row r="23" spans="2:28" x14ac:dyDescent="0.25">
      <c r="B23" s="622" t="s">
        <v>346</v>
      </c>
      <c r="C23" s="625" t="s">
        <v>345</v>
      </c>
      <c r="D23" s="417" t="s">
        <v>344</v>
      </c>
      <c r="F23" s="288">
        <v>2</v>
      </c>
      <c r="G23" s="303">
        <v>3.3740961743817475</v>
      </c>
      <c r="H23" s="304">
        <v>1.1334032108578198</v>
      </c>
      <c r="I23" s="305">
        <v>0.83032495243961635</v>
      </c>
      <c r="J23" s="306">
        <v>1.1833020461329724E-2</v>
      </c>
      <c r="K23" s="305">
        <v>1675777.4801777632</v>
      </c>
      <c r="L23" s="306">
        <v>0.14671769645267466</v>
      </c>
      <c r="M23" s="305">
        <v>8.5305976604204928E-2</v>
      </c>
      <c r="N23" s="307">
        <v>0.90817378192036691</v>
      </c>
      <c r="O23" s="303">
        <v>73.256795923046127</v>
      </c>
      <c r="P23" s="308">
        <v>1.1082722529961593</v>
      </c>
      <c r="Q23" s="305">
        <v>75.696691116337504</v>
      </c>
      <c r="R23" s="392">
        <v>0.56708053153232785</v>
      </c>
      <c r="S23" s="303">
        <v>145.24564501581557</v>
      </c>
      <c r="T23" s="309">
        <v>1.0881053895967134</v>
      </c>
      <c r="U23" s="303">
        <v>10325.324644000497</v>
      </c>
      <c r="V23" s="310">
        <v>0.90807210208788425</v>
      </c>
      <c r="W23" s="305">
        <v>959.21341424367051</v>
      </c>
      <c r="X23" s="311">
        <v>0.10005920450160574</v>
      </c>
      <c r="Y23" s="303">
        <v>9687.4400762627101</v>
      </c>
      <c r="Z23" s="309">
        <v>1.0105337699557904</v>
      </c>
      <c r="AA23" s="312">
        <v>0.85244393510010097</v>
      </c>
      <c r="AB23" s="313">
        <v>0.85413602350379358</v>
      </c>
    </row>
    <row r="24" spans="2:28" ht="15.75" thickBot="1" x14ac:dyDescent="0.3">
      <c r="B24" s="622"/>
      <c r="C24" s="625"/>
      <c r="D24" s="443">
        <v>3.1495999999999998E-5</v>
      </c>
      <c r="F24" s="288">
        <v>3</v>
      </c>
      <c r="G24" s="303">
        <v>3.1852713443956899</v>
      </c>
      <c r="H24" s="304">
        <v>1.0699744709716206</v>
      </c>
      <c r="I24" s="305">
        <v>0.83115008980895233</v>
      </c>
      <c r="J24" s="306">
        <v>1.2658157830665706E-2</v>
      </c>
      <c r="K24" s="305">
        <v>1711274.130726835</v>
      </c>
      <c r="L24" s="306">
        <v>0.1498254997630479</v>
      </c>
      <c r="M24" s="305">
        <v>9.3217890469491957E-2</v>
      </c>
      <c r="N24" s="307">
        <v>0.99240460633966932</v>
      </c>
      <c r="O24" s="303">
        <v>68.184121293341676</v>
      </c>
      <c r="P24" s="308">
        <v>1.0315298228947305</v>
      </c>
      <c r="Q24" s="305">
        <v>71.425286266542102</v>
      </c>
      <c r="R24" s="392">
        <v>0.53508137150446033</v>
      </c>
      <c r="S24" s="303">
        <v>136.99352101218651</v>
      </c>
      <c r="T24" s="309">
        <v>1.0262847367090384</v>
      </c>
      <c r="U24" s="314">
        <v>11283.223672824826</v>
      </c>
      <c r="V24" s="310">
        <v>0.99231559221367616</v>
      </c>
      <c r="W24" s="305">
        <v>1003.8778016545634</v>
      </c>
      <c r="X24" s="311">
        <v>0.10471831686129819</v>
      </c>
      <c r="Y24" s="303">
        <v>9939.4069055038271</v>
      </c>
      <c r="Z24" s="309">
        <v>1.0368173895552277</v>
      </c>
      <c r="AA24" s="312">
        <v>0.85649627341047541</v>
      </c>
      <c r="AB24" s="313">
        <v>0.85802904247659162</v>
      </c>
    </row>
    <row r="25" spans="2:28" ht="14.45" customHeight="1" x14ac:dyDescent="0.25">
      <c r="B25" s="622" t="s">
        <v>347</v>
      </c>
      <c r="C25" s="625" t="s">
        <v>345</v>
      </c>
      <c r="D25" s="417" t="s">
        <v>407</v>
      </c>
      <c r="F25" s="288">
        <v>4</v>
      </c>
      <c r="G25" s="303">
        <v>2.8750067015740428</v>
      </c>
      <c r="H25" s="304">
        <v>0.96575250330522922</v>
      </c>
      <c r="I25" s="305">
        <v>0.83660053471347573</v>
      </c>
      <c r="J25" s="306">
        <v>1.8108602735189105E-2</v>
      </c>
      <c r="K25" s="305">
        <v>1789647.4676063419</v>
      </c>
      <c r="L25" s="306">
        <v>0.15668724339326481</v>
      </c>
      <c r="M25" s="305">
        <v>0.10226088150818842</v>
      </c>
      <c r="N25" s="307">
        <v>1.0886769626083173</v>
      </c>
      <c r="O25" s="303">
        <v>59.830494304439213</v>
      </c>
      <c r="P25" s="308">
        <v>0.90515119976458724</v>
      </c>
      <c r="Q25" s="305">
        <v>63.96183464190436</v>
      </c>
      <c r="R25" s="392">
        <v>0.47916904492917206</v>
      </c>
      <c r="S25" s="303">
        <v>122.83390994646659</v>
      </c>
      <c r="T25" s="309">
        <v>0.92020824048413996</v>
      </c>
      <c r="U25" s="303">
        <v>12378.940296066219</v>
      </c>
      <c r="V25" s="310">
        <v>1.0886796031929906</v>
      </c>
      <c r="W25" s="305">
        <v>1050.8829002444363</v>
      </c>
      <c r="X25" s="311">
        <v>0.10962159771890664</v>
      </c>
      <c r="Y25" s="303">
        <v>10003.761709463935</v>
      </c>
      <c r="Z25" s="309">
        <v>1.043530484258123</v>
      </c>
      <c r="AA25" s="312">
        <v>0.83659161858838849</v>
      </c>
      <c r="AB25" s="313">
        <v>0.83862467997507517</v>
      </c>
    </row>
    <row r="26" spans="2:28" ht="15.75" customHeight="1" x14ac:dyDescent="0.25">
      <c r="B26" s="622"/>
      <c r="C26" s="625"/>
      <c r="D26" s="418">
        <f>5.81+0.1138+0.0482</f>
        <v>5.9719999999999995</v>
      </c>
      <c r="F26" s="288">
        <v>5</v>
      </c>
      <c r="G26" s="303">
        <v>2.4430277206615076</v>
      </c>
      <c r="H26" s="304">
        <v>0.82064509122054874</v>
      </c>
      <c r="I26" s="305">
        <v>0.84183890961966112</v>
      </c>
      <c r="J26" s="306">
        <v>2.33469776413745E-2</v>
      </c>
      <c r="K26" s="305">
        <v>1889107.4210050653</v>
      </c>
      <c r="L26" s="306">
        <v>0.16539516280652911</v>
      </c>
      <c r="M26" s="305">
        <v>0.10965222708314944</v>
      </c>
      <c r="N26" s="307">
        <v>1.1673657782283218</v>
      </c>
      <c r="O26" s="303">
        <v>49.610801298444386</v>
      </c>
      <c r="P26" s="308">
        <v>0.75054162327449914</v>
      </c>
      <c r="Q26" s="305">
        <v>54.275540195592981</v>
      </c>
      <c r="R26" s="392">
        <v>0.40660432747341307</v>
      </c>
      <c r="S26" s="303">
        <v>103.28051784508978</v>
      </c>
      <c r="T26" s="309">
        <v>0.77372432127204116</v>
      </c>
      <c r="U26" s="303">
        <v>13274.420900431114</v>
      </c>
      <c r="V26" s="310">
        <v>1.1674336359058548</v>
      </c>
      <c r="W26" s="305">
        <v>1072.5770438320292</v>
      </c>
      <c r="X26" s="311">
        <v>0.11188459646088079</v>
      </c>
      <c r="Y26" s="303">
        <v>9578.3689565178684</v>
      </c>
      <c r="Z26" s="309">
        <v>0.99915614604675296</v>
      </c>
      <c r="AA26" s="312">
        <v>0.78652132833845578</v>
      </c>
      <c r="AB26" s="313">
        <v>0.78971731765291686</v>
      </c>
    </row>
    <row r="27" spans="2:28" ht="25.5" x14ac:dyDescent="0.25">
      <c r="B27" s="622"/>
      <c r="C27" s="625"/>
      <c r="D27" s="419" t="s">
        <v>406</v>
      </c>
      <c r="F27" s="288">
        <v>6</v>
      </c>
      <c r="G27" s="303"/>
      <c r="H27" s="304"/>
      <c r="I27" s="305"/>
      <c r="J27" s="306"/>
      <c r="K27" s="305"/>
      <c r="L27" s="306"/>
      <c r="M27" s="305"/>
      <c r="N27" s="307"/>
      <c r="O27" s="303"/>
      <c r="P27" s="308"/>
      <c r="Q27" s="305"/>
      <c r="R27" s="392"/>
      <c r="S27" s="303"/>
      <c r="T27" s="309"/>
      <c r="U27" s="303"/>
      <c r="V27" s="310"/>
      <c r="W27" s="305"/>
      <c r="X27" s="311"/>
      <c r="Y27" s="303"/>
      <c r="Z27" s="309"/>
      <c r="AA27" s="312"/>
      <c r="AB27" s="313"/>
    </row>
    <row r="28" spans="2:28" ht="15" customHeight="1" x14ac:dyDescent="0.25">
      <c r="B28" s="622"/>
      <c r="C28" s="625"/>
      <c r="D28" s="418">
        <f>43.33+D30</f>
        <v>56.750000000000014</v>
      </c>
      <c r="F28" s="288">
        <v>7</v>
      </c>
      <c r="G28" s="303"/>
      <c r="H28" s="304"/>
      <c r="I28" s="305"/>
      <c r="J28" s="306"/>
      <c r="K28" s="305"/>
      <c r="L28" s="306"/>
      <c r="M28" s="305"/>
      <c r="N28" s="307"/>
      <c r="O28" s="303"/>
      <c r="P28" s="308"/>
      <c r="Q28" s="305"/>
      <c r="R28" s="392"/>
      <c r="S28" s="303"/>
      <c r="T28" s="309"/>
      <c r="U28" s="303"/>
      <c r="V28" s="310"/>
      <c r="W28" s="305"/>
      <c r="X28" s="311"/>
      <c r="Y28" s="303"/>
      <c r="Z28" s="309"/>
      <c r="AA28" s="312"/>
      <c r="AB28" s="313"/>
    </row>
    <row r="29" spans="2:28" ht="14.45" customHeight="1" x14ac:dyDescent="0.25">
      <c r="B29" s="622"/>
      <c r="C29" s="625"/>
      <c r="D29" s="419" t="s">
        <v>405</v>
      </c>
      <c r="F29" s="288">
        <v>8</v>
      </c>
      <c r="G29" s="303"/>
      <c r="H29" s="304"/>
      <c r="I29" s="305"/>
      <c r="J29" s="306"/>
      <c r="K29" s="305"/>
      <c r="L29" s="306"/>
      <c r="M29" s="305"/>
      <c r="N29" s="307"/>
      <c r="O29" s="303"/>
      <c r="P29" s="308"/>
      <c r="Q29" s="305"/>
      <c r="R29" s="392"/>
      <c r="S29" s="303"/>
      <c r="T29" s="309"/>
      <c r="U29" s="303"/>
      <c r="V29" s="310"/>
      <c r="W29" s="305"/>
      <c r="X29" s="311"/>
      <c r="Y29" s="303"/>
      <c r="Z29" s="309"/>
      <c r="AA29" s="312"/>
      <c r="AB29" s="313"/>
    </row>
    <row r="30" spans="2:28" x14ac:dyDescent="0.25">
      <c r="B30" s="622"/>
      <c r="C30" s="625"/>
      <c r="D30" s="418">
        <f>286.57-273.15</f>
        <v>13.420000000000016</v>
      </c>
      <c r="F30" s="288">
        <v>9</v>
      </c>
      <c r="G30" s="303"/>
      <c r="H30" s="304"/>
      <c r="I30" s="305"/>
      <c r="J30" s="306"/>
      <c r="K30" s="305"/>
      <c r="L30" s="306"/>
      <c r="M30" s="305"/>
      <c r="N30" s="307"/>
      <c r="O30" s="303"/>
      <c r="P30" s="308"/>
      <c r="Q30" s="305"/>
      <c r="R30" s="392"/>
      <c r="S30" s="303"/>
      <c r="T30" s="309"/>
      <c r="U30" s="303"/>
      <c r="V30" s="310"/>
      <c r="W30" s="305"/>
      <c r="X30" s="311"/>
      <c r="Y30" s="303"/>
      <c r="Z30" s="309"/>
      <c r="AA30" s="312"/>
      <c r="AB30" s="313"/>
    </row>
    <row r="31" spans="2:28" ht="26.25" thickBot="1" x14ac:dyDescent="0.3">
      <c r="B31" s="622"/>
      <c r="C31" s="625"/>
      <c r="D31" s="419" t="s">
        <v>408</v>
      </c>
      <c r="F31" s="289">
        <v>10</v>
      </c>
      <c r="G31" s="315"/>
      <c r="H31" s="316"/>
      <c r="I31" s="317"/>
      <c r="J31" s="318"/>
      <c r="K31" s="317"/>
      <c r="L31" s="318"/>
      <c r="M31" s="317"/>
      <c r="N31" s="319"/>
      <c r="O31" s="315"/>
      <c r="P31" s="320"/>
      <c r="Q31" s="317"/>
      <c r="R31" s="393"/>
      <c r="S31" s="315"/>
      <c r="T31" s="321"/>
      <c r="U31" s="315"/>
      <c r="V31" s="322"/>
      <c r="W31" s="317"/>
      <c r="X31" s="323"/>
      <c r="Y31" s="315"/>
      <c r="Z31" s="321"/>
      <c r="AA31" s="324"/>
      <c r="AB31" s="325"/>
    </row>
    <row r="32" spans="2:28" ht="15.75" thickBot="1" x14ac:dyDescent="0.3">
      <c r="B32" s="622"/>
      <c r="C32" s="625"/>
      <c r="D32" s="420">
        <v>13.6</v>
      </c>
      <c r="F32" s="326" t="s">
        <v>375</v>
      </c>
      <c r="G32" s="327">
        <v>3.0134709087842571</v>
      </c>
      <c r="H32" s="328">
        <v>1.0122644487063397</v>
      </c>
      <c r="I32" s="329">
        <v>0.81849193197828662</v>
      </c>
      <c r="J32" s="330">
        <v>0</v>
      </c>
      <c r="K32" s="329">
        <v>11421781.562105583</v>
      </c>
      <c r="L32" s="330">
        <v>1</v>
      </c>
      <c r="M32" s="329">
        <v>9.3931335943019972E-2</v>
      </c>
      <c r="N32" s="331">
        <v>1.0000000000000002</v>
      </c>
      <c r="O32" s="327">
        <v>67.517973468804286</v>
      </c>
      <c r="P32" s="332">
        <v>1.0214519435522587</v>
      </c>
      <c r="Q32" s="329" t="s">
        <v>491</v>
      </c>
      <c r="R32" s="394" t="s">
        <v>491</v>
      </c>
      <c r="S32" s="327">
        <v>135.91123193054122</v>
      </c>
      <c r="T32" s="333">
        <v>1.0203628706338321</v>
      </c>
      <c r="U32" s="327">
        <v>11370.600000000002</v>
      </c>
      <c r="V32" s="334">
        <v>1.0000000000000002</v>
      </c>
      <c r="W32" s="329" t="s">
        <v>491</v>
      </c>
      <c r="X32" s="335" t="s">
        <v>491</v>
      </c>
      <c r="Y32" s="327">
        <v>9948.8559051992561</v>
      </c>
      <c r="Z32" s="333">
        <v>1.0378030507009344</v>
      </c>
      <c r="AA32" s="336"/>
      <c r="AB32" s="328">
        <v>0.8570276292888267</v>
      </c>
    </row>
    <row r="33" spans="2:31" ht="15.75" thickBot="1" x14ac:dyDescent="0.3">
      <c r="B33" s="622" t="s">
        <v>398</v>
      </c>
      <c r="C33" s="625" t="s">
        <v>376</v>
      </c>
      <c r="D33" s="644"/>
      <c r="T33" s="389"/>
      <c r="U33" s="389"/>
      <c r="V33" s="389"/>
      <c r="W33" s="389"/>
      <c r="X33" s="389"/>
      <c r="Y33" s="389"/>
      <c r="Z33" s="389"/>
      <c r="AA33" s="389"/>
      <c r="AB33" s="389"/>
    </row>
    <row r="34" spans="2:31" x14ac:dyDescent="0.25">
      <c r="B34" s="622"/>
      <c r="C34" s="625"/>
      <c r="D34" s="645"/>
      <c r="F34" s="627" t="s">
        <v>374</v>
      </c>
      <c r="G34" s="628"/>
      <c r="O34" s="260"/>
      <c r="P34" s="260"/>
      <c r="Q34" s="260"/>
      <c r="R34" s="260"/>
      <c r="S34" s="260"/>
      <c r="T34" s="390"/>
      <c r="U34" s="390"/>
      <c r="V34" s="390"/>
      <c r="W34" s="390"/>
      <c r="X34" s="390"/>
      <c r="Y34" s="390"/>
      <c r="Z34" s="390"/>
      <c r="AA34" s="395" t="s">
        <v>412</v>
      </c>
      <c r="AB34" s="395"/>
      <c r="AC34" s="396"/>
      <c r="AD34" s="396"/>
      <c r="AE34" s="260"/>
    </row>
    <row r="35" spans="2:31" x14ac:dyDescent="0.25">
      <c r="B35" s="622" t="s">
        <v>403</v>
      </c>
      <c r="C35" s="625" t="s">
        <v>345</v>
      </c>
      <c r="D35" s="645"/>
      <c r="F35" s="629"/>
      <c r="G35" s="630"/>
      <c r="O35" s="383"/>
      <c r="P35" s="385"/>
      <c r="Q35" s="383"/>
      <c r="R35" s="383"/>
      <c r="S35" s="383"/>
      <c r="T35" s="384"/>
      <c r="U35" s="383"/>
      <c r="V35" s="385"/>
      <c r="W35" s="383"/>
      <c r="X35" s="386"/>
      <c r="Y35" s="383"/>
      <c r="Z35" s="384"/>
      <c r="AA35" s="397" t="s">
        <v>413</v>
      </c>
      <c r="AB35" s="382"/>
      <c r="AC35" s="382"/>
      <c r="AD35" s="396"/>
      <c r="AE35" s="260"/>
    </row>
    <row r="36" spans="2:31" ht="14.85" customHeight="1" x14ac:dyDescent="0.25">
      <c r="B36" s="622"/>
      <c r="C36" s="625"/>
      <c r="D36" s="645"/>
      <c r="F36" s="631" t="s">
        <v>490</v>
      </c>
      <c r="G36" s="632"/>
      <c r="H36" s="337"/>
      <c r="I36" s="337"/>
      <c r="J36" s="337"/>
      <c r="K36" s="337"/>
      <c r="L36" s="337"/>
      <c r="M36" s="337"/>
      <c r="N36" s="388"/>
      <c r="O36" s="383"/>
      <c r="P36" s="385"/>
      <c r="Q36" s="383"/>
      <c r="R36" s="383"/>
      <c r="S36" s="383"/>
      <c r="T36" s="384"/>
      <c r="U36" s="383"/>
      <c r="V36" s="385"/>
      <c r="W36" s="383"/>
      <c r="X36" s="386"/>
      <c r="Y36" s="383"/>
      <c r="Z36" s="384"/>
      <c r="AA36" s="397" t="s">
        <v>414</v>
      </c>
      <c r="AB36" s="387"/>
      <c r="AC36" s="260"/>
      <c r="AD36" s="260"/>
      <c r="AE36" s="260"/>
    </row>
    <row r="37" spans="2:31" ht="14.85" customHeight="1" thickBot="1" x14ac:dyDescent="0.3">
      <c r="B37" s="622" t="s">
        <v>402</v>
      </c>
      <c r="C37" s="625" t="s">
        <v>345</v>
      </c>
      <c r="D37" s="645"/>
      <c r="F37" s="633"/>
      <c r="G37" s="634"/>
      <c r="N37" s="260"/>
      <c r="O37" s="260"/>
      <c r="P37" s="260"/>
      <c r="Q37" s="383"/>
      <c r="R37" s="383"/>
      <c r="S37" s="444"/>
      <c r="T37" s="445"/>
      <c r="U37" s="260"/>
      <c r="V37" s="260"/>
      <c r="W37" s="260"/>
      <c r="X37" s="260"/>
      <c r="Y37" s="260"/>
      <c r="Z37" s="260"/>
      <c r="AA37" s="381"/>
      <c r="AB37" s="260"/>
      <c r="AC37" s="260"/>
      <c r="AD37" s="260"/>
      <c r="AE37" s="260"/>
    </row>
    <row r="38" spans="2:31" x14ac:dyDescent="0.25">
      <c r="B38" s="622"/>
      <c r="C38" s="625"/>
      <c r="D38" s="645"/>
      <c r="N38" s="260"/>
      <c r="O38" s="260"/>
      <c r="P38" s="446"/>
      <c r="Q38" s="260"/>
      <c r="R38" s="446"/>
      <c r="S38" s="444"/>
      <c r="T38" s="445"/>
      <c r="U38" s="260"/>
      <c r="V38" s="446"/>
      <c r="W38" s="260"/>
      <c r="X38" s="446"/>
      <c r="Y38" s="260"/>
      <c r="Z38" s="446"/>
      <c r="AA38" s="382"/>
      <c r="AB38" s="260"/>
      <c r="AC38" s="260"/>
      <c r="AD38" s="260"/>
      <c r="AE38" s="260"/>
    </row>
    <row r="39" spans="2:31" x14ac:dyDescent="0.25">
      <c r="B39" s="622" t="s">
        <v>410</v>
      </c>
      <c r="C39" s="625" t="s">
        <v>345</v>
      </c>
      <c r="D39" s="645"/>
      <c r="O39" s="383"/>
      <c r="P39" s="387"/>
      <c r="Q39" s="383"/>
      <c r="R39" s="383"/>
      <c r="S39" s="383"/>
      <c r="T39" s="383"/>
      <c r="U39" s="383"/>
      <c r="V39" s="387"/>
      <c r="W39" s="260"/>
      <c r="X39" s="260"/>
      <c r="Y39" s="260"/>
      <c r="Z39" s="260"/>
      <c r="AA39" s="382"/>
      <c r="AB39" s="260"/>
      <c r="AC39" s="260"/>
    </row>
    <row r="40" spans="2:31" ht="14.45" customHeight="1" thickBot="1" x14ac:dyDescent="0.3">
      <c r="B40" s="623"/>
      <c r="C40" s="626"/>
      <c r="D40" s="646"/>
      <c r="E40" s="378"/>
      <c r="F40" s="378"/>
      <c r="G40" s="378"/>
      <c r="O40" s="260"/>
      <c r="P40" s="260"/>
      <c r="Q40" s="383"/>
      <c r="R40" s="384"/>
      <c r="S40" s="260"/>
      <c r="T40" s="260"/>
      <c r="U40" s="260"/>
      <c r="V40" s="260"/>
      <c r="W40" s="260"/>
      <c r="X40" s="260"/>
      <c r="Y40" s="260"/>
      <c r="Z40" s="260"/>
      <c r="AA40" s="382"/>
      <c r="AB40" s="260"/>
      <c r="AC40" s="260"/>
    </row>
    <row r="41" spans="2:31" x14ac:dyDescent="0.25">
      <c r="D41" s="378"/>
      <c r="E41" s="378"/>
      <c r="F41" s="378"/>
      <c r="G41" s="378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2"/>
      <c r="AB41" s="260"/>
      <c r="AC41" s="260"/>
    </row>
    <row r="42" spans="2:31" x14ac:dyDescent="0.25">
      <c r="D42" s="620" t="s">
        <v>409</v>
      </c>
      <c r="E42" s="620"/>
      <c r="F42" s="620"/>
      <c r="G42" s="620"/>
      <c r="O42" s="383"/>
      <c r="P42" s="385"/>
      <c r="Q42" s="383"/>
      <c r="R42" s="383"/>
      <c r="S42" s="383"/>
      <c r="T42" s="384"/>
      <c r="U42" s="383"/>
      <c r="V42" s="385"/>
      <c r="W42" s="383"/>
      <c r="X42" s="386"/>
      <c r="Y42" s="383"/>
      <c r="Z42" s="384"/>
      <c r="AA42" s="387"/>
      <c r="AB42" s="387"/>
      <c r="AC42" s="260"/>
    </row>
    <row r="43" spans="2:31" x14ac:dyDescent="0.25">
      <c r="D43" s="620"/>
      <c r="E43" s="620"/>
      <c r="F43" s="620"/>
      <c r="G43" s="620"/>
      <c r="O43" s="260"/>
      <c r="P43" s="260"/>
      <c r="Q43" s="260"/>
      <c r="R43" s="260"/>
      <c r="S43" s="260"/>
      <c r="T43" s="445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445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445"/>
      <c r="U45" s="260"/>
      <c r="V45" s="260"/>
      <c r="W45" s="260"/>
      <c r="X45" s="260"/>
      <c r="Y45" s="260"/>
      <c r="Z45" s="260"/>
      <c r="AA45" s="260"/>
      <c r="AB45" s="260"/>
      <c r="AC45" s="260"/>
    </row>
    <row r="46" spans="2:31" x14ac:dyDescent="0.25">
      <c r="Q46" s="260"/>
      <c r="R46" s="260"/>
      <c r="S46" s="260"/>
      <c r="T46" s="445"/>
      <c r="U46" s="260"/>
      <c r="V46" s="260"/>
      <c r="W46" s="260"/>
      <c r="X46" s="260"/>
      <c r="Y46" s="260"/>
      <c r="Z46" s="260"/>
      <c r="AA46" s="260"/>
      <c r="AB46" s="260"/>
    </row>
    <row r="47" spans="2:31" x14ac:dyDescent="0.25">
      <c r="Q47" s="260"/>
      <c r="R47" s="260"/>
      <c r="S47" s="260"/>
      <c r="T47" s="445"/>
      <c r="U47" s="260"/>
      <c r="V47" s="260"/>
      <c r="W47" s="260"/>
      <c r="X47" s="260"/>
      <c r="Y47" s="260"/>
      <c r="Z47" s="260"/>
      <c r="AA47" s="260"/>
      <c r="AB47" s="260"/>
    </row>
    <row r="48" spans="2:31" x14ac:dyDescent="0.25"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9" customFormat="1" ht="15.75" thickBot="1" x14ac:dyDescent="0.3"/>
    <row r="3" spans="2:32" ht="15.75" thickBot="1" x14ac:dyDescent="0.3">
      <c r="B3" s="663" t="s">
        <v>397</v>
      </c>
      <c r="C3" s="664"/>
      <c r="D3" s="357">
        <v>1</v>
      </c>
      <c r="F3" s="665" t="s">
        <v>397</v>
      </c>
      <c r="G3" s="666"/>
      <c r="H3" s="357">
        <v>2</v>
      </c>
      <c r="J3" s="663" t="s">
        <v>397</v>
      </c>
      <c r="K3" s="664"/>
      <c r="L3" s="357">
        <v>3</v>
      </c>
      <c r="N3" s="665" t="s">
        <v>397</v>
      </c>
      <c r="O3" s="666"/>
      <c r="P3" s="357">
        <v>4</v>
      </c>
      <c r="R3" s="663" t="s">
        <v>397</v>
      </c>
      <c r="S3" s="664"/>
      <c r="T3" s="357">
        <v>5</v>
      </c>
      <c r="V3" s="665" t="s">
        <v>397</v>
      </c>
      <c r="W3" s="666"/>
      <c r="X3" s="357">
        <v>6</v>
      </c>
      <c r="Z3" s="663" t="s">
        <v>397</v>
      </c>
      <c r="AA3" s="664"/>
      <c r="AB3" s="357">
        <v>7</v>
      </c>
      <c r="AD3" s="665" t="s">
        <v>397</v>
      </c>
      <c r="AE3" s="666"/>
      <c r="AF3" s="357">
        <v>8</v>
      </c>
    </row>
    <row r="4" spans="2:32" x14ac:dyDescent="0.25">
      <c r="B4" s="667"/>
      <c r="C4" s="668"/>
      <c r="D4" s="358" t="s">
        <v>294</v>
      </c>
      <c r="F4" s="667"/>
      <c r="G4" s="668"/>
      <c r="H4" s="358" t="s">
        <v>294</v>
      </c>
      <c r="J4" s="667"/>
      <c r="K4" s="668"/>
      <c r="L4" s="358" t="s">
        <v>294</v>
      </c>
      <c r="N4" s="667"/>
      <c r="O4" s="668"/>
      <c r="P4" s="358" t="s">
        <v>294</v>
      </c>
      <c r="R4" s="667"/>
      <c r="S4" s="668"/>
      <c r="T4" s="358" t="s">
        <v>294</v>
      </c>
      <c r="V4" s="667"/>
      <c r="W4" s="668"/>
      <c r="X4" s="358" t="s">
        <v>294</v>
      </c>
      <c r="Z4" s="667"/>
      <c r="AA4" s="668"/>
      <c r="AB4" s="358" t="s">
        <v>294</v>
      </c>
      <c r="AD4" s="667"/>
      <c r="AE4" s="668"/>
      <c r="AF4" s="358" t="s">
        <v>294</v>
      </c>
    </row>
    <row r="5" spans="2:32" x14ac:dyDescent="0.25">
      <c r="B5" s="581" t="s">
        <v>477</v>
      </c>
      <c r="C5" s="582" t="s">
        <v>477</v>
      </c>
      <c r="D5" s="441">
        <v>0</v>
      </c>
      <c r="F5" s="581" t="s">
        <v>477</v>
      </c>
      <c r="G5" s="582" t="s">
        <v>477</v>
      </c>
      <c r="H5" s="441">
        <v>0</v>
      </c>
      <c r="J5" s="581" t="s">
        <v>477</v>
      </c>
      <c r="K5" s="582" t="s">
        <v>477</v>
      </c>
      <c r="L5" s="441">
        <v>0</v>
      </c>
      <c r="N5" s="581" t="s">
        <v>477</v>
      </c>
      <c r="O5" s="582" t="s">
        <v>477</v>
      </c>
      <c r="P5" s="441">
        <v>0</v>
      </c>
      <c r="R5" s="581" t="s">
        <v>477</v>
      </c>
      <c r="S5" s="582" t="s">
        <v>477</v>
      </c>
      <c r="T5" s="441">
        <v>0</v>
      </c>
      <c r="V5" s="581" t="s">
        <v>477</v>
      </c>
      <c r="W5" s="582" t="s">
        <v>477</v>
      </c>
      <c r="X5" s="244">
        <v>0</v>
      </c>
      <c r="Z5" s="581" t="s">
        <v>477</v>
      </c>
      <c r="AA5" s="582" t="s">
        <v>477</v>
      </c>
      <c r="AB5" s="244">
        <v>0</v>
      </c>
      <c r="AD5" s="581" t="s">
        <v>477</v>
      </c>
      <c r="AE5" s="582" t="s">
        <v>477</v>
      </c>
      <c r="AF5" s="244">
        <v>0</v>
      </c>
    </row>
    <row r="6" spans="2:32" x14ac:dyDescent="0.25">
      <c r="B6" s="581" t="s">
        <v>98</v>
      </c>
      <c r="C6" s="582" t="s">
        <v>477</v>
      </c>
      <c r="D6" s="441">
        <v>0</v>
      </c>
      <c r="F6" s="581" t="s">
        <v>98</v>
      </c>
      <c r="G6" s="582" t="s">
        <v>477</v>
      </c>
      <c r="H6" s="441">
        <v>0</v>
      </c>
      <c r="J6" s="581" t="s">
        <v>98</v>
      </c>
      <c r="K6" s="582" t="s">
        <v>477</v>
      </c>
      <c r="L6" s="441">
        <v>0</v>
      </c>
      <c r="N6" s="581" t="s">
        <v>98</v>
      </c>
      <c r="O6" s="582" t="s">
        <v>477</v>
      </c>
      <c r="P6" s="441">
        <v>0</v>
      </c>
      <c r="R6" s="581" t="s">
        <v>98</v>
      </c>
      <c r="S6" s="582" t="s">
        <v>477</v>
      </c>
      <c r="T6" s="441">
        <v>0</v>
      </c>
      <c r="V6" s="581" t="s">
        <v>98</v>
      </c>
      <c r="W6" s="582" t="s">
        <v>477</v>
      </c>
      <c r="X6" s="244">
        <v>0</v>
      </c>
      <c r="Z6" s="581" t="s">
        <v>98</v>
      </c>
      <c r="AA6" s="582" t="s">
        <v>477</v>
      </c>
      <c r="AB6" s="244">
        <v>0</v>
      </c>
      <c r="AD6" s="581" t="s">
        <v>98</v>
      </c>
      <c r="AE6" s="582" t="s">
        <v>477</v>
      </c>
      <c r="AF6" s="244">
        <v>0</v>
      </c>
    </row>
    <row r="7" spans="2:32" x14ac:dyDescent="0.25">
      <c r="B7" s="581" t="s">
        <v>472</v>
      </c>
      <c r="C7" s="582" t="s">
        <v>477</v>
      </c>
      <c r="D7" s="441">
        <v>0</v>
      </c>
      <c r="F7" s="581" t="s">
        <v>472</v>
      </c>
      <c r="G7" s="582" t="s">
        <v>477</v>
      </c>
      <c r="H7" s="441">
        <v>0</v>
      </c>
      <c r="J7" s="581" t="s">
        <v>472</v>
      </c>
      <c r="K7" s="582" t="s">
        <v>477</v>
      </c>
      <c r="L7" s="441">
        <v>0</v>
      </c>
      <c r="N7" s="581" t="s">
        <v>472</v>
      </c>
      <c r="O7" s="582" t="s">
        <v>477</v>
      </c>
      <c r="P7" s="441">
        <v>0</v>
      </c>
      <c r="R7" s="581" t="s">
        <v>472</v>
      </c>
      <c r="S7" s="582" t="s">
        <v>477</v>
      </c>
      <c r="T7" s="441">
        <v>0</v>
      </c>
      <c r="V7" s="581" t="s">
        <v>472</v>
      </c>
      <c r="W7" s="582" t="s">
        <v>477</v>
      </c>
      <c r="X7" s="244">
        <v>0</v>
      </c>
      <c r="Z7" s="581" t="s">
        <v>472</v>
      </c>
      <c r="AA7" s="582" t="s">
        <v>477</v>
      </c>
      <c r="AB7" s="244">
        <v>0</v>
      </c>
      <c r="AD7" s="581" t="s">
        <v>472</v>
      </c>
      <c r="AE7" s="582" t="s">
        <v>477</v>
      </c>
      <c r="AF7" s="244">
        <v>0</v>
      </c>
    </row>
    <row r="8" spans="2:32" x14ac:dyDescent="0.25">
      <c r="B8" s="581" t="s">
        <v>99</v>
      </c>
      <c r="C8" s="582" t="s">
        <v>477</v>
      </c>
      <c r="D8" s="441">
        <v>0</v>
      </c>
      <c r="F8" s="581" t="s">
        <v>99</v>
      </c>
      <c r="G8" s="582" t="s">
        <v>477</v>
      </c>
      <c r="H8" s="441">
        <v>0</v>
      </c>
      <c r="J8" s="581" t="s">
        <v>99</v>
      </c>
      <c r="K8" s="582" t="s">
        <v>477</v>
      </c>
      <c r="L8" s="441">
        <v>0</v>
      </c>
      <c r="N8" s="581" t="s">
        <v>99</v>
      </c>
      <c r="O8" s="582" t="s">
        <v>477</v>
      </c>
      <c r="P8" s="441">
        <v>0</v>
      </c>
      <c r="R8" s="581" t="s">
        <v>99</v>
      </c>
      <c r="S8" s="582" t="s">
        <v>477</v>
      </c>
      <c r="T8" s="441">
        <v>0</v>
      </c>
      <c r="V8" s="581" t="s">
        <v>99</v>
      </c>
      <c r="W8" s="582" t="s">
        <v>477</v>
      </c>
      <c r="X8" s="244">
        <v>0</v>
      </c>
      <c r="Z8" s="581" t="s">
        <v>99</v>
      </c>
      <c r="AA8" s="582" t="s">
        <v>477</v>
      </c>
      <c r="AB8" s="244">
        <v>0</v>
      </c>
      <c r="AD8" s="581" t="s">
        <v>99</v>
      </c>
      <c r="AE8" s="582" t="s">
        <v>477</v>
      </c>
      <c r="AF8" s="244">
        <v>0</v>
      </c>
    </row>
    <row r="9" spans="2:32" x14ac:dyDescent="0.25">
      <c r="B9" s="581" t="s">
        <v>481</v>
      </c>
      <c r="C9" s="582" t="s">
        <v>477</v>
      </c>
      <c r="D9" s="441">
        <v>0</v>
      </c>
      <c r="F9" s="581" t="s">
        <v>481</v>
      </c>
      <c r="G9" s="582" t="s">
        <v>477</v>
      </c>
      <c r="H9" s="441">
        <v>0</v>
      </c>
      <c r="J9" s="581" t="s">
        <v>481</v>
      </c>
      <c r="K9" s="582" t="s">
        <v>477</v>
      </c>
      <c r="L9" s="441">
        <v>0</v>
      </c>
      <c r="N9" s="581" t="s">
        <v>481</v>
      </c>
      <c r="O9" s="582" t="s">
        <v>477</v>
      </c>
      <c r="P9" s="441">
        <v>0</v>
      </c>
      <c r="R9" s="581" t="s">
        <v>481</v>
      </c>
      <c r="S9" s="582" t="s">
        <v>477</v>
      </c>
      <c r="T9" s="441">
        <v>0</v>
      </c>
      <c r="V9" s="581" t="s">
        <v>481</v>
      </c>
      <c r="W9" s="582" t="s">
        <v>477</v>
      </c>
      <c r="X9" s="244">
        <v>0</v>
      </c>
      <c r="Z9" s="581" t="s">
        <v>481</v>
      </c>
      <c r="AA9" s="582" t="s">
        <v>477</v>
      </c>
      <c r="AB9" s="244">
        <v>0</v>
      </c>
      <c r="AD9" s="581" t="s">
        <v>481</v>
      </c>
      <c r="AE9" s="582" t="s">
        <v>477</v>
      </c>
      <c r="AF9" s="244">
        <v>0</v>
      </c>
    </row>
    <row r="10" spans="2:32" x14ac:dyDescent="0.25">
      <c r="B10" s="581" t="s">
        <v>101</v>
      </c>
      <c r="C10" s="582" t="s">
        <v>477</v>
      </c>
      <c r="D10" s="441">
        <v>0</v>
      </c>
      <c r="F10" s="581" t="s">
        <v>101</v>
      </c>
      <c r="G10" s="582" t="s">
        <v>477</v>
      </c>
      <c r="H10" s="441">
        <v>0</v>
      </c>
      <c r="J10" s="581" t="s">
        <v>101</v>
      </c>
      <c r="K10" s="582" t="s">
        <v>477</v>
      </c>
      <c r="L10" s="441">
        <v>0</v>
      </c>
      <c r="N10" s="581" t="s">
        <v>101</v>
      </c>
      <c r="O10" s="582" t="s">
        <v>477</v>
      </c>
      <c r="P10" s="441">
        <v>0</v>
      </c>
      <c r="R10" s="581" t="s">
        <v>101</v>
      </c>
      <c r="S10" s="582" t="s">
        <v>477</v>
      </c>
      <c r="T10" s="441">
        <v>0</v>
      </c>
      <c r="V10" s="581" t="s">
        <v>101</v>
      </c>
      <c r="W10" s="582" t="s">
        <v>477</v>
      </c>
      <c r="X10" s="244">
        <v>0</v>
      </c>
      <c r="Z10" s="581" t="s">
        <v>101</v>
      </c>
      <c r="AA10" s="582" t="s">
        <v>477</v>
      </c>
      <c r="AB10" s="244">
        <v>0</v>
      </c>
      <c r="AD10" s="581" t="s">
        <v>101</v>
      </c>
      <c r="AE10" s="582" t="s">
        <v>477</v>
      </c>
      <c r="AF10" s="244">
        <v>0</v>
      </c>
    </row>
    <row r="11" spans="2:32" x14ac:dyDescent="0.25">
      <c r="B11" s="581" t="s">
        <v>100</v>
      </c>
      <c r="C11" s="582" t="s">
        <v>477</v>
      </c>
      <c r="D11" s="441">
        <v>0</v>
      </c>
      <c r="F11" s="581" t="s">
        <v>100</v>
      </c>
      <c r="G11" s="582" t="s">
        <v>477</v>
      </c>
      <c r="H11" s="441">
        <v>0</v>
      </c>
      <c r="J11" s="581" t="s">
        <v>100</v>
      </c>
      <c r="K11" s="582" t="s">
        <v>477</v>
      </c>
      <c r="L11" s="441">
        <v>0</v>
      </c>
      <c r="N11" s="581" t="s">
        <v>100</v>
      </c>
      <c r="O11" s="582" t="s">
        <v>477</v>
      </c>
      <c r="P11" s="441">
        <v>0</v>
      </c>
      <c r="R11" s="581" t="s">
        <v>100</v>
      </c>
      <c r="S11" s="582" t="s">
        <v>477</v>
      </c>
      <c r="T11" s="441">
        <v>0</v>
      </c>
      <c r="V11" s="581" t="s">
        <v>100</v>
      </c>
      <c r="W11" s="582" t="s">
        <v>477</v>
      </c>
      <c r="X11" s="244">
        <v>0</v>
      </c>
      <c r="Z11" s="581" t="s">
        <v>100</v>
      </c>
      <c r="AA11" s="582" t="s">
        <v>477</v>
      </c>
      <c r="AB11" s="244">
        <v>0</v>
      </c>
      <c r="AD11" s="581" t="s">
        <v>100</v>
      </c>
      <c r="AE11" s="582" t="s">
        <v>477</v>
      </c>
      <c r="AF11" s="244">
        <v>0</v>
      </c>
    </row>
    <row r="12" spans="2:32" x14ac:dyDescent="0.25">
      <c r="B12" s="581" t="s">
        <v>103</v>
      </c>
      <c r="C12" s="582" t="s">
        <v>477</v>
      </c>
      <c r="D12" s="441">
        <v>0</v>
      </c>
      <c r="F12" s="581" t="s">
        <v>103</v>
      </c>
      <c r="G12" s="582" t="s">
        <v>477</v>
      </c>
      <c r="H12" s="441">
        <v>0</v>
      </c>
      <c r="J12" s="581" t="s">
        <v>103</v>
      </c>
      <c r="K12" s="582" t="s">
        <v>477</v>
      </c>
      <c r="L12" s="441">
        <v>0</v>
      </c>
      <c r="N12" s="581" t="s">
        <v>103</v>
      </c>
      <c r="O12" s="582" t="s">
        <v>477</v>
      </c>
      <c r="P12" s="441">
        <v>0</v>
      </c>
      <c r="R12" s="581" t="s">
        <v>103</v>
      </c>
      <c r="S12" s="582" t="s">
        <v>477</v>
      </c>
      <c r="T12" s="441">
        <v>0</v>
      </c>
      <c r="V12" s="581" t="s">
        <v>103</v>
      </c>
      <c r="W12" s="582" t="s">
        <v>477</v>
      </c>
      <c r="X12" s="244">
        <v>0</v>
      </c>
      <c r="Z12" s="581" t="s">
        <v>103</v>
      </c>
      <c r="AA12" s="582" t="s">
        <v>477</v>
      </c>
      <c r="AB12" s="244">
        <v>0</v>
      </c>
      <c r="AD12" s="581" t="s">
        <v>103</v>
      </c>
      <c r="AE12" s="582" t="s">
        <v>477</v>
      </c>
      <c r="AF12" s="244">
        <v>0</v>
      </c>
    </row>
    <row r="13" spans="2:32" x14ac:dyDescent="0.25">
      <c r="B13" s="581" t="s">
        <v>102</v>
      </c>
      <c r="C13" s="582" t="s">
        <v>477</v>
      </c>
      <c r="D13" s="441">
        <v>0</v>
      </c>
      <c r="F13" s="581" t="s">
        <v>102</v>
      </c>
      <c r="G13" s="582" t="s">
        <v>477</v>
      </c>
      <c r="H13" s="441">
        <v>0</v>
      </c>
      <c r="J13" s="581" t="s">
        <v>102</v>
      </c>
      <c r="K13" s="582" t="s">
        <v>477</v>
      </c>
      <c r="L13" s="441">
        <v>0</v>
      </c>
      <c r="N13" s="581" t="s">
        <v>102</v>
      </c>
      <c r="O13" s="582" t="s">
        <v>477</v>
      </c>
      <c r="P13" s="441">
        <v>0</v>
      </c>
      <c r="R13" s="581" t="s">
        <v>102</v>
      </c>
      <c r="S13" s="582" t="s">
        <v>477</v>
      </c>
      <c r="T13" s="441">
        <v>0</v>
      </c>
      <c r="V13" s="581" t="s">
        <v>102</v>
      </c>
      <c r="W13" s="582" t="s">
        <v>477</v>
      </c>
      <c r="X13" s="244">
        <v>0</v>
      </c>
      <c r="Z13" s="581" t="s">
        <v>102</v>
      </c>
      <c r="AA13" s="582" t="s">
        <v>477</v>
      </c>
      <c r="AB13" s="244">
        <v>0</v>
      </c>
      <c r="AD13" s="581" t="s">
        <v>102</v>
      </c>
      <c r="AE13" s="582" t="s">
        <v>477</v>
      </c>
      <c r="AF13" s="244">
        <v>0</v>
      </c>
    </row>
    <row r="14" spans="2:32" x14ac:dyDescent="0.25">
      <c r="B14" s="581" t="s">
        <v>483</v>
      </c>
      <c r="C14" s="582" t="s">
        <v>477</v>
      </c>
      <c r="D14" s="441">
        <v>1.8000000000000001E-4</v>
      </c>
      <c r="F14" s="581" t="s">
        <v>483</v>
      </c>
      <c r="G14" s="582" t="s">
        <v>477</v>
      </c>
      <c r="H14" s="441">
        <v>1.8000000000000001E-4</v>
      </c>
      <c r="J14" s="581" t="s">
        <v>483</v>
      </c>
      <c r="K14" s="582" t="s">
        <v>477</v>
      </c>
      <c r="L14" s="441">
        <v>1.7000000000000001E-4</v>
      </c>
      <c r="N14" s="581" t="s">
        <v>483</v>
      </c>
      <c r="O14" s="582" t="s">
        <v>477</v>
      </c>
      <c r="P14" s="441">
        <v>1.8000000000000001E-4</v>
      </c>
      <c r="R14" s="581" t="s">
        <v>483</v>
      </c>
      <c r="S14" s="582" t="s">
        <v>477</v>
      </c>
      <c r="T14" s="441">
        <v>2.4000000000000001E-4</v>
      </c>
      <c r="V14" s="581" t="s">
        <v>483</v>
      </c>
      <c r="W14" s="582" t="s">
        <v>477</v>
      </c>
      <c r="X14" s="244">
        <v>0</v>
      </c>
      <c r="Z14" s="581" t="s">
        <v>483</v>
      </c>
      <c r="AA14" s="582" t="s">
        <v>477</v>
      </c>
      <c r="AB14" s="244">
        <v>0</v>
      </c>
      <c r="AD14" s="581" t="s">
        <v>483</v>
      </c>
      <c r="AE14" s="582" t="s">
        <v>477</v>
      </c>
      <c r="AF14" s="244">
        <v>0</v>
      </c>
    </row>
    <row r="15" spans="2:32" x14ac:dyDescent="0.25">
      <c r="B15" s="581" t="s">
        <v>482</v>
      </c>
      <c r="C15" s="582" t="s">
        <v>477</v>
      </c>
      <c r="D15" s="441">
        <v>0.31253999999999998</v>
      </c>
      <c r="F15" s="581" t="s">
        <v>482</v>
      </c>
      <c r="G15" s="582" t="s">
        <v>477</v>
      </c>
      <c r="H15" s="441">
        <v>0.30634</v>
      </c>
      <c r="J15" s="581" t="s">
        <v>482</v>
      </c>
      <c r="K15" s="582" t="s">
        <v>477</v>
      </c>
      <c r="L15" s="441">
        <v>0.30597999999999997</v>
      </c>
      <c r="N15" s="581" t="s">
        <v>482</v>
      </c>
      <c r="O15" s="582" t="s">
        <v>477</v>
      </c>
      <c r="P15" s="441">
        <v>0.30934</v>
      </c>
      <c r="R15" s="581" t="s">
        <v>482</v>
      </c>
      <c r="S15" s="582" t="s">
        <v>477</v>
      </c>
      <c r="T15" s="441">
        <v>0.26346000000000003</v>
      </c>
      <c r="V15" s="581" t="s">
        <v>462</v>
      </c>
      <c r="W15" s="582" t="s">
        <v>477</v>
      </c>
      <c r="X15" s="244">
        <v>0</v>
      </c>
      <c r="Z15" s="581" t="s">
        <v>462</v>
      </c>
      <c r="AA15" s="582" t="s">
        <v>477</v>
      </c>
      <c r="AB15" s="244">
        <v>0</v>
      </c>
      <c r="AD15" s="581" t="s">
        <v>462</v>
      </c>
      <c r="AE15" s="582" t="s">
        <v>477</v>
      </c>
      <c r="AF15" s="244">
        <v>0</v>
      </c>
    </row>
    <row r="16" spans="2:32" x14ac:dyDescent="0.25">
      <c r="B16" s="581" t="s">
        <v>467</v>
      </c>
      <c r="C16" s="582" t="s">
        <v>477</v>
      </c>
      <c r="D16" s="441">
        <v>0</v>
      </c>
      <c r="F16" s="581" t="s">
        <v>467</v>
      </c>
      <c r="G16" s="582" t="s">
        <v>477</v>
      </c>
      <c r="H16" s="441">
        <v>0</v>
      </c>
      <c r="J16" s="581" t="s">
        <v>467</v>
      </c>
      <c r="K16" s="582" t="s">
        <v>477</v>
      </c>
      <c r="L16" s="441">
        <v>0</v>
      </c>
      <c r="N16" s="581" t="s">
        <v>467</v>
      </c>
      <c r="O16" s="582" t="s">
        <v>477</v>
      </c>
      <c r="P16" s="441">
        <v>0</v>
      </c>
      <c r="R16" s="581" t="s">
        <v>467</v>
      </c>
      <c r="S16" s="582" t="s">
        <v>477</v>
      </c>
      <c r="T16" s="441">
        <v>0</v>
      </c>
      <c r="V16" s="581" t="s">
        <v>467</v>
      </c>
      <c r="W16" s="582" t="s">
        <v>477</v>
      </c>
      <c r="X16" s="244">
        <v>1</v>
      </c>
      <c r="Z16" s="581" t="s">
        <v>467</v>
      </c>
      <c r="AA16" s="582" t="s">
        <v>477</v>
      </c>
      <c r="AB16" s="244">
        <v>1</v>
      </c>
      <c r="AD16" s="581" t="s">
        <v>467</v>
      </c>
      <c r="AE16" s="582" t="s">
        <v>477</v>
      </c>
      <c r="AF16" s="244">
        <v>1</v>
      </c>
    </row>
    <row r="17" spans="2:32" x14ac:dyDescent="0.25">
      <c r="B17" s="581" t="s">
        <v>485</v>
      </c>
      <c r="C17" s="582" t="s">
        <v>477</v>
      </c>
      <c r="D17" s="441">
        <v>0</v>
      </c>
      <c r="F17" s="581" t="s">
        <v>485</v>
      </c>
      <c r="G17" s="582" t="s">
        <v>477</v>
      </c>
      <c r="H17" s="441">
        <v>0</v>
      </c>
      <c r="J17" s="581" t="s">
        <v>485</v>
      </c>
      <c r="K17" s="582" t="s">
        <v>477</v>
      </c>
      <c r="L17" s="441">
        <v>0</v>
      </c>
      <c r="N17" s="581" t="s">
        <v>485</v>
      </c>
      <c r="O17" s="582" t="s">
        <v>477</v>
      </c>
      <c r="P17" s="441">
        <v>0</v>
      </c>
      <c r="R17" s="581" t="s">
        <v>485</v>
      </c>
      <c r="S17" s="582" t="s">
        <v>477</v>
      </c>
      <c r="T17" s="441">
        <v>0</v>
      </c>
      <c r="V17" s="581" t="s">
        <v>485</v>
      </c>
      <c r="W17" s="582" t="s">
        <v>477</v>
      </c>
      <c r="X17" s="244">
        <v>0</v>
      </c>
      <c r="Z17" s="581" t="s">
        <v>485</v>
      </c>
      <c r="AA17" s="582" t="s">
        <v>477</v>
      </c>
      <c r="AB17" s="244">
        <v>0</v>
      </c>
      <c r="AD17" s="581" t="s">
        <v>485</v>
      </c>
      <c r="AE17" s="582" t="s">
        <v>477</v>
      </c>
      <c r="AF17" s="244">
        <v>0</v>
      </c>
    </row>
    <row r="18" spans="2:32" x14ac:dyDescent="0.25">
      <c r="B18" s="581" t="s">
        <v>107</v>
      </c>
      <c r="C18" s="582" t="s">
        <v>477</v>
      </c>
      <c r="D18" s="441">
        <v>0.67588000000000004</v>
      </c>
      <c r="F18" s="581" t="s">
        <v>107</v>
      </c>
      <c r="G18" s="582" t="s">
        <v>477</v>
      </c>
      <c r="H18" s="441">
        <v>0.67962999999999996</v>
      </c>
      <c r="J18" s="581" t="s">
        <v>107</v>
      </c>
      <c r="K18" s="582" t="s">
        <v>477</v>
      </c>
      <c r="L18" s="441">
        <v>0.68006</v>
      </c>
      <c r="N18" s="581" t="s">
        <v>107</v>
      </c>
      <c r="O18" s="582" t="s">
        <v>477</v>
      </c>
      <c r="P18" s="441">
        <v>0.67962999999999996</v>
      </c>
      <c r="R18" s="581" t="s">
        <v>107</v>
      </c>
      <c r="S18" s="582" t="s">
        <v>477</v>
      </c>
      <c r="T18" s="441">
        <v>0.71826999999999996</v>
      </c>
      <c r="V18" s="581" t="s">
        <v>107</v>
      </c>
      <c r="W18" s="582" t="s">
        <v>477</v>
      </c>
      <c r="X18" s="244">
        <v>0</v>
      </c>
      <c r="Z18" s="581" t="s">
        <v>107</v>
      </c>
      <c r="AA18" s="582" t="s">
        <v>477</v>
      </c>
      <c r="AB18" s="244">
        <v>0</v>
      </c>
      <c r="AD18" s="581" t="s">
        <v>107</v>
      </c>
      <c r="AE18" s="582" t="s">
        <v>477</v>
      </c>
      <c r="AF18" s="244">
        <v>0</v>
      </c>
    </row>
    <row r="19" spans="2:32" x14ac:dyDescent="0.25">
      <c r="B19" s="581" t="s">
        <v>108</v>
      </c>
      <c r="C19" s="582" t="s">
        <v>477</v>
      </c>
      <c r="D19" s="441">
        <v>0</v>
      </c>
      <c r="F19" s="581" t="s">
        <v>108</v>
      </c>
      <c r="G19" s="582" t="s">
        <v>477</v>
      </c>
      <c r="H19" s="441">
        <v>0</v>
      </c>
      <c r="J19" s="581" t="s">
        <v>108</v>
      </c>
      <c r="K19" s="582" t="s">
        <v>477</v>
      </c>
      <c r="L19" s="441">
        <v>0</v>
      </c>
      <c r="N19" s="581" t="s">
        <v>108</v>
      </c>
      <c r="O19" s="582" t="s">
        <v>477</v>
      </c>
      <c r="P19" s="441">
        <v>0</v>
      </c>
      <c r="R19" s="581" t="s">
        <v>108</v>
      </c>
      <c r="S19" s="582" t="s">
        <v>477</v>
      </c>
      <c r="T19" s="441">
        <v>0</v>
      </c>
      <c r="V19" s="581" t="s">
        <v>108</v>
      </c>
      <c r="W19" s="582" t="s">
        <v>477</v>
      </c>
      <c r="X19" s="244">
        <v>0</v>
      </c>
      <c r="Z19" s="581" t="s">
        <v>108</v>
      </c>
      <c r="AA19" s="582" t="s">
        <v>477</v>
      </c>
      <c r="AB19" s="244">
        <v>0</v>
      </c>
      <c r="AD19" s="581" t="s">
        <v>108</v>
      </c>
      <c r="AE19" s="582" t="s">
        <v>477</v>
      </c>
      <c r="AF19" s="244">
        <v>0</v>
      </c>
    </row>
    <row r="20" spans="2:32" x14ac:dyDescent="0.25">
      <c r="B20" s="581" t="s">
        <v>474</v>
      </c>
      <c r="C20" s="582" t="s">
        <v>477</v>
      </c>
      <c r="D20" s="441">
        <v>0</v>
      </c>
      <c r="F20" s="581" t="s">
        <v>474</v>
      </c>
      <c r="G20" s="582" t="s">
        <v>477</v>
      </c>
      <c r="H20" s="441">
        <v>0</v>
      </c>
      <c r="J20" s="581" t="s">
        <v>474</v>
      </c>
      <c r="K20" s="582" t="s">
        <v>477</v>
      </c>
      <c r="L20" s="441">
        <v>0</v>
      </c>
      <c r="N20" s="581" t="s">
        <v>474</v>
      </c>
      <c r="O20" s="582" t="s">
        <v>477</v>
      </c>
      <c r="P20" s="441">
        <v>0</v>
      </c>
      <c r="R20" s="581" t="s">
        <v>474</v>
      </c>
      <c r="S20" s="582" t="s">
        <v>477</v>
      </c>
      <c r="T20" s="441">
        <v>0</v>
      </c>
      <c r="V20" s="581" t="s">
        <v>474</v>
      </c>
      <c r="W20" s="582" t="s">
        <v>477</v>
      </c>
      <c r="X20" s="244">
        <v>0</v>
      </c>
      <c r="Z20" s="581" t="s">
        <v>474</v>
      </c>
      <c r="AA20" s="582" t="s">
        <v>477</v>
      </c>
      <c r="AB20" s="244">
        <v>0</v>
      </c>
      <c r="AD20" s="581" t="s">
        <v>474</v>
      </c>
      <c r="AE20" s="582" t="s">
        <v>477</v>
      </c>
      <c r="AF20" s="244">
        <v>0</v>
      </c>
    </row>
    <row r="21" spans="2:32" x14ac:dyDescent="0.25">
      <c r="B21" s="581" t="s">
        <v>480</v>
      </c>
      <c r="C21" s="582" t="s">
        <v>477</v>
      </c>
      <c r="D21" s="441">
        <v>1.14E-2</v>
      </c>
      <c r="F21" s="581" t="s">
        <v>480</v>
      </c>
      <c r="G21" s="582" t="s">
        <v>477</v>
      </c>
      <c r="H21" s="441">
        <v>1.3860000000000001E-2</v>
      </c>
      <c r="J21" s="581" t="s">
        <v>480</v>
      </c>
      <c r="K21" s="582" t="s">
        <v>477</v>
      </c>
      <c r="L21" s="441">
        <v>1.3780000000000001E-2</v>
      </c>
      <c r="N21" s="581" t="s">
        <v>480</v>
      </c>
      <c r="O21" s="582" t="s">
        <v>477</v>
      </c>
      <c r="P21" s="441">
        <v>1.3860000000000001E-2</v>
      </c>
      <c r="R21" s="581" t="s">
        <v>480</v>
      </c>
      <c r="S21" s="582" t="s">
        <v>477</v>
      </c>
      <c r="T21" s="441">
        <v>1.8030000000000001E-2</v>
      </c>
      <c r="V21" s="581" t="s">
        <v>480</v>
      </c>
      <c r="W21" s="582" t="s">
        <v>477</v>
      </c>
      <c r="X21" s="244">
        <v>0</v>
      </c>
      <c r="Z21" s="581" t="s">
        <v>480</v>
      </c>
      <c r="AA21" s="582" t="s">
        <v>477</v>
      </c>
      <c r="AB21" s="244">
        <v>0</v>
      </c>
      <c r="AD21" s="581" t="s">
        <v>480</v>
      </c>
      <c r="AE21" s="582" t="s">
        <v>477</v>
      </c>
      <c r="AF21" s="244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6"/>
      <c r="H33" s="426"/>
      <c r="L33" s="426"/>
    </row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592" t="s">
        <v>387</v>
      </c>
      <c r="C3" s="349" t="s">
        <v>95</v>
      </c>
      <c r="D3" s="349" t="s">
        <v>388</v>
      </c>
      <c r="E3" s="349" t="s">
        <v>389</v>
      </c>
      <c r="F3" s="349" t="s">
        <v>390</v>
      </c>
      <c r="G3" s="349" t="s">
        <v>391</v>
      </c>
      <c r="H3" s="670" t="s">
        <v>392</v>
      </c>
      <c r="I3" s="674" t="s">
        <v>399</v>
      </c>
      <c r="J3" s="350" t="s">
        <v>296</v>
      </c>
      <c r="K3" s="672" t="s">
        <v>393</v>
      </c>
    </row>
    <row r="4" spans="2:14" ht="15.75" thickBot="1" x14ac:dyDescent="0.3">
      <c r="B4" s="669"/>
      <c r="C4" s="351" t="s">
        <v>394</v>
      </c>
      <c r="D4" s="351" t="s">
        <v>394</v>
      </c>
      <c r="E4" s="351" t="s">
        <v>429</v>
      </c>
      <c r="F4" s="351" t="s">
        <v>305</v>
      </c>
      <c r="G4" s="351" t="s">
        <v>429</v>
      </c>
      <c r="H4" s="671"/>
      <c r="I4" s="675"/>
      <c r="J4" s="352" t="s">
        <v>303</v>
      </c>
      <c r="K4" s="673"/>
    </row>
    <row r="5" spans="2:14" ht="15.75" thickBot="1" x14ac:dyDescent="0.3">
      <c r="B5" s="353">
        <v>1</v>
      </c>
      <c r="C5" s="354">
        <v>250</v>
      </c>
      <c r="D5" s="354">
        <v>170</v>
      </c>
      <c r="E5" s="447">
        <v>10</v>
      </c>
      <c r="F5" s="354">
        <v>40</v>
      </c>
      <c r="G5" s="447">
        <v>0.1</v>
      </c>
      <c r="H5" s="355" t="s">
        <v>395</v>
      </c>
      <c r="I5" s="448">
        <v>1</v>
      </c>
      <c r="J5" s="356">
        <v>36408.687155338594</v>
      </c>
      <c r="K5" s="274" t="s">
        <v>396</v>
      </c>
    </row>
    <row r="6" spans="2:14" x14ac:dyDescent="0.25">
      <c r="B6" s="353">
        <v>2</v>
      </c>
      <c r="C6" s="354"/>
      <c r="D6" s="354"/>
      <c r="E6" s="447"/>
      <c r="F6" s="354"/>
      <c r="G6" s="447"/>
      <c r="H6" s="355" t="s">
        <v>395</v>
      </c>
      <c r="I6" s="448"/>
      <c r="J6" s="356"/>
      <c r="K6" s="274" t="s">
        <v>489</v>
      </c>
      <c r="M6" s="627" t="s">
        <v>374</v>
      </c>
      <c r="N6" s="628"/>
    </row>
    <row r="7" spans="2:14" ht="14.45" customHeight="1" x14ac:dyDescent="0.25">
      <c r="B7" s="353">
        <v>3</v>
      </c>
      <c r="C7" s="354"/>
      <c r="D7" s="354"/>
      <c r="E7" s="447"/>
      <c r="F7" s="354"/>
      <c r="G7" s="447"/>
      <c r="H7" s="355" t="s">
        <v>395</v>
      </c>
      <c r="I7" s="448"/>
      <c r="J7" s="356"/>
      <c r="K7" s="274" t="s">
        <v>488</v>
      </c>
      <c r="M7" s="629"/>
      <c r="N7" s="630"/>
    </row>
    <row r="8" spans="2:14" ht="14.45" customHeight="1" x14ac:dyDescent="0.25">
      <c r="B8" s="353">
        <v>4</v>
      </c>
      <c r="C8" s="354"/>
      <c r="D8" s="354"/>
      <c r="E8" s="447"/>
      <c r="F8" s="354"/>
      <c r="G8" s="447"/>
      <c r="H8" s="355" t="s">
        <v>395</v>
      </c>
      <c r="I8" s="448"/>
      <c r="J8" s="356"/>
      <c r="K8" s="274" t="s">
        <v>487</v>
      </c>
      <c r="M8" s="631" t="s">
        <v>490</v>
      </c>
      <c r="N8" s="632"/>
    </row>
    <row r="9" spans="2:14" ht="14.45" customHeight="1" thickBot="1" x14ac:dyDescent="0.3">
      <c r="B9" s="353">
        <v>5</v>
      </c>
      <c r="C9" s="354"/>
      <c r="D9" s="354"/>
      <c r="E9" s="447"/>
      <c r="F9" s="354"/>
      <c r="G9" s="447"/>
      <c r="H9" s="355" t="s">
        <v>395</v>
      </c>
      <c r="I9" s="448"/>
      <c r="J9" s="356"/>
      <c r="K9" s="274" t="s">
        <v>486</v>
      </c>
      <c r="M9" s="633"/>
      <c r="N9" s="634"/>
    </row>
    <row r="10" spans="2:14" ht="14.85" customHeight="1" x14ac:dyDescent="0.25">
      <c r="B10" s="353">
        <v>6</v>
      </c>
      <c r="C10" s="354"/>
      <c r="D10" s="354"/>
      <c r="E10" s="447"/>
      <c r="F10" s="354"/>
      <c r="G10" s="447"/>
      <c r="H10" s="355" t="s">
        <v>395</v>
      </c>
      <c r="I10" s="448"/>
      <c r="J10" s="356"/>
      <c r="K10" s="274"/>
    </row>
    <row r="11" spans="2:14" x14ac:dyDescent="0.25">
      <c r="B11" s="353">
        <v>7</v>
      </c>
      <c r="C11" s="354"/>
      <c r="D11" s="354"/>
      <c r="E11" s="447"/>
      <c r="F11" s="354"/>
      <c r="G11" s="447"/>
      <c r="H11" s="355" t="s">
        <v>395</v>
      </c>
      <c r="I11" s="448"/>
      <c r="J11" s="356"/>
      <c r="K11" s="274"/>
    </row>
    <row r="12" spans="2:14" x14ac:dyDescent="0.25">
      <c r="B12" s="353">
        <v>8</v>
      </c>
      <c r="C12" s="354"/>
      <c r="D12" s="354"/>
      <c r="E12" s="447"/>
      <c r="F12" s="354"/>
      <c r="G12" s="447"/>
      <c r="H12" s="355" t="s">
        <v>395</v>
      </c>
      <c r="I12" s="448"/>
      <c r="J12" s="356"/>
      <c r="K12" s="274"/>
    </row>
    <row r="13" spans="2:14" x14ac:dyDescent="0.25">
      <c r="B13" s="353">
        <v>9</v>
      </c>
      <c r="C13" s="354"/>
      <c r="D13" s="354"/>
      <c r="E13" s="447"/>
      <c r="F13" s="354"/>
      <c r="G13" s="447"/>
      <c r="H13" s="355" t="s">
        <v>395</v>
      </c>
      <c r="I13" s="448"/>
      <c r="J13" s="356"/>
      <c r="K13" s="274"/>
    </row>
    <row r="14" spans="2:14" x14ac:dyDescent="0.25">
      <c r="B14" s="353">
        <v>10</v>
      </c>
      <c r="C14" s="354"/>
      <c r="D14" s="354"/>
      <c r="E14" s="447"/>
      <c r="F14" s="354"/>
      <c r="G14" s="447"/>
      <c r="H14" s="355" t="s">
        <v>395</v>
      </c>
      <c r="I14" s="448"/>
      <c r="J14" s="356"/>
      <c r="K14" s="274"/>
    </row>
    <row r="15" spans="2:14" x14ac:dyDescent="0.25">
      <c r="B15" s="353">
        <v>11</v>
      </c>
      <c r="C15" s="354"/>
      <c r="D15" s="354"/>
      <c r="E15" s="447"/>
      <c r="F15" s="354"/>
      <c r="G15" s="447"/>
      <c r="H15" s="355" t="s">
        <v>395</v>
      </c>
      <c r="I15" s="448"/>
      <c r="J15" s="356"/>
      <c r="K15" s="274"/>
    </row>
    <row r="16" spans="2:14" x14ac:dyDescent="0.25">
      <c r="B16" s="353">
        <v>12</v>
      </c>
      <c r="C16" s="354"/>
      <c r="D16" s="354"/>
      <c r="E16" s="447"/>
      <c r="F16" s="354"/>
      <c r="G16" s="447"/>
      <c r="H16" s="355" t="s">
        <v>395</v>
      </c>
      <c r="I16" s="448"/>
      <c r="J16" s="356"/>
      <c r="K16" s="274"/>
    </row>
    <row r="17" spans="2:11" x14ac:dyDescent="0.25">
      <c r="B17" s="353">
        <v>13</v>
      </c>
      <c r="C17" s="354"/>
      <c r="D17" s="354"/>
      <c r="E17" s="447"/>
      <c r="F17" s="354"/>
      <c r="G17" s="447"/>
      <c r="H17" s="355" t="s">
        <v>395</v>
      </c>
      <c r="I17" s="448"/>
      <c r="J17" s="356"/>
      <c r="K17" s="274"/>
    </row>
    <row r="18" spans="2:11" x14ac:dyDescent="0.25">
      <c r="B18" s="353">
        <v>14</v>
      </c>
      <c r="C18" s="354"/>
      <c r="D18" s="354"/>
      <c r="E18" s="447"/>
      <c r="F18" s="354"/>
      <c r="G18" s="447"/>
      <c r="H18" s="355" t="s">
        <v>395</v>
      </c>
      <c r="I18" s="448"/>
      <c r="J18" s="356"/>
      <c r="K18" s="274"/>
    </row>
    <row r="19" spans="2:11" x14ac:dyDescent="0.25">
      <c r="B19" s="353">
        <v>15</v>
      </c>
      <c r="C19" s="354"/>
      <c r="D19" s="354"/>
      <c r="E19" s="447"/>
      <c r="F19" s="354"/>
      <c r="G19" s="447"/>
      <c r="H19" s="355" t="s">
        <v>395</v>
      </c>
      <c r="I19" s="448"/>
      <c r="J19" s="356"/>
      <c r="K19" s="274"/>
    </row>
    <row r="20" spans="2:11" x14ac:dyDescent="0.25">
      <c r="B20" s="353">
        <v>16</v>
      </c>
      <c r="C20" s="354"/>
      <c r="D20" s="354"/>
      <c r="E20" s="447"/>
      <c r="F20" s="354"/>
      <c r="G20" s="447"/>
      <c r="H20" s="355" t="s">
        <v>395</v>
      </c>
      <c r="I20" s="448"/>
      <c r="J20" s="356"/>
      <c r="K20" s="274"/>
    </row>
    <row r="21" spans="2:11" x14ac:dyDescent="0.25">
      <c r="B21" s="353">
        <v>17</v>
      </c>
      <c r="C21" s="354"/>
      <c r="D21" s="354"/>
      <c r="E21" s="447"/>
      <c r="F21" s="354"/>
      <c r="G21" s="447"/>
      <c r="H21" s="355" t="s">
        <v>395</v>
      </c>
      <c r="I21" s="448"/>
      <c r="J21" s="356"/>
      <c r="K21" s="274"/>
    </row>
    <row r="22" spans="2:11" x14ac:dyDescent="0.25">
      <c r="B22" s="353">
        <v>18</v>
      </c>
      <c r="C22" s="354"/>
      <c r="D22" s="354"/>
      <c r="E22" s="447"/>
      <c r="F22" s="354"/>
      <c r="G22" s="447"/>
      <c r="H22" s="355" t="s">
        <v>395</v>
      </c>
      <c r="I22" s="448"/>
      <c r="J22" s="356"/>
      <c r="K22" s="274"/>
    </row>
    <row r="23" spans="2:11" x14ac:dyDescent="0.25">
      <c r="B23" s="353">
        <v>19</v>
      </c>
      <c r="C23" s="354"/>
      <c r="D23" s="354"/>
      <c r="E23" s="447"/>
      <c r="F23" s="354"/>
      <c r="G23" s="447"/>
      <c r="H23" s="355" t="s">
        <v>395</v>
      </c>
      <c r="I23" s="448"/>
      <c r="J23" s="356"/>
      <c r="K23" s="274"/>
    </row>
    <row r="24" spans="2:11" x14ac:dyDescent="0.25">
      <c r="B24" s="353">
        <v>20</v>
      </c>
      <c r="C24" s="354"/>
      <c r="D24" s="354"/>
      <c r="E24" s="447"/>
      <c r="F24" s="354"/>
      <c r="G24" s="447"/>
      <c r="H24" s="355" t="s">
        <v>395</v>
      </c>
      <c r="I24" s="448"/>
      <c r="J24" s="356"/>
      <c r="K24" s="274"/>
    </row>
    <row r="25" spans="2:11" x14ac:dyDescent="0.25">
      <c r="B25" s="353">
        <v>21</v>
      </c>
      <c r="C25" s="354"/>
      <c r="D25" s="354"/>
      <c r="E25" s="447"/>
      <c r="F25" s="354"/>
      <c r="G25" s="447"/>
      <c r="H25" s="355" t="s">
        <v>395</v>
      </c>
      <c r="I25" s="448"/>
      <c r="J25" s="356"/>
      <c r="K25" s="274"/>
    </row>
    <row r="26" spans="2:11" x14ac:dyDescent="0.25">
      <c r="B26" s="353">
        <v>22</v>
      </c>
      <c r="C26" s="354"/>
      <c r="D26" s="354"/>
      <c r="E26" s="447"/>
      <c r="F26" s="354"/>
      <c r="G26" s="447"/>
      <c r="H26" s="355" t="s">
        <v>395</v>
      </c>
      <c r="I26" s="448"/>
      <c r="J26" s="356"/>
      <c r="K26" s="274"/>
    </row>
    <row r="27" spans="2:11" x14ac:dyDescent="0.25">
      <c r="B27" s="353">
        <v>23</v>
      </c>
      <c r="C27" s="354"/>
      <c r="D27" s="354"/>
      <c r="E27" s="447"/>
      <c r="F27" s="354"/>
      <c r="G27" s="447"/>
      <c r="H27" s="355" t="s">
        <v>395</v>
      </c>
      <c r="I27" s="448"/>
      <c r="J27" s="356"/>
      <c r="K27" s="274"/>
    </row>
    <row r="28" spans="2:11" x14ac:dyDescent="0.25">
      <c r="B28" s="353">
        <v>24</v>
      </c>
      <c r="C28" s="354"/>
      <c r="D28" s="354"/>
      <c r="E28" s="354"/>
      <c r="F28" s="354"/>
      <c r="G28" s="354"/>
      <c r="H28" s="355" t="s">
        <v>395</v>
      </c>
      <c r="I28" s="448"/>
      <c r="J28" s="356"/>
      <c r="K28" s="274"/>
    </row>
    <row r="29" spans="2:11" x14ac:dyDescent="0.25">
      <c r="B29" s="353">
        <v>25</v>
      </c>
      <c r="C29" s="354"/>
      <c r="D29" s="354"/>
      <c r="E29" s="354"/>
      <c r="F29" s="354"/>
      <c r="G29" s="354"/>
      <c r="H29" s="355" t="s">
        <v>395</v>
      </c>
      <c r="I29" s="448"/>
      <c r="J29" s="356"/>
      <c r="K29" s="274"/>
    </row>
    <row r="30" spans="2:11" x14ac:dyDescent="0.25">
      <c r="B30" s="353">
        <v>26</v>
      </c>
      <c r="C30" s="354"/>
      <c r="D30" s="354"/>
      <c r="E30" s="354"/>
      <c r="F30" s="354"/>
      <c r="G30" s="354"/>
      <c r="H30" s="355" t="s">
        <v>395</v>
      </c>
      <c r="I30" s="448"/>
      <c r="J30" s="356"/>
      <c r="K30" s="274"/>
    </row>
    <row r="31" spans="2:11" x14ac:dyDescent="0.25">
      <c r="B31" s="353">
        <v>27</v>
      </c>
      <c r="C31" s="354"/>
      <c r="D31" s="354"/>
      <c r="E31" s="354"/>
      <c r="F31" s="354"/>
      <c r="G31" s="354"/>
      <c r="H31" s="355" t="s">
        <v>395</v>
      </c>
      <c r="I31" s="448"/>
      <c r="J31" s="356"/>
      <c r="K31" s="274"/>
    </row>
    <row r="32" spans="2:11" x14ac:dyDescent="0.25">
      <c r="B32" s="353">
        <v>28</v>
      </c>
      <c r="C32" s="354"/>
      <c r="D32" s="354"/>
      <c r="E32" s="354"/>
      <c r="F32" s="354"/>
      <c r="G32" s="354"/>
      <c r="H32" s="355" t="s">
        <v>395</v>
      </c>
      <c r="I32" s="448"/>
      <c r="J32" s="356"/>
      <c r="K32" s="274"/>
    </row>
    <row r="33" spans="2:11" x14ac:dyDescent="0.25">
      <c r="B33" s="353">
        <v>29</v>
      </c>
      <c r="C33" s="354"/>
      <c r="D33" s="354"/>
      <c r="E33" s="354"/>
      <c r="F33" s="354"/>
      <c r="G33" s="354"/>
      <c r="H33" s="355" t="s">
        <v>395</v>
      </c>
      <c r="I33" s="448"/>
      <c r="J33" s="356"/>
      <c r="K33" s="274"/>
    </row>
    <row r="34" spans="2:11" x14ac:dyDescent="0.25">
      <c r="B34" s="353">
        <v>30</v>
      </c>
      <c r="C34" s="354"/>
      <c r="D34" s="354"/>
      <c r="E34" s="354"/>
      <c r="F34" s="354"/>
      <c r="G34" s="354"/>
      <c r="H34" s="355" t="s">
        <v>395</v>
      </c>
      <c r="I34" s="448"/>
      <c r="J34" s="356"/>
      <c r="K34" s="274"/>
    </row>
    <row r="35" spans="2:11" x14ac:dyDescent="0.25">
      <c r="B35" s="353">
        <v>31</v>
      </c>
      <c r="C35" s="354"/>
      <c r="D35" s="354"/>
      <c r="E35" s="354"/>
      <c r="F35" s="354"/>
      <c r="G35" s="354"/>
      <c r="H35" s="355" t="s">
        <v>395</v>
      </c>
      <c r="I35" s="448"/>
      <c r="J35" s="356"/>
      <c r="K35" s="274"/>
    </row>
    <row r="36" spans="2:11" x14ac:dyDescent="0.25">
      <c r="B36" s="353">
        <v>32</v>
      </c>
      <c r="C36" s="354"/>
      <c r="D36" s="354"/>
      <c r="E36" s="354"/>
      <c r="F36" s="354"/>
      <c r="G36" s="354"/>
      <c r="H36" s="355" t="s">
        <v>395</v>
      </c>
      <c r="I36" s="448"/>
      <c r="J36" s="356"/>
      <c r="K36" s="274"/>
    </row>
    <row r="37" spans="2:11" x14ac:dyDescent="0.25">
      <c r="B37" s="353">
        <v>33</v>
      </c>
      <c r="C37" s="354"/>
      <c r="D37" s="354"/>
      <c r="E37" s="354"/>
      <c r="F37" s="354"/>
      <c r="G37" s="354"/>
      <c r="H37" s="355" t="s">
        <v>395</v>
      </c>
      <c r="I37" s="448"/>
      <c r="J37" s="356"/>
      <c r="K37" s="274"/>
    </row>
    <row r="38" spans="2:11" x14ac:dyDescent="0.25">
      <c r="B38" s="353">
        <v>34</v>
      </c>
      <c r="C38" s="354"/>
      <c r="D38" s="354"/>
      <c r="E38" s="354"/>
      <c r="F38" s="354"/>
      <c r="G38" s="354"/>
      <c r="H38" s="355" t="s">
        <v>395</v>
      </c>
      <c r="I38" s="448"/>
      <c r="J38" s="356"/>
      <c r="K38" s="274"/>
    </row>
    <row r="39" spans="2:11" x14ac:dyDescent="0.25">
      <c r="B39" s="353">
        <v>35</v>
      </c>
      <c r="C39" s="354"/>
      <c r="D39" s="354"/>
      <c r="E39" s="354"/>
      <c r="F39" s="354"/>
      <c r="G39" s="354"/>
      <c r="H39" s="355" t="s">
        <v>395</v>
      </c>
      <c r="I39" s="448"/>
      <c r="J39" s="356"/>
      <c r="K39" s="274"/>
    </row>
    <row r="40" spans="2:11" x14ac:dyDescent="0.25">
      <c r="B40" s="353">
        <v>36</v>
      </c>
      <c r="C40" s="354"/>
      <c r="D40" s="354"/>
      <c r="E40" s="354"/>
      <c r="F40" s="354"/>
      <c r="G40" s="354"/>
      <c r="H40" s="355" t="s">
        <v>395</v>
      </c>
      <c r="I40" s="448"/>
      <c r="J40" s="356"/>
      <c r="K40" s="274"/>
    </row>
    <row r="41" spans="2:11" x14ac:dyDescent="0.25">
      <c r="B41" s="353">
        <v>37</v>
      </c>
      <c r="C41" s="354"/>
      <c r="D41" s="354"/>
      <c r="E41" s="354"/>
      <c r="F41" s="354"/>
      <c r="G41" s="354"/>
      <c r="H41" s="355" t="s">
        <v>395</v>
      </c>
      <c r="I41" s="448"/>
      <c r="J41" s="356"/>
      <c r="K41" s="274"/>
    </row>
    <row r="42" spans="2:11" x14ac:dyDescent="0.25">
      <c r="B42" s="353">
        <v>38</v>
      </c>
      <c r="C42" s="354"/>
      <c r="D42" s="354"/>
      <c r="E42" s="354"/>
      <c r="F42" s="354"/>
      <c r="G42" s="354"/>
      <c r="H42" s="355" t="s">
        <v>395</v>
      </c>
      <c r="I42" s="448"/>
      <c r="J42" s="356"/>
      <c r="K42" s="274"/>
    </row>
    <row r="43" spans="2:11" x14ac:dyDescent="0.25">
      <c r="B43" s="353">
        <v>39</v>
      </c>
      <c r="C43" s="354"/>
      <c r="D43" s="354"/>
      <c r="E43" s="354"/>
      <c r="F43" s="354"/>
      <c r="G43" s="354"/>
      <c r="H43" s="355" t="s">
        <v>395</v>
      </c>
      <c r="I43" s="448"/>
      <c r="J43" s="356"/>
      <c r="K43" s="274"/>
    </row>
    <row r="44" spans="2:11" x14ac:dyDescent="0.25">
      <c r="B44" s="353">
        <v>40</v>
      </c>
      <c r="C44" s="354"/>
      <c r="D44" s="354"/>
      <c r="E44" s="354"/>
      <c r="F44" s="354"/>
      <c r="G44" s="354"/>
      <c r="H44" s="355" t="s">
        <v>395</v>
      </c>
      <c r="I44" s="448"/>
      <c r="J44" s="356"/>
      <c r="K44" s="274"/>
    </row>
    <row r="45" spans="2:11" x14ac:dyDescent="0.25">
      <c r="B45" s="353">
        <v>41</v>
      </c>
      <c r="C45" s="354"/>
      <c r="D45" s="354"/>
      <c r="E45" s="354"/>
      <c r="F45" s="354"/>
      <c r="G45" s="354"/>
      <c r="H45" s="355" t="s">
        <v>395</v>
      </c>
      <c r="I45" s="448"/>
      <c r="J45" s="356"/>
      <c r="K45" s="274"/>
    </row>
    <row r="46" spans="2:11" x14ac:dyDescent="0.25">
      <c r="B46" s="353">
        <v>42</v>
      </c>
      <c r="C46" s="354"/>
      <c r="D46" s="354"/>
      <c r="E46" s="354"/>
      <c r="F46" s="354"/>
      <c r="G46" s="354"/>
      <c r="H46" s="355" t="s">
        <v>395</v>
      </c>
      <c r="I46" s="448"/>
      <c r="J46" s="356"/>
      <c r="K46" s="274"/>
    </row>
    <row r="47" spans="2:11" x14ac:dyDescent="0.25">
      <c r="B47" s="353">
        <v>43</v>
      </c>
      <c r="C47" s="354"/>
      <c r="D47" s="354"/>
      <c r="E47" s="354"/>
      <c r="F47" s="354"/>
      <c r="G47" s="354"/>
      <c r="H47" s="355" t="s">
        <v>395</v>
      </c>
      <c r="I47" s="448"/>
      <c r="J47" s="356"/>
      <c r="K47" s="274"/>
    </row>
    <row r="48" spans="2:11" x14ac:dyDescent="0.25">
      <c r="B48" s="353">
        <v>44</v>
      </c>
      <c r="C48" s="354"/>
      <c r="D48" s="354"/>
      <c r="E48" s="354"/>
      <c r="F48" s="354"/>
      <c r="G48" s="354"/>
      <c r="H48" s="355" t="s">
        <v>395</v>
      </c>
      <c r="I48" s="448"/>
      <c r="J48" s="356"/>
      <c r="K48" s="274"/>
    </row>
    <row r="49" spans="2:11" x14ac:dyDescent="0.25">
      <c r="B49" s="353">
        <v>45</v>
      </c>
      <c r="C49" s="354"/>
      <c r="D49" s="354"/>
      <c r="E49" s="354"/>
      <c r="F49" s="354"/>
      <c r="G49" s="354"/>
      <c r="H49" s="355" t="s">
        <v>395</v>
      </c>
      <c r="I49" s="448"/>
      <c r="J49" s="356"/>
      <c r="K49" s="274"/>
    </row>
    <row r="50" spans="2:11" x14ac:dyDescent="0.25">
      <c r="B50" s="353">
        <v>46</v>
      </c>
      <c r="C50" s="354"/>
      <c r="D50" s="354"/>
      <c r="E50" s="354"/>
      <c r="F50" s="354"/>
      <c r="G50" s="354"/>
      <c r="H50" s="355" t="s">
        <v>395</v>
      </c>
      <c r="I50" s="448"/>
      <c r="J50" s="356"/>
      <c r="K50" s="274"/>
    </row>
    <row r="51" spans="2:11" x14ac:dyDescent="0.25">
      <c r="B51" s="353">
        <v>47</v>
      </c>
      <c r="C51" s="354"/>
      <c r="D51" s="354"/>
      <c r="E51" s="354"/>
      <c r="F51" s="354"/>
      <c r="G51" s="354"/>
      <c r="H51" s="355" t="s">
        <v>395</v>
      </c>
      <c r="I51" s="448"/>
      <c r="J51" s="356"/>
      <c r="K51" s="274"/>
    </row>
    <row r="52" spans="2:11" x14ac:dyDescent="0.25">
      <c r="B52" s="353">
        <v>48</v>
      </c>
      <c r="C52" s="354"/>
      <c r="D52" s="354"/>
      <c r="E52" s="354"/>
      <c r="F52" s="354"/>
      <c r="G52" s="354"/>
      <c r="H52" s="355" t="s">
        <v>395</v>
      </c>
      <c r="I52" s="448"/>
      <c r="J52" s="356"/>
      <c r="K52" s="274"/>
    </row>
    <row r="53" spans="2:11" x14ac:dyDescent="0.25">
      <c r="B53" s="353">
        <v>49</v>
      </c>
      <c r="C53" s="354"/>
      <c r="D53" s="354"/>
      <c r="E53" s="354"/>
      <c r="F53" s="354"/>
      <c r="G53" s="354"/>
      <c r="H53" s="355" t="s">
        <v>395</v>
      </c>
      <c r="I53" s="448"/>
      <c r="J53" s="356"/>
      <c r="K53" s="274"/>
    </row>
    <row r="54" spans="2:11" x14ac:dyDescent="0.25">
      <c r="B54" s="353">
        <v>50</v>
      </c>
      <c r="C54" s="354"/>
      <c r="D54" s="354"/>
      <c r="E54" s="354"/>
      <c r="F54" s="354"/>
      <c r="G54" s="354"/>
      <c r="H54" s="355" t="s">
        <v>395</v>
      </c>
      <c r="I54" s="448"/>
      <c r="J54" s="356"/>
      <c r="K54" s="274"/>
    </row>
    <row r="55" spans="2:11" x14ac:dyDescent="0.25">
      <c r="B55" s="353">
        <v>51</v>
      </c>
      <c r="C55" s="354"/>
      <c r="D55" s="354"/>
      <c r="E55" s="354"/>
      <c r="F55" s="354"/>
      <c r="G55" s="354"/>
      <c r="H55" s="355" t="s">
        <v>395</v>
      </c>
      <c r="I55" s="448"/>
      <c r="J55" s="356"/>
      <c r="K55" s="274"/>
    </row>
    <row r="56" spans="2:11" x14ac:dyDescent="0.25">
      <c r="B56" s="353">
        <v>52</v>
      </c>
      <c r="C56" s="354"/>
      <c r="D56" s="354"/>
      <c r="E56" s="354"/>
      <c r="F56" s="354"/>
      <c r="G56" s="354"/>
      <c r="H56" s="355" t="s">
        <v>395</v>
      </c>
      <c r="I56" s="448"/>
      <c r="J56" s="356"/>
      <c r="K56" s="274"/>
    </row>
    <row r="57" spans="2:11" x14ac:dyDescent="0.25">
      <c r="B57" s="353">
        <v>53</v>
      </c>
      <c r="C57" s="354"/>
      <c r="D57" s="354"/>
      <c r="E57" s="354"/>
      <c r="F57" s="354"/>
      <c r="G57" s="354"/>
      <c r="H57" s="355" t="s">
        <v>395</v>
      </c>
      <c r="I57" s="448"/>
      <c r="J57" s="356"/>
      <c r="K57" s="274"/>
    </row>
    <row r="58" spans="2:11" x14ac:dyDescent="0.25">
      <c r="B58" s="353">
        <v>54</v>
      </c>
      <c r="C58" s="354"/>
      <c r="D58" s="354"/>
      <c r="E58" s="354"/>
      <c r="F58" s="354"/>
      <c r="G58" s="354"/>
      <c r="H58" s="355" t="s">
        <v>395</v>
      </c>
      <c r="I58" s="448"/>
      <c r="J58" s="356"/>
      <c r="K58" s="274"/>
    </row>
    <row r="59" spans="2:11" x14ac:dyDescent="0.25">
      <c r="B59" s="353">
        <v>55</v>
      </c>
      <c r="C59" s="354"/>
      <c r="D59" s="354"/>
      <c r="E59" s="354"/>
      <c r="F59" s="354"/>
      <c r="G59" s="354"/>
      <c r="H59" s="355" t="s">
        <v>395</v>
      </c>
      <c r="I59" s="448"/>
      <c r="J59" s="356"/>
      <c r="K59" s="274"/>
    </row>
    <row r="60" spans="2:11" x14ac:dyDescent="0.25">
      <c r="B60" s="353">
        <v>56</v>
      </c>
      <c r="C60" s="354"/>
      <c r="D60" s="354"/>
      <c r="E60" s="354"/>
      <c r="F60" s="354"/>
      <c r="G60" s="354"/>
      <c r="H60" s="355" t="s">
        <v>395</v>
      </c>
      <c r="I60" s="448"/>
      <c r="J60" s="356"/>
      <c r="K60" s="274"/>
    </row>
    <row r="61" spans="2:11" x14ac:dyDescent="0.25">
      <c r="B61" s="353">
        <v>57</v>
      </c>
      <c r="C61" s="354"/>
      <c r="D61" s="354"/>
      <c r="E61" s="354"/>
      <c r="F61" s="354"/>
      <c r="G61" s="354"/>
      <c r="H61" s="355" t="s">
        <v>395</v>
      </c>
      <c r="I61" s="448"/>
      <c r="J61" s="356"/>
      <c r="K61" s="274"/>
    </row>
    <row r="62" spans="2:11" x14ac:dyDescent="0.25">
      <c r="B62" s="353">
        <v>58</v>
      </c>
      <c r="C62" s="354"/>
      <c r="D62" s="354"/>
      <c r="E62" s="354"/>
      <c r="F62" s="354"/>
      <c r="G62" s="354"/>
      <c r="H62" s="355" t="s">
        <v>395</v>
      </c>
      <c r="I62" s="448"/>
      <c r="J62" s="356"/>
      <c r="K62" s="274"/>
    </row>
    <row r="63" spans="2:11" x14ac:dyDescent="0.25">
      <c r="B63" s="353">
        <v>59</v>
      </c>
      <c r="C63" s="354"/>
      <c r="D63" s="354"/>
      <c r="E63" s="354"/>
      <c r="F63" s="354"/>
      <c r="G63" s="354"/>
      <c r="H63" s="355" t="s">
        <v>395</v>
      </c>
      <c r="I63" s="448"/>
      <c r="J63" s="356"/>
      <c r="K63" s="274"/>
    </row>
    <row r="64" spans="2:11" x14ac:dyDescent="0.25">
      <c r="B64" s="353">
        <v>60</v>
      </c>
      <c r="C64" s="354"/>
      <c r="D64" s="354"/>
      <c r="E64" s="354"/>
      <c r="F64" s="354"/>
      <c r="G64" s="354"/>
      <c r="H64" s="355" t="s">
        <v>395</v>
      </c>
      <c r="I64" s="448"/>
      <c r="J64" s="356"/>
      <c r="K64" s="274"/>
    </row>
    <row r="65" spans="2:11" x14ac:dyDescent="0.25">
      <c r="B65" s="353">
        <v>61</v>
      </c>
      <c r="C65" s="354"/>
      <c r="D65" s="354"/>
      <c r="E65" s="354"/>
      <c r="F65" s="354"/>
      <c r="G65" s="354"/>
      <c r="H65" s="355" t="s">
        <v>395</v>
      </c>
      <c r="I65" s="448"/>
      <c r="J65" s="356"/>
      <c r="K65" s="274"/>
    </row>
    <row r="66" spans="2:11" x14ac:dyDescent="0.25">
      <c r="B66" s="353">
        <v>62</v>
      </c>
      <c r="C66" s="354"/>
      <c r="D66" s="354"/>
      <c r="E66" s="354"/>
      <c r="F66" s="354"/>
      <c r="G66" s="354"/>
      <c r="H66" s="355" t="s">
        <v>395</v>
      </c>
      <c r="I66" s="448"/>
      <c r="J66" s="356"/>
      <c r="K66" s="274"/>
    </row>
    <row r="67" spans="2:11" x14ac:dyDescent="0.25">
      <c r="B67" s="353">
        <v>63</v>
      </c>
      <c r="C67" s="354"/>
      <c r="D67" s="354"/>
      <c r="E67" s="354"/>
      <c r="F67" s="354"/>
      <c r="G67" s="354"/>
      <c r="H67" s="355" t="s">
        <v>395</v>
      </c>
      <c r="I67" s="448"/>
      <c r="J67" s="356"/>
      <c r="K67" s="274"/>
    </row>
    <row r="68" spans="2:11" x14ac:dyDescent="0.25">
      <c r="B68" s="353">
        <v>64</v>
      </c>
      <c r="C68" s="354"/>
      <c r="D68" s="354"/>
      <c r="E68" s="354"/>
      <c r="F68" s="354"/>
      <c r="G68" s="354"/>
      <c r="H68" s="355" t="s">
        <v>395</v>
      </c>
      <c r="I68" s="448"/>
      <c r="J68" s="356"/>
      <c r="K68" s="274"/>
    </row>
    <row r="69" spans="2:11" x14ac:dyDescent="0.25">
      <c r="B69" s="353">
        <v>65</v>
      </c>
      <c r="C69" s="354"/>
      <c r="D69" s="354"/>
      <c r="E69" s="354"/>
      <c r="F69" s="354"/>
      <c r="G69" s="354"/>
      <c r="H69" s="355" t="s">
        <v>395</v>
      </c>
      <c r="I69" s="448"/>
      <c r="J69" s="356"/>
      <c r="K69" s="274"/>
    </row>
    <row r="70" spans="2:11" x14ac:dyDescent="0.25">
      <c r="B70" s="353">
        <v>66</v>
      </c>
      <c r="C70" s="354"/>
      <c r="D70" s="354"/>
      <c r="E70" s="354"/>
      <c r="F70" s="354"/>
      <c r="G70" s="354"/>
      <c r="H70" s="355" t="s">
        <v>395</v>
      </c>
      <c r="I70" s="448"/>
      <c r="J70" s="356"/>
      <c r="K70" s="274"/>
    </row>
    <row r="71" spans="2:11" x14ac:dyDescent="0.25">
      <c r="B71" s="353">
        <v>67</v>
      </c>
      <c r="C71" s="354"/>
      <c r="D71" s="354"/>
      <c r="E71" s="354"/>
      <c r="F71" s="354"/>
      <c r="G71" s="354"/>
      <c r="H71" s="355" t="s">
        <v>395</v>
      </c>
      <c r="I71" s="448"/>
      <c r="J71" s="356"/>
      <c r="K71" s="274"/>
    </row>
    <row r="72" spans="2:11" x14ac:dyDescent="0.25">
      <c r="B72" s="353">
        <v>68</v>
      </c>
      <c r="C72" s="354"/>
      <c r="D72" s="354"/>
      <c r="E72" s="354"/>
      <c r="F72" s="354"/>
      <c r="G72" s="354"/>
      <c r="H72" s="355" t="s">
        <v>395</v>
      </c>
      <c r="I72" s="448"/>
      <c r="J72" s="356"/>
      <c r="K72" s="274"/>
    </row>
    <row r="73" spans="2:11" x14ac:dyDescent="0.25">
      <c r="B73" s="353">
        <v>69</v>
      </c>
      <c r="C73" s="354"/>
      <c r="D73" s="354"/>
      <c r="E73" s="354"/>
      <c r="F73" s="354"/>
      <c r="G73" s="354"/>
      <c r="H73" s="355" t="s">
        <v>395</v>
      </c>
      <c r="I73" s="448"/>
      <c r="J73" s="356"/>
      <c r="K73" s="274"/>
    </row>
    <row r="74" spans="2:11" x14ac:dyDescent="0.25">
      <c r="B74" s="353">
        <v>70</v>
      </c>
      <c r="C74" s="354"/>
      <c r="D74" s="354"/>
      <c r="E74" s="354"/>
      <c r="F74" s="354"/>
      <c r="G74" s="354"/>
      <c r="H74" s="355" t="s">
        <v>395</v>
      </c>
      <c r="I74" s="448"/>
      <c r="J74" s="356"/>
      <c r="K74" s="274"/>
    </row>
    <row r="75" spans="2:11" x14ac:dyDescent="0.25">
      <c r="B75" s="353">
        <v>71</v>
      </c>
      <c r="C75" s="354"/>
      <c r="D75" s="354"/>
      <c r="E75" s="354"/>
      <c r="F75" s="354"/>
      <c r="G75" s="354"/>
      <c r="H75" s="355" t="s">
        <v>395</v>
      </c>
      <c r="I75" s="448"/>
      <c r="J75" s="356"/>
      <c r="K75" s="274"/>
    </row>
    <row r="76" spans="2:11" x14ac:dyDescent="0.25">
      <c r="B76" s="353">
        <v>72</v>
      </c>
      <c r="C76" s="354"/>
      <c r="D76" s="354"/>
      <c r="E76" s="354"/>
      <c r="F76" s="354"/>
      <c r="G76" s="354"/>
      <c r="H76" s="355" t="s">
        <v>395</v>
      </c>
      <c r="I76" s="448"/>
      <c r="J76" s="356"/>
      <c r="K76" s="274"/>
    </row>
    <row r="77" spans="2:11" x14ac:dyDescent="0.25">
      <c r="B77" s="353">
        <v>73</v>
      </c>
      <c r="C77" s="354"/>
      <c r="D77" s="354"/>
      <c r="E77" s="354"/>
      <c r="F77" s="354"/>
      <c r="G77" s="354"/>
      <c r="H77" s="355" t="s">
        <v>395</v>
      </c>
      <c r="I77" s="448"/>
      <c r="J77" s="356"/>
      <c r="K77" s="274"/>
    </row>
    <row r="78" spans="2:11" x14ac:dyDescent="0.25">
      <c r="B78" s="353">
        <v>74</v>
      </c>
      <c r="C78" s="354"/>
      <c r="D78" s="354"/>
      <c r="E78" s="354"/>
      <c r="F78" s="354"/>
      <c r="G78" s="354"/>
      <c r="H78" s="355" t="s">
        <v>395</v>
      </c>
      <c r="I78" s="448"/>
      <c r="J78" s="356"/>
      <c r="K78" s="274"/>
    </row>
    <row r="79" spans="2:11" x14ac:dyDescent="0.25">
      <c r="B79" s="353">
        <v>75</v>
      </c>
      <c r="C79" s="354"/>
      <c r="D79" s="354"/>
      <c r="E79" s="354"/>
      <c r="F79" s="354"/>
      <c r="G79" s="354"/>
      <c r="H79" s="355" t="s">
        <v>395</v>
      </c>
      <c r="I79" s="448"/>
      <c r="J79" s="356"/>
      <c r="K79" s="274"/>
    </row>
    <row r="80" spans="2:11" x14ac:dyDescent="0.25">
      <c r="B80" s="353">
        <v>76</v>
      </c>
      <c r="C80" s="354"/>
      <c r="D80" s="354"/>
      <c r="E80" s="354"/>
      <c r="F80" s="354"/>
      <c r="G80" s="354"/>
      <c r="H80" s="355" t="s">
        <v>395</v>
      </c>
      <c r="I80" s="448"/>
      <c r="J80" s="356"/>
      <c r="K80" s="274"/>
    </row>
    <row r="81" spans="2:11" x14ac:dyDescent="0.25">
      <c r="B81" s="353">
        <v>77</v>
      </c>
      <c r="C81" s="354"/>
      <c r="D81" s="354"/>
      <c r="E81" s="354"/>
      <c r="F81" s="354"/>
      <c r="G81" s="354"/>
      <c r="H81" s="355" t="s">
        <v>395</v>
      </c>
      <c r="I81" s="448"/>
      <c r="J81" s="356"/>
      <c r="K81" s="274"/>
    </row>
    <row r="82" spans="2:11" x14ac:dyDescent="0.25">
      <c r="B82" s="353">
        <v>78</v>
      </c>
      <c r="C82" s="354"/>
      <c r="D82" s="354"/>
      <c r="E82" s="354"/>
      <c r="F82" s="354"/>
      <c r="G82" s="354"/>
      <c r="H82" s="355" t="s">
        <v>395</v>
      </c>
      <c r="I82" s="448"/>
      <c r="J82" s="356"/>
      <c r="K82" s="274"/>
    </row>
    <row r="83" spans="2:11" x14ac:dyDescent="0.25">
      <c r="B83" s="353">
        <v>79</v>
      </c>
      <c r="C83" s="354"/>
      <c r="D83" s="354"/>
      <c r="E83" s="354"/>
      <c r="F83" s="354"/>
      <c r="G83" s="354"/>
      <c r="H83" s="355" t="s">
        <v>395</v>
      </c>
      <c r="I83" s="448"/>
      <c r="J83" s="356"/>
      <c r="K83" s="274"/>
    </row>
    <row r="84" spans="2:11" x14ac:dyDescent="0.25">
      <c r="B84" s="353">
        <v>80</v>
      </c>
      <c r="C84" s="354"/>
      <c r="D84" s="354"/>
      <c r="E84" s="354"/>
      <c r="F84" s="354"/>
      <c r="G84" s="354"/>
      <c r="H84" s="355" t="s">
        <v>395</v>
      </c>
      <c r="I84" s="448"/>
      <c r="J84" s="356"/>
      <c r="K84" s="274"/>
    </row>
    <row r="85" spans="2:11" x14ac:dyDescent="0.25">
      <c r="B85" s="353">
        <v>81</v>
      </c>
      <c r="C85" s="354"/>
      <c r="D85" s="354"/>
      <c r="E85" s="354"/>
      <c r="F85" s="354"/>
      <c r="G85" s="354"/>
      <c r="H85" s="355" t="s">
        <v>395</v>
      </c>
      <c r="I85" s="448"/>
      <c r="J85" s="356"/>
      <c r="K85" s="274"/>
    </row>
    <row r="86" spans="2:11" x14ac:dyDescent="0.25">
      <c r="B86" s="353">
        <v>82</v>
      </c>
      <c r="C86" s="354"/>
      <c r="D86" s="354"/>
      <c r="E86" s="354"/>
      <c r="F86" s="354"/>
      <c r="G86" s="354"/>
      <c r="H86" s="355" t="s">
        <v>395</v>
      </c>
      <c r="I86" s="448"/>
      <c r="J86" s="356"/>
      <c r="K86" s="274"/>
    </row>
    <row r="87" spans="2:11" x14ac:dyDescent="0.25">
      <c r="B87" s="353">
        <v>83</v>
      </c>
      <c r="C87" s="354"/>
      <c r="D87" s="354"/>
      <c r="E87" s="354"/>
      <c r="F87" s="354"/>
      <c r="G87" s="354"/>
      <c r="H87" s="355" t="s">
        <v>395</v>
      </c>
      <c r="I87" s="448"/>
      <c r="J87" s="356"/>
      <c r="K87" s="274"/>
    </row>
    <row r="88" spans="2:11" x14ac:dyDescent="0.25">
      <c r="B88" s="353">
        <v>84</v>
      </c>
      <c r="C88" s="354"/>
      <c r="D88" s="354"/>
      <c r="E88" s="354"/>
      <c r="F88" s="354"/>
      <c r="G88" s="354"/>
      <c r="H88" s="355" t="s">
        <v>395</v>
      </c>
      <c r="I88" s="448"/>
      <c r="J88" s="356"/>
      <c r="K88" s="274"/>
    </row>
    <row r="89" spans="2:11" x14ac:dyDescent="0.25">
      <c r="B89" s="353">
        <v>85</v>
      </c>
      <c r="C89" s="354"/>
      <c r="D89" s="354"/>
      <c r="E89" s="354"/>
      <c r="F89" s="354"/>
      <c r="G89" s="354"/>
      <c r="H89" s="355" t="s">
        <v>395</v>
      </c>
      <c r="I89" s="448"/>
      <c r="J89" s="356"/>
      <c r="K89" s="274"/>
    </row>
    <row r="90" spans="2:11" x14ac:dyDescent="0.25">
      <c r="B90" s="353">
        <v>86</v>
      </c>
      <c r="C90" s="354"/>
      <c r="D90" s="354"/>
      <c r="E90" s="354"/>
      <c r="F90" s="354"/>
      <c r="G90" s="354"/>
      <c r="H90" s="355" t="s">
        <v>395</v>
      </c>
      <c r="I90" s="448"/>
      <c r="J90" s="356"/>
      <c r="K90" s="274"/>
    </row>
    <row r="91" spans="2:11" x14ac:dyDescent="0.25">
      <c r="B91" s="353">
        <v>87</v>
      </c>
      <c r="C91" s="354"/>
      <c r="D91" s="354"/>
      <c r="E91" s="354"/>
      <c r="F91" s="354"/>
      <c r="G91" s="354"/>
      <c r="H91" s="355" t="s">
        <v>395</v>
      </c>
      <c r="I91" s="448"/>
      <c r="J91" s="356"/>
      <c r="K91" s="274"/>
    </row>
    <row r="92" spans="2:11" x14ac:dyDescent="0.25">
      <c r="B92" s="353">
        <v>88</v>
      </c>
      <c r="C92" s="354"/>
      <c r="D92" s="354"/>
      <c r="E92" s="354"/>
      <c r="F92" s="354"/>
      <c r="G92" s="354"/>
      <c r="H92" s="355" t="s">
        <v>395</v>
      </c>
      <c r="I92" s="448"/>
      <c r="J92" s="356"/>
      <c r="K92" s="274"/>
    </row>
    <row r="93" spans="2:11" x14ac:dyDescent="0.25">
      <c r="B93" s="353">
        <v>89</v>
      </c>
      <c r="C93" s="354"/>
      <c r="D93" s="354"/>
      <c r="E93" s="354"/>
      <c r="F93" s="354"/>
      <c r="G93" s="354"/>
      <c r="H93" s="355" t="s">
        <v>395</v>
      </c>
      <c r="I93" s="448"/>
      <c r="J93" s="356"/>
      <c r="K93" s="274"/>
    </row>
    <row r="94" spans="2:11" x14ac:dyDescent="0.25">
      <c r="B94" s="353">
        <v>90</v>
      </c>
      <c r="C94" s="354"/>
      <c r="D94" s="354"/>
      <c r="E94" s="354"/>
      <c r="F94" s="354"/>
      <c r="G94" s="354"/>
      <c r="H94" s="355" t="s">
        <v>395</v>
      </c>
      <c r="I94" s="448"/>
      <c r="J94" s="356"/>
      <c r="K94" s="274"/>
    </row>
    <row r="95" spans="2:11" x14ac:dyDescent="0.25">
      <c r="B95" s="353">
        <v>91</v>
      </c>
      <c r="C95" s="354"/>
      <c r="D95" s="354"/>
      <c r="E95" s="354"/>
      <c r="F95" s="354"/>
      <c r="G95" s="354"/>
      <c r="H95" s="355" t="s">
        <v>395</v>
      </c>
      <c r="I95" s="448"/>
      <c r="J95" s="356"/>
      <c r="K95" s="274"/>
    </row>
    <row r="96" spans="2:11" x14ac:dyDescent="0.25">
      <c r="B96" s="353">
        <v>92</v>
      </c>
      <c r="C96" s="354"/>
      <c r="D96" s="354"/>
      <c r="E96" s="354"/>
      <c r="F96" s="354"/>
      <c r="G96" s="354"/>
      <c r="H96" s="355" t="s">
        <v>395</v>
      </c>
      <c r="I96" s="448"/>
      <c r="J96" s="356"/>
      <c r="K96" s="274"/>
    </row>
    <row r="97" spans="2:11" x14ac:dyDescent="0.25">
      <c r="B97" s="353">
        <v>93</v>
      </c>
      <c r="C97" s="354"/>
      <c r="D97" s="354"/>
      <c r="E97" s="354"/>
      <c r="F97" s="354"/>
      <c r="G97" s="354"/>
      <c r="H97" s="355" t="s">
        <v>395</v>
      </c>
      <c r="I97" s="448"/>
      <c r="J97" s="356"/>
      <c r="K97" s="274"/>
    </row>
    <row r="98" spans="2:11" x14ac:dyDescent="0.25">
      <c r="B98" s="353">
        <v>94</v>
      </c>
      <c r="C98" s="354"/>
      <c r="D98" s="354"/>
      <c r="E98" s="354"/>
      <c r="F98" s="354"/>
      <c r="G98" s="354"/>
      <c r="H98" s="355" t="s">
        <v>395</v>
      </c>
      <c r="I98" s="448"/>
      <c r="J98" s="356"/>
      <c r="K98" s="274"/>
    </row>
    <row r="99" spans="2:11" x14ac:dyDescent="0.25">
      <c r="B99" s="353">
        <v>95</v>
      </c>
      <c r="C99" s="354"/>
      <c r="D99" s="354"/>
      <c r="E99" s="354"/>
      <c r="F99" s="354"/>
      <c r="G99" s="354"/>
      <c r="H99" s="355" t="s">
        <v>395</v>
      </c>
      <c r="I99" s="448"/>
      <c r="J99" s="356"/>
      <c r="K99" s="274"/>
    </row>
    <row r="100" spans="2:11" x14ac:dyDescent="0.25">
      <c r="B100" s="353">
        <v>96</v>
      </c>
      <c r="C100" s="354"/>
      <c r="D100" s="354"/>
      <c r="E100" s="354"/>
      <c r="F100" s="354"/>
      <c r="G100" s="354"/>
      <c r="H100" s="355" t="s">
        <v>395</v>
      </c>
      <c r="I100" s="448"/>
      <c r="J100" s="356"/>
      <c r="K100" s="274"/>
    </row>
    <row r="101" spans="2:11" x14ac:dyDescent="0.25">
      <c r="B101" s="353">
        <v>97</v>
      </c>
      <c r="C101" s="354"/>
      <c r="D101" s="354"/>
      <c r="E101" s="354"/>
      <c r="F101" s="354"/>
      <c r="G101" s="354"/>
      <c r="H101" s="355" t="s">
        <v>395</v>
      </c>
      <c r="I101" s="448"/>
      <c r="J101" s="356"/>
      <c r="K101" s="274"/>
    </row>
    <row r="102" spans="2:11" x14ac:dyDescent="0.25">
      <c r="B102" s="353">
        <v>98</v>
      </c>
      <c r="C102" s="354"/>
      <c r="D102" s="354"/>
      <c r="E102" s="354"/>
      <c r="F102" s="354"/>
      <c r="G102" s="354"/>
      <c r="H102" s="355" t="s">
        <v>395</v>
      </c>
      <c r="I102" s="448"/>
      <c r="J102" s="356"/>
      <c r="K102" s="274"/>
    </row>
    <row r="103" spans="2:11" x14ac:dyDescent="0.25">
      <c r="B103" s="353">
        <v>99</v>
      </c>
      <c r="C103" s="354"/>
      <c r="D103" s="354"/>
      <c r="E103" s="354"/>
      <c r="F103" s="354"/>
      <c r="G103" s="354"/>
      <c r="H103" s="355" t="s">
        <v>395</v>
      </c>
      <c r="I103" s="448"/>
      <c r="J103" s="356"/>
      <c r="K103" s="274"/>
    </row>
    <row r="104" spans="2:11" x14ac:dyDescent="0.25">
      <c r="B104" s="353">
        <v>100</v>
      </c>
      <c r="C104" s="354"/>
      <c r="D104" s="354"/>
      <c r="E104" s="354"/>
      <c r="F104" s="354"/>
      <c r="G104" s="354"/>
      <c r="H104" s="355" t="s">
        <v>395</v>
      </c>
      <c r="I104" s="448"/>
      <c r="J104" s="356"/>
      <c r="K104" s="274"/>
    </row>
    <row r="105" spans="2:11" x14ac:dyDescent="0.25">
      <c r="B105" s="353">
        <v>101</v>
      </c>
      <c r="C105" s="354"/>
      <c r="D105" s="354"/>
      <c r="E105" s="354"/>
      <c r="F105" s="354"/>
      <c r="G105" s="354"/>
      <c r="H105" s="355" t="s">
        <v>395</v>
      </c>
      <c r="I105" s="448"/>
      <c r="J105" s="356"/>
      <c r="K105" s="274"/>
    </row>
    <row r="106" spans="2:11" x14ac:dyDescent="0.25">
      <c r="B106" s="353">
        <v>102</v>
      </c>
      <c r="C106" s="354"/>
      <c r="D106" s="354"/>
      <c r="E106" s="354"/>
      <c r="F106" s="354"/>
      <c r="G106" s="354"/>
      <c r="H106" s="355" t="s">
        <v>395</v>
      </c>
      <c r="I106" s="448"/>
      <c r="J106" s="356"/>
      <c r="K106" s="274"/>
    </row>
    <row r="107" spans="2:11" x14ac:dyDescent="0.25">
      <c r="B107" s="353">
        <v>103</v>
      </c>
      <c r="C107" s="354"/>
      <c r="D107" s="354"/>
      <c r="E107" s="354"/>
      <c r="F107" s="354"/>
      <c r="G107" s="354"/>
      <c r="H107" s="355" t="s">
        <v>395</v>
      </c>
      <c r="I107" s="448"/>
      <c r="J107" s="356"/>
      <c r="K107" s="274"/>
    </row>
    <row r="108" spans="2:11" x14ac:dyDescent="0.25">
      <c r="B108" s="353">
        <v>104</v>
      </c>
      <c r="C108" s="354"/>
      <c r="D108" s="354"/>
      <c r="E108" s="354"/>
      <c r="F108" s="354"/>
      <c r="G108" s="354"/>
      <c r="H108" s="355" t="s">
        <v>395</v>
      </c>
      <c r="I108" s="448"/>
      <c r="J108" s="356"/>
      <c r="K108" s="274"/>
    </row>
    <row r="109" spans="2:11" x14ac:dyDescent="0.25">
      <c r="B109" s="353">
        <v>105</v>
      </c>
      <c r="C109" s="354"/>
      <c r="D109" s="354"/>
      <c r="E109" s="354"/>
      <c r="F109" s="354"/>
      <c r="G109" s="354"/>
      <c r="H109" s="355" t="s">
        <v>395</v>
      </c>
      <c r="I109" s="448"/>
      <c r="J109" s="356"/>
      <c r="K109" s="274"/>
    </row>
    <row r="110" spans="2:11" x14ac:dyDescent="0.25">
      <c r="B110" s="353">
        <v>106</v>
      </c>
      <c r="C110" s="354"/>
      <c r="D110" s="354"/>
      <c r="E110" s="354"/>
      <c r="F110" s="354"/>
      <c r="G110" s="354"/>
      <c r="H110" s="355" t="s">
        <v>395</v>
      </c>
      <c r="I110" s="448"/>
      <c r="J110" s="356"/>
      <c r="K110" s="274"/>
    </row>
    <row r="111" spans="2:11" x14ac:dyDescent="0.25">
      <c r="B111" s="353">
        <v>107</v>
      </c>
      <c r="C111" s="354"/>
      <c r="D111" s="354"/>
      <c r="E111" s="354"/>
      <c r="F111" s="354"/>
      <c r="G111" s="354"/>
      <c r="H111" s="355" t="s">
        <v>395</v>
      </c>
      <c r="I111" s="448"/>
      <c r="J111" s="356"/>
      <c r="K111" s="274"/>
    </row>
    <row r="112" spans="2:11" x14ac:dyDescent="0.25">
      <c r="B112" s="353">
        <v>108</v>
      </c>
      <c r="C112" s="354"/>
      <c r="D112" s="354"/>
      <c r="E112" s="354"/>
      <c r="F112" s="354"/>
      <c r="G112" s="354"/>
      <c r="H112" s="355" t="s">
        <v>395</v>
      </c>
      <c r="I112" s="448"/>
      <c r="J112" s="356"/>
      <c r="K112" s="274"/>
    </row>
    <row r="113" spans="2:11" x14ac:dyDescent="0.25">
      <c r="B113" s="353">
        <v>109</v>
      </c>
      <c r="C113" s="354"/>
      <c r="D113" s="354"/>
      <c r="E113" s="354"/>
      <c r="F113" s="354"/>
      <c r="G113" s="354"/>
      <c r="H113" s="355" t="s">
        <v>395</v>
      </c>
      <c r="I113" s="448"/>
      <c r="J113" s="356"/>
      <c r="K113" s="274"/>
    </row>
    <row r="114" spans="2:11" x14ac:dyDescent="0.25">
      <c r="B114" s="353">
        <v>110</v>
      </c>
      <c r="C114" s="354"/>
      <c r="D114" s="354"/>
      <c r="E114" s="354"/>
      <c r="F114" s="354"/>
      <c r="G114" s="354"/>
      <c r="H114" s="355" t="s">
        <v>395</v>
      </c>
      <c r="I114" s="448"/>
      <c r="J114" s="356"/>
      <c r="K114" s="274"/>
    </row>
    <row r="115" spans="2:11" x14ac:dyDescent="0.25">
      <c r="B115" s="353">
        <v>111</v>
      </c>
      <c r="C115" s="354"/>
      <c r="D115" s="354"/>
      <c r="E115" s="354"/>
      <c r="F115" s="354"/>
      <c r="G115" s="354"/>
      <c r="H115" s="355" t="s">
        <v>395</v>
      </c>
      <c r="I115" s="448"/>
      <c r="J115" s="356"/>
      <c r="K115" s="274"/>
    </row>
    <row r="116" spans="2:11" x14ac:dyDescent="0.25">
      <c r="B116" s="353">
        <v>112</v>
      </c>
      <c r="C116" s="354"/>
      <c r="D116" s="354"/>
      <c r="E116" s="354"/>
      <c r="F116" s="354"/>
      <c r="G116" s="354"/>
      <c r="H116" s="355" t="s">
        <v>395</v>
      </c>
      <c r="I116" s="448"/>
      <c r="J116" s="356"/>
      <c r="K116" s="274"/>
    </row>
    <row r="117" spans="2:11" x14ac:dyDescent="0.25">
      <c r="B117" s="353">
        <v>113</v>
      </c>
      <c r="C117" s="354"/>
      <c r="D117" s="354"/>
      <c r="E117" s="354"/>
      <c r="F117" s="354"/>
      <c r="G117" s="354"/>
      <c r="H117" s="355" t="s">
        <v>395</v>
      </c>
      <c r="I117" s="448"/>
      <c r="J117" s="356"/>
      <c r="K117" s="274"/>
    </row>
    <row r="118" spans="2:11" x14ac:dyDescent="0.25">
      <c r="B118" s="353">
        <v>114</v>
      </c>
      <c r="C118" s="354"/>
      <c r="D118" s="354"/>
      <c r="E118" s="354"/>
      <c r="F118" s="354"/>
      <c r="G118" s="354"/>
      <c r="H118" s="355" t="s">
        <v>395</v>
      </c>
      <c r="I118" s="448"/>
      <c r="J118" s="356"/>
      <c r="K118" s="274"/>
    </row>
    <row r="119" spans="2:11" x14ac:dyDescent="0.25">
      <c r="B119" s="353">
        <v>115</v>
      </c>
      <c r="C119" s="354"/>
      <c r="D119" s="354"/>
      <c r="E119" s="354"/>
      <c r="F119" s="354"/>
      <c r="G119" s="354"/>
      <c r="H119" s="355" t="s">
        <v>395</v>
      </c>
      <c r="I119" s="448"/>
      <c r="J119" s="356"/>
      <c r="K119" s="274"/>
    </row>
    <row r="120" spans="2:11" x14ac:dyDescent="0.25">
      <c r="B120" s="353">
        <v>116</v>
      </c>
      <c r="C120" s="354"/>
      <c r="D120" s="354"/>
      <c r="E120" s="354"/>
      <c r="F120" s="354"/>
      <c r="G120" s="354"/>
      <c r="H120" s="355" t="s">
        <v>395</v>
      </c>
      <c r="I120" s="448"/>
      <c r="J120" s="356"/>
      <c r="K120" s="274"/>
    </row>
    <row r="121" spans="2:11" x14ac:dyDescent="0.25">
      <c r="B121" s="353">
        <v>117</v>
      </c>
      <c r="C121" s="354"/>
      <c r="D121" s="354"/>
      <c r="E121" s="354"/>
      <c r="F121" s="354"/>
      <c r="G121" s="354"/>
      <c r="H121" s="355" t="s">
        <v>395</v>
      </c>
      <c r="I121" s="448"/>
      <c r="J121" s="356"/>
      <c r="K121" s="274"/>
    </row>
    <row r="122" spans="2:11" x14ac:dyDescent="0.25">
      <c r="B122" s="353">
        <v>118</v>
      </c>
      <c r="C122" s="354"/>
      <c r="D122" s="354"/>
      <c r="E122" s="354"/>
      <c r="F122" s="354"/>
      <c r="G122" s="354"/>
      <c r="H122" s="355" t="s">
        <v>395</v>
      </c>
      <c r="I122" s="448"/>
      <c r="J122" s="356"/>
      <c r="K122" s="274"/>
    </row>
    <row r="123" spans="2:11" x14ac:dyDescent="0.25">
      <c r="B123" s="353">
        <v>119</v>
      </c>
      <c r="C123" s="354"/>
      <c r="D123" s="354"/>
      <c r="E123" s="354"/>
      <c r="F123" s="354"/>
      <c r="G123" s="354"/>
      <c r="H123" s="355" t="s">
        <v>395</v>
      </c>
      <c r="I123" s="448"/>
      <c r="J123" s="356"/>
      <c r="K123" s="274"/>
    </row>
    <row r="124" spans="2:11" x14ac:dyDescent="0.25">
      <c r="B124" s="353">
        <v>120</v>
      </c>
      <c r="C124" s="354"/>
      <c r="D124" s="354"/>
      <c r="E124" s="354"/>
      <c r="F124" s="354"/>
      <c r="G124" s="354"/>
      <c r="H124" s="355" t="s">
        <v>395</v>
      </c>
      <c r="I124" s="448"/>
      <c r="J124" s="356"/>
      <c r="K124" s="274"/>
    </row>
    <row r="125" spans="2:11" x14ac:dyDescent="0.25">
      <c r="B125" s="353">
        <v>121</v>
      </c>
      <c r="C125" s="354"/>
      <c r="D125" s="354"/>
      <c r="E125" s="354"/>
      <c r="F125" s="354"/>
      <c r="G125" s="354"/>
      <c r="H125" s="355" t="s">
        <v>395</v>
      </c>
      <c r="I125" s="448"/>
      <c r="J125" s="356"/>
      <c r="K125" s="274"/>
    </row>
    <row r="126" spans="2:11" x14ac:dyDescent="0.25">
      <c r="B126" s="353">
        <v>122</v>
      </c>
      <c r="C126" s="354"/>
      <c r="D126" s="354"/>
      <c r="E126" s="354"/>
      <c r="F126" s="354"/>
      <c r="G126" s="354"/>
      <c r="H126" s="355" t="s">
        <v>395</v>
      </c>
      <c r="I126" s="448"/>
      <c r="J126" s="356"/>
      <c r="K126" s="274"/>
    </row>
    <row r="127" spans="2:11" x14ac:dyDescent="0.25">
      <c r="B127" s="353">
        <v>123</v>
      </c>
      <c r="C127" s="354"/>
      <c r="D127" s="354"/>
      <c r="E127" s="354"/>
      <c r="F127" s="354"/>
      <c r="G127" s="354"/>
      <c r="H127" s="355" t="s">
        <v>395</v>
      </c>
      <c r="I127" s="448"/>
      <c r="J127" s="356"/>
      <c r="K127" s="274"/>
    </row>
    <row r="128" spans="2:11" x14ac:dyDescent="0.25">
      <c r="B128" s="353">
        <v>124</v>
      </c>
      <c r="C128" s="354"/>
      <c r="D128" s="354"/>
      <c r="E128" s="354"/>
      <c r="F128" s="354"/>
      <c r="G128" s="354"/>
      <c r="H128" s="355" t="s">
        <v>395</v>
      </c>
      <c r="I128" s="448"/>
      <c r="J128" s="356"/>
      <c r="K128" s="274"/>
    </row>
    <row r="129" spans="2:11" x14ac:dyDescent="0.25">
      <c r="B129" s="353">
        <v>125</v>
      </c>
      <c r="C129" s="354"/>
      <c r="D129" s="354"/>
      <c r="E129" s="354"/>
      <c r="F129" s="354"/>
      <c r="G129" s="354"/>
      <c r="H129" s="355" t="s">
        <v>395</v>
      </c>
      <c r="I129" s="448"/>
      <c r="J129" s="356"/>
      <c r="K129" s="274"/>
    </row>
    <row r="130" spans="2:11" x14ac:dyDescent="0.25">
      <c r="B130" s="353">
        <v>126</v>
      </c>
      <c r="C130" s="354"/>
      <c r="D130" s="354"/>
      <c r="E130" s="354"/>
      <c r="F130" s="354"/>
      <c r="G130" s="354"/>
      <c r="H130" s="355" t="s">
        <v>395</v>
      </c>
      <c r="I130" s="448"/>
      <c r="J130" s="356"/>
      <c r="K130" s="274"/>
    </row>
    <row r="131" spans="2:11" x14ac:dyDescent="0.25">
      <c r="B131" s="353">
        <v>127</v>
      </c>
      <c r="C131" s="354"/>
      <c r="D131" s="354"/>
      <c r="E131" s="354"/>
      <c r="F131" s="354"/>
      <c r="G131" s="354"/>
      <c r="H131" s="355" t="s">
        <v>395</v>
      </c>
      <c r="I131" s="448"/>
      <c r="J131" s="356"/>
      <c r="K131" s="274"/>
    </row>
    <row r="132" spans="2:11" x14ac:dyDescent="0.25">
      <c r="B132" s="353">
        <v>128</v>
      </c>
      <c r="C132" s="354"/>
      <c r="D132" s="354"/>
      <c r="E132" s="354"/>
      <c r="F132" s="354"/>
      <c r="G132" s="354"/>
      <c r="H132" s="355" t="s">
        <v>395</v>
      </c>
      <c r="I132" s="448"/>
      <c r="J132" s="356"/>
      <c r="K132" s="274"/>
    </row>
    <row r="133" spans="2:11" x14ac:dyDescent="0.25">
      <c r="B133" s="353">
        <v>129</v>
      </c>
      <c r="C133" s="354"/>
      <c r="D133" s="354"/>
      <c r="E133" s="354"/>
      <c r="F133" s="354"/>
      <c r="G133" s="354"/>
      <c r="H133" s="355" t="s">
        <v>395</v>
      </c>
      <c r="I133" s="448"/>
      <c r="J133" s="356"/>
      <c r="K133" s="274"/>
    </row>
    <row r="134" spans="2:11" x14ac:dyDescent="0.25">
      <c r="B134" s="353">
        <v>130</v>
      </c>
      <c r="C134" s="354"/>
      <c r="D134" s="354"/>
      <c r="E134" s="354"/>
      <c r="F134" s="354"/>
      <c r="G134" s="354"/>
      <c r="H134" s="355" t="s">
        <v>395</v>
      </c>
      <c r="I134" s="448"/>
      <c r="J134" s="356"/>
      <c r="K134" s="274"/>
    </row>
    <row r="135" spans="2:11" x14ac:dyDescent="0.25">
      <c r="B135" s="353">
        <v>131</v>
      </c>
      <c r="C135" s="354"/>
      <c r="D135" s="354"/>
      <c r="E135" s="354"/>
      <c r="F135" s="354"/>
      <c r="G135" s="354"/>
      <c r="H135" s="355" t="s">
        <v>395</v>
      </c>
      <c r="I135" s="448"/>
      <c r="J135" s="356"/>
      <c r="K135" s="274"/>
    </row>
    <row r="136" spans="2:11" x14ac:dyDescent="0.25">
      <c r="B136" s="353">
        <v>132</v>
      </c>
      <c r="C136" s="354"/>
      <c r="D136" s="354"/>
      <c r="E136" s="354"/>
      <c r="F136" s="354"/>
      <c r="G136" s="354"/>
      <c r="H136" s="355" t="s">
        <v>395</v>
      </c>
      <c r="I136" s="448"/>
      <c r="J136" s="356"/>
      <c r="K136" s="274"/>
    </row>
    <row r="137" spans="2:11" x14ac:dyDescent="0.25">
      <c r="B137" s="353">
        <v>133</v>
      </c>
      <c r="C137" s="354"/>
      <c r="D137" s="354"/>
      <c r="E137" s="354"/>
      <c r="F137" s="354"/>
      <c r="G137" s="354"/>
      <c r="H137" s="355" t="s">
        <v>395</v>
      </c>
      <c r="I137" s="448"/>
      <c r="J137" s="356"/>
      <c r="K137" s="274"/>
    </row>
    <row r="138" spans="2:11" x14ac:dyDescent="0.25">
      <c r="B138" s="353">
        <v>134</v>
      </c>
      <c r="C138" s="354"/>
      <c r="D138" s="354"/>
      <c r="E138" s="354"/>
      <c r="F138" s="354"/>
      <c r="G138" s="354"/>
      <c r="H138" s="355" t="s">
        <v>395</v>
      </c>
      <c r="I138" s="448"/>
      <c r="J138" s="356"/>
      <c r="K138" s="274"/>
    </row>
    <row r="139" spans="2:11" x14ac:dyDescent="0.25">
      <c r="B139" s="353">
        <v>135</v>
      </c>
      <c r="C139" s="354"/>
      <c r="D139" s="354"/>
      <c r="E139" s="354"/>
      <c r="F139" s="354"/>
      <c r="G139" s="354"/>
      <c r="H139" s="355" t="s">
        <v>395</v>
      </c>
      <c r="I139" s="448"/>
      <c r="J139" s="356"/>
      <c r="K139" s="274"/>
    </row>
    <row r="140" spans="2:11" x14ac:dyDescent="0.25">
      <c r="B140" s="353">
        <v>136</v>
      </c>
      <c r="C140" s="354"/>
      <c r="D140" s="354"/>
      <c r="E140" s="354"/>
      <c r="F140" s="354"/>
      <c r="G140" s="354"/>
      <c r="H140" s="355" t="s">
        <v>395</v>
      </c>
      <c r="I140" s="448"/>
      <c r="J140" s="356"/>
      <c r="K140" s="274"/>
    </row>
    <row r="141" spans="2:11" x14ac:dyDescent="0.25">
      <c r="B141" s="353">
        <v>137</v>
      </c>
      <c r="C141" s="354"/>
      <c r="D141" s="354"/>
      <c r="E141" s="354"/>
      <c r="F141" s="354"/>
      <c r="G141" s="354"/>
      <c r="H141" s="355" t="s">
        <v>395</v>
      </c>
      <c r="I141" s="448"/>
      <c r="J141" s="356"/>
      <c r="K141" s="274"/>
    </row>
    <row r="142" spans="2:11" x14ac:dyDescent="0.25">
      <c r="B142" s="353">
        <v>138</v>
      </c>
      <c r="C142" s="354"/>
      <c r="D142" s="354"/>
      <c r="E142" s="354"/>
      <c r="F142" s="354"/>
      <c r="G142" s="354"/>
      <c r="H142" s="355" t="s">
        <v>395</v>
      </c>
      <c r="I142" s="448"/>
      <c r="J142" s="356"/>
      <c r="K142" s="274"/>
    </row>
    <row r="143" spans="2:11" x14ac:dyDescent="0.25">
      <c r="B143" s="353">
        <v>139</v>
      </c>
      <c r="C143" s="354"/>
      <c r="D143" s="354"/>
      <c r="E143" s="354"/>
      <c r="F143" s="354"/>
      <c r="G143" s="354"/>
      <c r="H143" s="355" t="s">
        <v>395</v>
      </c>
      <c r="I143" s="448"/>
      <c r="J143" s="356"/>
      <c r="K143" s="274"/>
    </row>
    <row r="144" spans="2:11" x14ac:dyDescent="0.25">
      <c r="B144" s="353">
        <v>140</v>
      </c>
      <c r="C144" s="354"/>
      <c r="D144" s="354"/>
      <c r="E144" s="354"/>
      <c r="F144" s="354"/>
      <c r="G144" s="354"/>
      <c r="H144" s="355" t="s">
        <v>395</v>
      </c>
      <c r="I144" s="448"/>
      <c r="J144" s="356"/>
      <c r="K144" s="274"/>
    </row>
    <row r="145" spans="2:11" x14ac:dyDescent="0.25">
      <c r="B145" s="353">
        <v>141</v>
      </c>
      <c r="C145" s="354"/>
      <c r="D145" s="354"/>
      <c r="E145" s="354"/>
      <c r="F145" s="354"/>
      <c r="G145" s="354"/>
      <c r="H145" s="355" t="s">
        <v>395</v>
      </c>
      <c r="I145" s="448"/>
      <c r="J145" s="356"/>
      <c r="K145" s="274"/>
    </row>
    <row r="146" spans="2:11" x14ac:dyDescent="0.25">
      <c r="B146" s="353">
        <v>142</v>
      </c>
      <c r="C146" s="354"/>
      <c r="D146" s="354"/>
      <c r="E146" s="354"/>
      <c r="F146" s="354"/>
      <c r="G146" s="354"/>
      <c r="H146" s="355" t="s">
        <v>395</v>
      </c>
      <c r="I146" s="448"/>
      <c r="J146" s="356"/>
      <c r="K146" s="274"/>
    </row>
    <row r="147" spans="2:11" x14ac:dyDescent="0.25">
      <c r="B147" s="353">
        <v>143</v>
      </c>
      <c r="C147" s="354"/>
      <c r="D147" s="354"/>
      <c r="E147" s="354"/>
      <c r="F147" s="354"/>
      <c r="G147" s="354"/>
      <c r="H147" s="355" t="s">
        <v>395</v>
      </c>
      <c r="I147" s="448"/>
      <c r="J147" s="356"/>
      <c r="K147" s="274"/>
    </row>
    <row r="148" spans="2:11" x14ac:dyDescent="0.25">
      <c r="B148" s="353">
        <v>144</v>
      </c>
      <c r="C148" s="354"/>
      <c r="D148" s="354"/>
      <c r="E148" s="354"/>
      <c r="F148" s="354"/>
      <c r="G148" s="354"/>
      <c r="H148" s="355" t="s">
        <v>395</v>
      </c>
      <c r="I148" s="448"/>
      <c r="J148" s="356"/>
      <c r="K148" s="274"/>
    </row>
    <row r="149" spans="2:11" x14ac:dyDescent="0.25">
      <c r="B149" s="353">
        <v>145</v>
      </c>
      <c r="C149" s="354"/>
      <c r="D149" s="354"/>
      <c r="E149" s="354"/>
      <c r="F149" s="354"/>
      <c r="G149" s="354"/>
      <c r="H149" s="355" t="s">
        <v>395</v>
      </c>
      <c r="I149" s="448"/>
      <c r="J149" s="356"/>
      <c r="K149" s="274"/>
    </row>
    <row r="150" spans="2:11" x14ac:dyDescent="0.25">
      <c r="B150" s="353">
        <v>146</v>
      </c>
      <c r="C150" s="354"/>
      <c r="D150" s="354"/>
      <c r="E150" s="354"/>
      <c r="F150" s="354"/>
      <c r="G150" s="354"/>
      <c r="H150" s="355" t="s">
        <v>395</v>
      </c>
      <c r="I150" s="448"/>
      <c r="J150" s="356"/>
      <c r="K150" s="274"/>
    </row>
    <row r="151" spans="2:11" x14ac:dyDescent="0.25">
      <c r="B151" s="353">
        <v>147</v>
      </c>
      <c r="C151" s="354"/>
      <c r="D151" s="354"/>
      <c r="E151" s="354"/>
      <c r="F151" s="354"/>
      <c r="G151" s="354"/>
      <c r="H151" s="355" t="s">
        <v>395</v>
      </c>
      <c r="I151" s="448"/>
      <c r="J151" s="356"/>
      <c r="K151" s="274"/>
    </row>
    <row r="152" spans="2:11" x14ac:dyDescent="0.25">
      <c r="B152" s="353">
        <v>148</v>
      </c>
      <c r="C152" s="354"/>
      <c r="D152" s="354"/>
      <c r="E152" s="354"/>
      <c r="F152" s="354"/>
      <c r="G152" s="354"/>
      <c r="H152" s="355" t="s">
        <v>395</v>
      </c>
      <c r="I152" s="448"/>
      <c r="J152" s="356"/>
      <c r="K152" s="274"/>
    </row>
    <row r="153" spans="2:11" x14ac:dyDescent="0.25">
      <c r="B153" s="353">
        <v>149</v>
      </c>
      <c r="C153" s="354"/>
      <c r="D153" s="354"/>
      <c r="E153" s="354"/>
      <c r="F153" s="354"/>
      <c r="G153" s="354"/>
      <c r="H153" s="355" t="s">
        <v>395</v>
      </c>
      <c r="I153" s="448"/>
      <c r="J153" s="356"/>
      <c r="K153" s="274"/>
    </row>
    <row r="154" spans="2:11" x14ac:dyDescent="0.25">
      <c r="B154" s="353">
        <v>150</v>
      </c>
      <c r="C154" s="354"/>
      <c r="D154" s="354"/>
      <c r="E154" s="354"/>
      <c r="F154" s="354"/>
      <c r="G154" s="354"/>
      <c r="H154" s="355" t="s">
        <v>395</v>
      </c>
      <c r="I154" s="448"/>
      <c r="J154" s="356"/>
      <c r="K154" s="274"/>
    </row>
    <row r="155" spans="2:11" x14ac:dyDescent="0.25">
      <c r="B155" s="353">
        <v>151</v>
      </c>
      <c r="C155" s="354"/>
      <c r="D155" s="354"/>
      <c r="E155" s="354"/>
      <c r="F155" s="354"/>
      <c r="G155" s="354"/>
      <c r="H155" s="355" t="s">
        <v>395</v>
      </c>
      <c r="I155" s="448"/>
      <c r="J155" s="356"/>
      <c r="K155" s="274"/>
    </row>
    <row r="156" spans="2:11" x14ac:dyDescent="0.25">
      <c r="B156" s="353">
        <v>152</v>
      </c>
      <c r="C156" s="354"/>
      <c r="D156" s="354"/>
      <c r="E156" s="354"/>
      <c r="F156" s="354"/>
      <c r="G156" s="354"/>
      <c r="H156" s="355" t="s">
        <v>395</v>
      </c>
      <c r="I156" s="448"/>
      <c r="J156" s="356"/>
      <c r="K156" s="274"/>
    </row>
    <row r="157" spans="2:11" x14ac:dyDescent="0.25">
      <c r="B157" s="353">
        <v>153</v>
      </c>
      <c r="C157" s="354"/>
      <c r="D157" s="354"/>
      <c r="E157" s="354"/>
      <c r="F157" s="354"/>
      <c r="G157" s="354"/>
      <c r="H157" s="355" t="s">
        <v>395</v>
      </c>
      <c r="I157" s="448"/>
      <c r="J157" s="356"/>
      <c r="K157" s="274"/>
    </row>
    <row r="158" spans="2:11" x14ac:dyDescent="0.25">
      <c r="B158" s="353">
        <v>154</v>
      </c>
      <c r="C158" s="354"/>
      <c r="D158" s="354"/>
      <c r="E158" s="354"/>
      <c r="F158" s="354"/>
      <c r="G158" s="354"/>
      <c r="H158" s="355" t="s">
        <v>395</v>
      </c>
      <c r="I158" s="448"/>
      <c r="J158" s="356"/>
      <c r="K158" s="274"/>
    </row>
    <row r="159" spans="2:11" x14ac:dyDescent="0.25">
      <c r="B159" s="353">
        <v>155</v>
      </c>
      <c r="C159" s="354"/>
      <c r="D159" s="354"/>
      <c r="E159" s="354"/>
      <c r="F159" s="354"/>
      <c r="G159" s="354"/>
      <c r="H159" s="355" t="s">
        <v>395</v>
      </c>
      <c r="I159" s="448"/>
      <c r="J159" s="356"/>
      <c r="K159" s="274"/>
    </row>
    <row r="160" spans="2:11" x14ac:dyDescent="0.25">
      <c r="B160" s="353">
        <v>156</v>
      </c>
      <c r="C160" s="354"/>
      <c r="D160" s="354"/>
      <c r="E160" s="354"/>
      <c r="F160" s="354"/>
      <c r="G160" s="354"/>
      <c r="H160" s="355" t="s">
        <v>395</v>
      </c>
      <c r="I160" s="448"/>
      <c r="J160" s="356"/>
      <c r="K160" s="274"/>
    </row>
    <row r="161" spans="2:11" x14ac:dyDescent="0.25">
      <c r="B161" s="353">
        <v>157</v>
      </c>
      <c r="C161" s="354"/>
      <c r="D161" s="354"/>
      <c r="E161" s="354"/>
      <c r="F161" s="354"/>
      <c r="G161" s="354"/>
      <c r="H161" s="355" t="s">
        <v>395</v>
      </c>
      <c r="I161" s="448"/>
      <c r="J161" s="356"/>
      <c r="K161" s="274"/>
    </row>
    <row r="162" spans="2:11" x14ac:dyDescent="0.25">
      <c r="B162" s="353">
        <v>158</v>
      </c>
      <c r="C162" s="354"/>
      <c r="D162" s="354"/>
      <c r="E162" s="354"/>
      <c r="F162" s="354"/>
      <c r="G162" s="354"/>
      <c r="H162" s="355" t="s">
        <v>395</v>
      </c>
      <c r="I162" s="448"/>
      <c r="J162" s="356"/>
      <c r="K162" s="274"/>
    </row>
    <row r="163" spans="2:11" x14ac:dyDescent="0.25">
      <c r="B163" s="353">
        <v>159</v>
      </c>
      <c r="C163" s="354"/>
      <c r="D163" s="354"/>
      <c r="E163" s="354"/>
      <c r="F163" s="354"/>
      <c r="G163" s="354"/>
      <c r="H163" s="355" t="s">
        <v>395</v>
      </c>
      <c r="I163" s="448"/>
      <c r="J163" s="356"/>
      <c r="K163" s="274"/>
    </row>
    <row r="164" spans="2:11" x14ac:dyDescent="0.25">
      <c r="B164" s="353">
        <v>160</v>
      </c>
      <c r="C164" s="354"/>
      <c r="D164" s="354"/>
      <c r="E164" s="354"/>
      <c r="F164" s="354"/>
      <c r="G164" s="354"/>
      <c r="H164" s="355" t="s">
        <v>395</v>
      </c>
      <c r="I164" s="448"/>
      <c r="J164" s="356"/>
      <c r="K164" s="274"/>
    </row>
    <row r="165" spans="2:11" x14ac:dyDescent="0.25">
      <c r="B165" s="353">
        <v>161</v>
      </c>
      <c r="C165" s="354"/>
      <c r="D165" s="354"/>
      <c r="E165" s="354"/>
      <c r="F165" s="354"/>
      <c r="G165" s="354"/>
      <c r="H165" s="355" t="s">
        <v>395</v>
      </c>
      <c r="I165" s="448"/>
      <c r="J165" s="356"/>
      <c r="K165" s="274"/>
    </row>
    <row r="166" spans="2:11" x14ac:dyDescent="0.25">
      <c r="B166" s="353">
        <v>162</v>
      </c>
      <c r="C166" s="354"/>
      <c r="D166" s="354"/>
      <c r="E166" s="354"/>
      <c r="F166" s="354"/>
      <c r="G166" s="354"/>
      <c r="H166" s="355" t="s">
        <v>395</v>
      </c>
      <c r="I166" s="448"/>
      <c r="J166" s="356"/>
      <c r="K166" s="274"/>
    </row>
    <row r="167" spans="2:11" x14ac:dyDescent="0.25">
      <c r="B167" s="353">
        <v>163</v>
      </c>
      <c r="C167" s="354"/>
      <c r="D167" s="354"/>
      <c r="E167" s="354"/>
      <c r="F167" s="354"/>
      <c r="G167" s="354"/>
      <c r="H167" s="355" t="s">
        <v>395</v>
      </c>
      <c r="I167" s="448"/>
      <c r="J167" s="356"/>
      <c r="K167" s="274"/>
    </row>
    <row r="168" spans="2:11" x14ac:dyDescent="0.25">
      <c r="B168" s="353">
        <v>164</v>
      </c>
      <c r="C168" s="354"/>
      <c r="D168" s="354"/>
      <c r="E168" s="354"/>
      <c r="F168" s="354"/>
      <c r="G168" s="354"/>
      <c r="H168" s="355" t="s">
        <v>395</v>
      </c>
      <c r="I168" s="448"/>
      <c r="J168" s="356"/>
      <c r="K168" s="274"/>
    </row>
    <row r="169" spans="2:11" x14ac:dyDescent="0.25">
      <c r="B169" s="353">
        <v>165</v>
      </c>
      <c r="C169" s="354"/>
      <c r="D169" s="354"/>
      <c r="E169" s="354"/>
      <c r="F169" s="354"/>
      <c r="G169" s="354"/>
      <c r="H169" s="355" t="s">
        <v>395</v>
      </c>
      <c r="I169" s="448"/>
      <c r="J169" s="356"/>
      <c r="K169" s="274"/>
    </row>
    <row r="170" spans="2:11" x14ac:dyDescent="0.25">
      <c r="B170" s="353">
        <v>166</v>
      </c>
      <c r="C170" s="354"/>
      <c r="D170" s="354"/>
      <c r="E170" s="354"/>
      <c r="F170" s="354"/>
      <c r="G170" s="354"/>
      <c r="H170" s="355" t="s">
        <v>395</v>
      </c>
      <c r="I170" s="448"/>
      <c r="J170" s="356"/>
      <c r="K170" s="274"/>
    </row>
    <row r="171" spans="2:11" x14ac:dyDescent="0.25">
      <c r="B171" s="353">
        <v>167</v>
      </c>
      <c r="C171" s="354"/>
      <c r="D171" s="354"/>
      <c r="E171" s="354"/>
      <c r="F171" s="354"/>
      <c r="G171" s="354"/>
      <c r="H171" s="355" t="s">
        <v>395</v>
      </c>
      <c r="I171" s="448"/>
      <c r="J171" s="356"/>
      <c r="K171" s="274"/>
    </row>
    <row r="172" spans="2:11" x14ac:dyDescent="0.25">
      <c r="B172" s="353">
        <v>168</v>
      </c>
      <c r="C172" s="354"/>
      <c r="D172" s="354"/>
      <c r="E172" s="354"/>
      <c r="F172" s="354"/>
      <c r="G172" s="354"/>
      <c r="H172" s="355" t="s">
        <v>395</v>
      </c>
      <c r="I172" s="448"/>
      <c r="J172" s="356"/>
      <c r="K172" s="274"/>
    </row>
    <row r="173" spans="2:11" x14ac:dyDescent="0.25">
      <c r="B173" s="353">
        <v>169</v>
      </c>
      <c r="C173" s="354"/>
      <c r="D173" s="354"/>
      <c r="E173" s="354"/>
      <c r="F173" s="354"/>
      <c r="G173" s="354"/>
      <c r="H173" s="355" t="s">
        <v>395</v>
      </c>
      <c r="I173" s="448"/>
      <c r="J173" s="356"/>
      <c r="K173" s="274"/>
    </row>
    <row r="174" spans="2:11" x14ac:dyDescent="0.25">
      <c r="B174" s="353">
        <v>170</v>
      </c>
      <c r="C174" s="354"/>
      <c r="D174" s="354"/>
      <c r="E174" s="354"/>
      <c r="F174" s="354"/>
      <c r="G174" s="354"/>
      <c r="H174" s="355" t="s">
        <v>395</v>
      </c>
      <c r="I174" s="448"/>
      <c r="J174" s="356"/>
      <c r="K174" s="274"/>
    </row>
    <row r="175" spans="2:11" x14ac:dyDescent="0.25">
      <c r="B175" s="353">
        <v>171</v>
      </c>
      <c r="C175" s="354"/>
      <c r="D175" s="354"/>
      <c r="E175" s="354"/>
      <c r="F175" s="354"/>
      <c r="G175" s="354"/>
      <c r="H175" s="355" t="s">
        <v>395</v>
      </c>
      <c r="I175" s="448"/>
      <c r="J175" s="356"/>
      <c r="K175" s="274"/>
    </row>
    <row r="176" spans="2:11" x14ac:dyDescent="0.25">
      <c r="B176" s="353">
        <v>172</v>
      </c>
      <c r="C176" s="354"/>
      <c r="D176" s="354"/>
      <c r="E176" s="354"/>
      <c r="F176" s="354"/>
      <c r="G176" s="354"/>
      <c r="H176" s="355" t="s">
        <v>395</v>
      </c>
      <c r="I176" s="448"/>
      <c r="J176" s="356"/>
      <c r="K176" s="274"/>
    </row>
    <row r="177" spans="2:11" x14ac:dyDescent="0.25">
      <c r="B177" s="353">
        <v>173</v>
      </c>
      <c r="C177" s="354"/>
      <c r="D177" s="354"/>
      <c r="E177" s="354"/>
      <c r="F177" s="354"/>
      <c r="G177" s="354"/>
      <c r="H177" s="355" t="s">
        <v>395</v>
      </c>
      <c r="I177" s="448"/>
      <c r="J177" s="356"/>
      <c r="K177" s="274"/>
    </row>
    <row r="178" spans="2:11" x14ac:dyDescent="0.25">
      <c r="B178" s="353">
        <v>174</v>
      </c>
      <c r="C178" s="354"/>
      <c r="D178" s="354"/>
      <c r="E178" s="354"/>
      <c r="F178" s="354"/>
      <c r="G178" s="354"/>
      <c r="H178" s="355" t="s">
        <v>395</v>
      </c>
      <c r="I178" s="448"/>
      <c r="J178" s="356"/>
      <c r="K178" s="274"/>
    </row>
    <row r="179" spans="2:11" x14ac:dyDescent="0.25">
      <c r="B179" s="353">
        <v>175</v>
      </c>
      <c r="C179" s="354"/>
      <c r="D179" s="354"/>
      <c r="E179" s="354"/>
      <c r="F179" s="354"/>
      <c r="G179" s="354"/>
      <c r="H179" s="355" t="s">
        <v>395</v>
      </c>
      <c r="I179" s="448"/>
      <c r="J179" s="356"/>
      <c r="K179" s="274"/>
    </row>
    <row r="180" spans="2:11" x14ac:dyDescent="0.25">
      <c r="B180" s="353">
        <v>176</v>
      </c>
      <c r="C180" s="354"/>
      <c r="D180" s="354"/>
      <c r="E180" s="354"/>
      <c r="F180" s="354"/>
      <c r="G180" s="354"/>
      <c r="H180" s="355" t="s">
        <v>395</v>
      </c>
      <c r="I180" s="448"/>
      <c r="J180" s="356"/>
      <c r="K180" s="274"/>
    </row>
    <row r="181" spans="2:11" x14ac:dyDescent="0.25">
      <c r="B181" s="353">
        <v>177</v>
      </c>
      <c r="C181" s="354"/>
      <c r="D181" s="354"/>
      <c r="E181" s="354"/>
      <c r="F181" s="354"/>
      <c r="G181" s="354"/>
      <c r="H181" s="355" t="s">
        <v>395</v>
      </c>
      <c r="I181" s="448"/>
      <c r="J181" s="356"/>
      <c r="K181" s="274"/>
    </row>
    <row r="182" spans="2:11" x14ac:dyDescent="0.25">
      <c r="B182" s="353">
        <v>178</v>
      </c>
      <c r="C182" s="354"/>
      <c r="D182" s="354"/>
      <c r="E182" s="354"/>
      <c r="F182" s="354"/>
      <c r="G182" s="354"/>
      <c r="H182" s="355" t="s">
        <v>395</v>
      </c>
      <c r="I182" s="448"/>
      <c r="J182" s="356"/>
      <c r="K182" s="274"/>
    </row>
    <row r="183" spans="2:11" x14ac:dyDescent="0.25">
      <c r="B183" s="353">
        <v>179</v>
      </c>
      <c r="C183" s="354"/>
      <c r="D183" s="354"/>
      <c r="E183" s="354"/>
      <c r="F183" s="354"/>
      <c r="G183" s="354"/>
      <c r="H183" s="355" t="s">
        <v>395</v>
      </c>
      <c r="I183" s="448"/>
      <c r="J183" s="356"/>
      <c r="K183" s="274"/>
    </row>
    <row r="184" spans="2:11" x14ac:dyDescent="0.25">
      <c r="B184" s="353">
        <v>180</v>
      </c>
      <c r="C184" s="354"/>
      <c r="D184" s="354"/>
      <c r="E184" s="354"/>
      <c r="F184" s="354"/>
      <c r="G184" s="354"/>
      <c r="H184" s="355" t="s">
        <v>395</v>
      </c>
      <c r="I184" s="448"/>
      <c r="J184" s="356"/>
      <c r="K184" s="274"/>
    </row>
    <row r="185" spans="2:11" x14ac:dyDescent="0.25">
      <c r="B185" s="353">
        <v>181</v>
      </c>
      <c r="C185" s="354"/>
      <c r="D185" s="354"/>
      <c r="E185" s="354"/>
      <c r="F185" s="354"/>
      <c r="G185" s="354"/>
      <c r="H185" s="355" t="s">
        <v>395</v>
      </c>
      <c r="I185" s="448"/>
      <c r="J185" s="356"/>
      <c r="K185" s="274"/>
    </row>
    <row r="186" spans="2:11" x14ac:dyDescent="0.25">
      <c r="B186" s="353">
        <v>182</v>
      </c>
      <c r="C186" s="354"/>
      <c r="D186" s="354"/>
      <c r="E186" s="354"/>
      <c r="F186" s="354"/>
      <c r="G186" s="354"/>
      <c r="H186" s="355" t="s">
        <v>395</v>
      </c>
      <c r="I186" s="448"/>
      <c r="J186" s="356"/>
      <c r="K186" s="274"/>
    </row>
    <row r="187" spans="2:11" x14ac:dyDescent="0.25">
      <c r="B187" s="353">
        <v>183</v>
      </c>
      <c r="C187" s="354"/>
      <c r="D187" s="354"/>
      <c r="E187" s="354"/>
      <c r="F187" s="354"/>
      <c r="G187" s="354"/>
      <c r="H187" s="355" t="s">
        <v>395</v>
      </c>
      <c r="I187" s="448"/>
      <c r="J187" s="356"/>
      <c r="K187" s="274"/>
    </row>
    <row r="188" spans="2:11" x14ac:dyDescent="0.25">
      <c r="B188" s="353">
        <v>184</v>
      </c>
      <c r="C188" s="354"/>
      <c r="D188" s="354"/>
      <c r="E188" s="354"/>
      <c r="F188" s="354"/>
      <c r="G188" s="354"/>
      <c r="H188" s="355" t="s">
        <v>395</v>
      </c>
      <c r="I188" s="448"/>
      <c r="J188" s="356"/>
      <c r="K188" s="274"/>
    </row>
    <row r="189" spans="2:11" x14ac:dyDescent="0.25">
      <c r="B189" s="353">
        <v>185</v>
      </c>
      <c r="C189" s="354"/>
      <c r="D189" s="354"/>
      <c r="E189" s="354"/>
      <c r="F189" s="354"/>
      <c r="G189" s="354"/>
      <c r="H189" s="355" t="s">
        <v>395</v>
      </c>
      <c r="I189" s="448"/>
      <c r="J189" s="356"/>
      <c r="K189" s="274"/>
    </row>
    <row r="190" spans="2:11" x14ac:dyDescent="0.25">
      <c r="B190" s="353">
        <v>186</v>
      </c>
      <c r="C190" s="354"/>
      <c r="D190" s="354"/>
      <c r="E190" s="354"/>
      <c r="F190" s="354"/>
      <c r="G190" s="354"/>
      <c r="H190" s="355" t="s">
        <v>395</v>
      </c>
      <c r="I190" s="448"/>
      <c r="J190" s="356"/>
      <c r="K190" s="274"/>
    </row>
    <row r="191" spans="2:11" x14ac:dyDescent="0.25">
      <c r="B191" s="353">
        <v>187</v>
      </c>
      <c r="C191" s="354"/>
      <c r="D191" s="354"/>
      <c r="E191" s="354"/>
      <c r="F191" s="354"/>
      <c r="G191" s="354"/>
      <c r="H191" s="355" t="s">
        <v>395</v>
      </c>
      <c r="I191" s="448"/>
      <c r="J191" s="356"/>
      <c r="K191" s="274"/>
    </row>
    <row r="192" spans="2:11" x14ac:dyDescent="0.25">
      <c r="B192" s="353">
        <v>188</v>
      </c>
      <c r="C192" s="354"/>
      <c r="D192" s="354"/>
      <c r="E192" s="354"/>
      <c r="F192" s="354"/>
      <c r="G192" s="354"/>
      <c r="H192" s="355" t="s">
        <v>395</v>
      </c>
      <c r="I192" s="448"/>
      <c r="J192" s="356"/>
      <c r="K192" s="274"/>
    </row>
    <row r="193" spans="2:11" x14ac:dyDescent="0.25">
      <c r="B193" s="353">
        <v>189</v>
      </c>
      <c r="C193" s="354"/>
      <c r="D193" s="354"/>
      <c r="E193" s="354"/>
      <c r="F193" s="354"/>
      <c r="G193" s="354"/>
      <c r="H193" s="355" t="s">
        <v>395</v>
      </c>
      <c r="I193" s="448"/>
      <c r="J193" s="356"/>
      <c r="K193" s="274"/>
    </row>
    <row r="194" spans="2:11" x14ac:dyDescent="0.25">
      <c r="B194" s="353">
        <v>190</v>
      </c>
      <c r="C194" s="354"/>
      <c r="D194" s="354"/>
      <c r="E194" s="354"/>
      <c r="F194" s="354"/>
      <c r="G194" s="354"/>
      <c r="H194" s="355" t="s">
        <v>395</v>
      </c>
      <c r="I194" s="448"/>
      <c r="J194" s="356"/>
      <c r="K194" s="274"/>
    </row>
    <row r="195" spans="2:11" x14ac:dyDescent="0.25">
      <c r="B195" s="353">
        <v>191</v>
      </c>
      <c r="C195" s="354"/>
      <c r="D195" s="354"/>
      <c r="E195" s="354"/>
      <c r="F195" s="354"/>
      <c r="G195" s="354"/>
      <c r="H195" s="355" t="s">
        <v>395</v>
      </c>
      <c r="I195" s="448"/>
      <c r="J195" s="356"/>
      <c r="K195" s="274"/>
    </row>
    <row r="196" spans="2:11" x14ac:dyDescent="0.25">
      <c r="B196" s="353">
        <v>192</v>
      </c>
      <c r="C196" s="354"/>
      <c r="D196" s="354"/>
      <c r="E196" s="354"/>
      <c r="F196" s="354"/>
      <c r="G196" s="354"/>
      <c r="H196" s="355" t="s">
        <v>395</v>
      </c>
      <c r="I196" s="448"/>
      <c r="J196" s="356"/>
      <c r="K196" s="274"/>
    </row>
    <row r="197" spans="2:11" x14ac:dyDescent="0.25">
      <c r="B197" s="353">
        <v>193</v>
      </c>
      <c r="C197" s="354"/>
      <c r="D197" s="354"/>
      <c r="E197" s="354"/>
      <c r="F197" s="354"/>
      <c r="G197" s="354"/>
      <c r="H197" s="355" t="s">
        <v>395</v>
      </c>
      <c r="I197" s="448"/>
      <c r="J197" s="356"/>
      <c r="K197" s="274"/>
    </row>
    <row r="198" spans="2:11" x14ac:dyDescent="0.25">
      <c r="B198" s="353">
        <v>194</v>
      </c>
      <c r="C198" s="354"/>
      <c r="D198" s="354"/>
      <c r="E198" s="354"/>
      <c r="F198" s="354"/>
      <c r="G198" s="354"/>
      <c r="H198" s="355" t="s">
        <v>395</v>
      </c>
      <c r="I198" s="448"/>
      <c r="J198" s="356"/>
      <c r="K198" s="274"/>
    </row>
    <row r="199" spans="2:11" x14ac:dyDescent="0.25">
      <c r="B199" s="353">
        <v>195</v>
      </c>
      <c r="C199" s="354"/>
      <c r="D199" s="354"/>
      <c r="E199" s="354"/>
      <c r="F199" s="354"/>
      <c r="G199" s="354"/>
      <c r="H199" s="355" t="s">
        <v>395</v>
      </c>
      <c r="I199" s="448"/>
      <c r="J199" s="356"/>
      <c r="K199" s="274"/>
    </row>
    <row r="200" spans="2:11" x14ac:dyDescent="0.25">
      <c r="B200" s="353">
        <v>196</v>
      </c>
      <c r="C200" s="354"/>
      <c r="D200" s="354"/>
      <c r="E200" s="354"/>
      <c r="F200" s="354"/>
      <c r="G200" s="354"/>
      <c r="H200" s="355" t="s">
        <v>395</v>
      </c>
      <c r="I200" s="448"/>
      <c r="J200" s="356"/>
      <c r="K200" s="274"/>
    </row>
    <row r="201" spans="2:11" x14ac:dyDescent="0.25">
      <c r="B201" s="353">
        <v>197</v>
      </c>
      <c r="C201" s="354"/>
      <c r="D201" s="354"/>
      <c r="E201" s="354"/>
      <c r="F201" s="354"/>
      <c r="G201" s="354"/>
      <c r="H201" s="355" t="s">
        <v>395</v>
      </c>
      <c r="I201" s="448"/>
      <c r="J201" s="356"/>
      <c r="K201" s="274"/>
    </row>
    <row r="202" spans="2:11" x14ac:dyDescent="0.25">
      <c r="B202" s="353">
        <v>198</v>
      </c>
      <c r="C202" s="354"/>
      <c r="D202" s="354"/>
      <c r="E202" s="354"/>
      <c r="F202" s="354"/>
      <c r="G202" s="354"/>
      <c r="H202" s="355" t="s">
        <v>395</v>
      </c>
      <c r="I202" s="448"/>
      <c r="J202" s="356"/>
      <c r="K202" s="274"/>
    </row>
    <row r="203" spans="2:11" x14ac:dyDescent="0.25">
      <c r="B203" s="353">
        <v>199</v>
      </c>
      <c r="C203" s="354"/>
      <c r="D203" s="354"/>
      <c r="E203" s="354"/>
      <c r="F203" s="354"/>
      <c r="G203" s="354"/>
      <c r="H203" s="355" t="s">
        <v>395</v>
      </c>
      <c r="I203" s="448"/>
      <c r="J203" s="356"/>
      <c r="K203" s="274"/>
    </row>
    <row r="204" spans="2:11" x14ac:dyDescent="0.25">
      <c r="B204" s="353">
        <v>200</v>
      </c>
      <c r="C204" s="354"/>
      <c r="D204" s="354"/>
      <c r="E204" s="354"/>
      <c r="F204" s="354"/>
      <c r="G204" s="354"/>
      <c r="H204" s="355" t="s">
        <v>395</v>
      </c>
      <c r="I204" s="448"/>
      <c r="J204" s="356"/>
      <c r="K204" s="274"/>
    </row>
    <row r="205" spans="2:11" x14ac:dyDescent="0.25">
      <c r="B205" s="353">
        <v>201</v>
      </c>
      <c r="C205" s="354"/>
      <c r="D205" s="354"/>
      <c r="E205" s="354"/>
      <c r="F205" s="354"/>
      <c r="G205" s="354"/>
      <c r="H205" s="355" t="s">
        <v>395</v>
      </c>
      <c r="I205" s="448"/>
      <c r="J205" s="356"/>
      <c r="K205" s="274"/>
    </row>
    <row r="206" spans="2:11" x14ac:dyDescent="0.25">
      <c r="B206" s="353">
        <v>202</v>
      </c>
      <c r="C206" s="354"/>
      <c r="D206" s="354"/>
      <c r="E206" s="354"/>
      <c r="F206" s="354"/>
      <c r="G206" s="354"/>
      <c r="H206" s="355" t="s">
        <v>395</v>
      </c>
      <c r="I206" s="448"/>
      <c r="J206" s="356"/>
      <c r="K206" s="274"/>
    </row>
    <row r="207" spans="2:11" x14ac:dyDescent="0.25">
      <c r="B207" s="353">
        <v>203</v>
      </c>
      <c r="C207" s="354"/>
      <c r="D207" s="354"/>
      <c r="E207" s="354"/>
      <c r="F207" s="354"/>
      <c r="G207" s="354"/>
      <c r="H207" s="355" t="s">
        <v>395</v>
      </c>
      <c r="I207" s="448"/>
      <c r="J207" s="356"/>
      <c r="K207" s="274"/>
    </row>
    <row r="208" spans="2:11" x14ac:dyDescent="0.25">
      <c r="B208" s="353">
        <v>204</v>
      </c>
      <c r="C208" s="354"/>
      <c r="D208" s="354"/>
      <c r="E208" s="354"/>
      <c r="F208" s="354"/>
      <c r="G208" s="354"/>
      <c r="H208" s="355" t="s">
        <v>395</v>
      </c>
      <c r="I208" s="448"/>
      <c r="J208" s="356"/>
      <c r="K208" s="274"/>
    </row>
    <row r="209" spans="2:11" x14ac:dyDescent="0.25">
      <c r="B209" s="353">
        <v>205</v>
      </c>
      <c r="C209" s="354"/>
      <c r="D209" s="354"/>
      <c r="E209" s="354"/>
      <c r="F209" s="354"/>
      <c r="G209" s="354"/>
      <c r="H209" s="355" t="s">
        <v>395</v>
      </c>
      <c r="I209" s="448"/>
      <c r="J209" s="356"/>
      <c r="K209" s="274"/>
    </row>
    <row r="210" spans="2:11" x14ac:dyDescent="0.25">
      <c r="B210" s="353">
        <v>206</v>
      </c>
      <c r="C210" s="354"/>
      <c r="D210" s="354"/>
      <c r="E210" s="354"/>
      <c r="F210" s="354"/>
      <c r="G210" s="354"/>
      <c r="H210" s="355" t="s">
        <v>395</v>
      </c>
      <c r="I210" s="448"/>
      <c r="J210" s="356"/>
      <c r="K210" s="274"/>
    </row>
    <row r="211" spans="2:11" x14ac:dyDescent="0.25">
      <c r="B211" s="353">
        <v>207</v>
      </c>
      <c r="C211" s="354"/>
      <c r="D211" s="354"/>
      <c r="E211" s="354"/>
      <c r="F211" s="354"/>
      <c r="G211" s="354"/>
      <c r="H211" s="355" t="s">
        <v>395</v>
      </c>
      <c r="I211" s="448"/>
      <c r="J211" s="356"/>
      <c r="K211" s="274"/>
    </row>
    <row r="212" spans="2:11" x14ac:dyDescent="0.25">
      <c r="B212" s="353">
        <v>208</v>
      </c>
      <c r="C212" s="354"/>
      <c r="D212" s="354"/>
      <c r="E212" s="354"/>
      <c r="F212" s="354"/>
      <c r="G212" s="354"/>
      <c r="H212" s="355" t="s">
        <v>395</v>
      </c>
      <c r="I212" s="448"/>
      <c r="J212" s="356"/>
      <c r="K212" s="274"/>
    </row>
    <row r="213" spans="2:11" x14ac:dyDescent="0.25">
      <c r="B213" s="353">
        <v>209</v>
      </c>
      <c r="C213" s="354"/>
      <c r="D213" s="354"/>
      <c r="E213" s="354"/>
      <c r="F213" s="354"/>
      <c r="G213" s="354"/>
      <c r="H213" s="355" t="s">
        <v>395</v>
      </c>
      <c r="I213" s="448"/>
      <c r="J213" s="356"/>
      <c r="K213" s="274"/>
    </row>
    <row r="214" spans="2:11" x14ac:dyDescent="0.25">
      <c r="B214" s="353">
        <v>210</v>
      </c>
      <c r="C214" s="354"/>
      <c r="D214" s="354"/>
      <c r="E214" s="354"/>
      <c r="F214" s="354"/>
      <c r="G214" s="354"/>
      <c r="H214" s="355" t="s">
        <v>395</v>
      </c>
      <c r="I214" s="448"/>
      <c r="J214" s="356"/>
      <c r="K214" s="274"/>
    </row>
    <row r="215" spans="2:11" x14ac:dyDescent="0.25">
      <c r="B215" s="353">
        <v>211</v>
      </c>
      <c r="C215" s="354"/>
      <c r="D215" s="354"/>
      <c r="E215" s="354"/>
      <c r="F215" s="354"/>
      <c r="G215" s="354"/>
      <c r="H215" s="355" t="s">
        <v>395</v>
      </c>
      <c r="I215" s="448"/>
      <c r="J215" s="356"/>
      <c r="K215" s="274"/>
    </row>
    <row r="216" spans="2:11" x14ac:dyDescent="0.25">
      <c r="B216" s="353">
        <v>212</v>
      </c>
      <c r="C216" s="354"/>
      <c r="D216" s="354"/>
      <c r="E216" s="354"/>
      <c r="F216" s="354"/>
      <c r="G216" s="354"/>
      <c r="H216" s="355" t="s">
        <v>395</v>
      </c>
      <c r="I216" s="448"/>
      <c r="J216" s="356"/>
      <c r="K216" s="274"/>
    </row>
    <row r="217" spans="2:11" x14ac:dyDescent="0.25">
      <c r="B217" s="353">
        <v>213</v>
      </c>
      <c r="C217" s="354"/>
      <c r="D217" s="354"/>
      <c r="E217" s="354"/>
      <c r="F217" s="354"/>
      <c r="G217" s="354"/>
      <c r="H217" s="355" t="s">
        <v>395</v>
      </c>
      <c r="I217" s="448"/>
      <c r="J217" s="356"/>
      <c r="K217" s="274"/>
    </row>
    <row r="218" spans="2:11" x14ac:dyDescent="0.25">
      <c r="B218" s="353">
        <v>214</v>
      </c>
      <c r="C218" s="354"/>
      <c r="D218" s="354"/>
      <c r="E218" s="354"/>
      <c r="F218" s="354"/>
      <c r="G218" s="354"/>
      <c r="H218" s="355" t="s">
        <v>395</v>
      </c>
      <c r="I218" s="448"/>
      <c r="J218" s="356"/>
      <c r="K218" s="274"/>
    </row>
    <row r="219" spans="2:11" x14ac:dyDescent="0.25">
      <c r="B219" s="353">
        <v>215</v>
      </c>
      <c r="C219" s="354"/>
      <c r="D219" s="354"/>
      <c r="E219" s="354"/>
      <c r="F219" s="354"/>
      <c r="G219" s="354"/>
      <c r="H219" s="355" t="s">
        <v>395</v>
      </c>
      <c r="I219" s="448"/>
      <c r="J219" s="356"/>
      <c r="K219" s="274"/>
    </row>
    <row r="220" spans="2:11" x14ac:dyDescent="0.25">
      <c r="B220" s="353">
        <v>216</v>
      </c>
      <c r="C220" s="354"/>
      <c r="D220" s="354"/>
      <c r="E220" s="354"/>
      <c r="F220" s="354"/>
      <c r="G220" s="354"/>
      <c r="H220" s="355" t="s">
        <v>395</v>
      </c>
      <c r="I220" s="448"/>
      <c r="J220" s="356"/>
      <c r="K220" s="274"/>
    </row>
    <row r="221" spans="2:11" x14ac:dyDescent="0.25">
      <c r="B221" s="353">
        <v>217</v>
      </c>
      <c r="C221" s="354"/>
      <c r="D221" s="354"/>
      <c r="E221" s="354"/>
      <c r="F221" s="354"/>
      <c r="G221" s="354"/>
      <c r="H221" s="355" t="s">
        <v>395</v>
      </c>
      <c r="I221" s="448"/>
      <c r="J221" s="356"/>
      <c r="K221" s="274"/>
    </row>
    <row r="222" spans="2:11" x14ac:dyDescent="0.25">
      <c r="B222" s="353">
        <v>218</v>
      </c>
      <c r="C222" s="354"/>
      <c r="D222" s="354"/>
      <c r="E222" s="354"/>
      <c r="F222" s="354"/>
      <c r="G222" s="354"/>
      <c r="H222" s="355" t="s">
        <v>395</v>
      </c>
      <c r="I222" s="448"/>
      <c r="J222" s="356"/>
      <c r="K222" s="274"/>
    </row>
    <row r="223" spans="2:11" x14ac:dyDescent="0.25">
      <c r="B223" s="353">
        <v>219</v>
      </c>
      <c r="C223" s="354"/>
      <c r="D223" s="354"/>
      <c r="E223" s="354"/>
      <c r="F223" s="354"/>
      <c r="G223" s="354"/>
      <c r="H223" s="355" t="s">
        <v>395</v>
      </c>
      <c r="I223" s="448"/>
      <c r="J223" s="356"/>
      <c r="K223" s="274"/>
    </row>
    <row r="224" spans="2:11" x14ac:dyDescent="0.25">
      <c r="B224" s="353">
        <v>220</v>
      </c>
      <c r="C224" s="354"/>
      <c r="D224" s="354"/>
      <c r="E224" s="354"/>
      <c r="F224" s="354"/>
      <c r="G224" s="354"/>
      <c r="H224" s="355" t="s">
        <v>395</v>
      </c>
      <c r="I224" s="448"/>
      <c r="J224" s="356"/>
      <c r="K224" s="274"/>
    </row>
    <row r="225" spans="2:11" x14ac:dyDescent="0.25">
      <c r="B225" s="353">
        <v>221</v>
      </c>
      <c r="C225" s="354"/>
      <c r="D225" s="354"/>
      <c r="E225" s="354"/>
      <c r="F225" s="354"/>
      <c r="G225" s="354"/>
      <c r="H225" s="355" t="s">
        <v>395</v>
      </c>
      <c r="I225" s="448"/>
      <c r="J225" s="356"/>
      <c r="K225" s="274"/>
    </row>
    <row r="226" spans="2:11" x14ac:dyDescent="0.25">
      <c r="B226" s="353">
        <v>222</v>
      </c>
      <c r="C226" s="354"/>
      <c r="D226" s="354"/>
      <c r="E226" s="354"/>
      <c r="F226" s="354"/>
      <c r="G226" s="354"/>
      <c r="H226" s="355" t="s">
        <v>395</v>
      </c>
      <c r="I226" s="448"/>
      <c r="J226" s="356"/>
      <c r="K226" s="274"/>
    </row>
    <row r="227" spans="2:11" x14ac:dyDescent="0.25">
      <c r="B227" s="353">
        <v>223</v>
      </c>
      <c r="C227" s="354"/>
      <c r="D227" s="354"/>
      <c r="E227" s="354"/>
      <c r="F227" s="354"/>
      <c r="G227" s="354"/>
      <c r="H227" s="355" t="s">
        <v>395</v>
      </c>
      <c r="I227" s="448"/>
      <c r="J227" s="356"/>
      <c r="K227" s="274"/>
    </row>
    <row r="228" spans="2:11" x14ac:dyDescent="0.25">
      <c r="B228" s="353">
        <v>224</v>
      </c>
      <c r="C228" s="354"/>
      <c r="D228" s="354"/>
      <c r="E228" s="354"/>
      <c r="F228" s="354"/>
      <c r="G228" s="354"/>
      <c r="H228" s="355" t="s">
        <v>395</v>
      </c>
      <c r="I228" s="448"/>
      <c r="J228" s="356"/>
      <c r="K228" s="274"/>
    </row>
    <row r="229" spans="2:11" x14ac:dyDescent="0.25">
      <c r="B229" s="353">
        <v>225</v>
      </c>
      <c r="C229" s="354"/>
      <c r="D229" s="354"/>
      <c r="E229" s="354"/>
      <c r="F229" s="354"/>
      <c r="G229" s="354"/>
      <c r="H229" s="355" t="s">
        <v>395</v>
      </c>
      <c r="I229" s="448"/>
      <c r="J229" s="356"/>
      <c r="K229" s="274"/>
    </row>
    <row r="230" spans="2:11" x14ac:dyDescent="0.25">
      <c r="B230" s="353">
        <v>226</v>
      </c>
      <c r="C230" s="354"/>
      <c r="D230" s="354"/>
      <c r="E230" s="354"/>
      <c r="F230" s="354"/>
      <c r="G230" s="354"/>
      <c r="H230" s="355" t="s">
        <v>395</v>
      </c>
      <c r="I230" s="448"/>
      <c r="J230" s="356"/>
      <c r="K230" s="274"/>
    </row>
    <row r="231" spans="2:11" x14ac:dyDescent="0.25">
      <c r="B231" s="353">
        <v>227</v>
      </c>
      <c r="C231" s="354"/>
      <c r="D231" s="354"/>
      <c r="E231" s="354"/>
      <c r="F231" s="354"/>
      <c r="G231" s="354"/>
      <c r="H231" s="355" t="s">
        <v>395</v>
      </c>
      <c r="I231" s="448"/>
      <c r="J231" s="356"/>
      <c r="K231" s="274"/>
    </row>
    <row r="232" spans="2:11" x14ac:dyDescent="0.25">
      <c r="B232" s="353">
        <v>228</v>
      </c>
      <c r="C232" s="354"/>
      <c r="D232" s="354"/>
      <c r="E232" s="354"/>
      <c r="F232" s="354"/>
      <c r="G232" s="354"/>
      <c r="H232" s="355" t="s">
        <v>395</v>
      </c>
      <c r="I232" s="448"/>
      <c r="J232" s="356"/>
      <c r="K232" s="274"/>
    </row>
    <row r="233" spans="2:11" x14ac:dyDescent="0.25">
      <c r="B233" s="353">
        <v>229</v>
      </c>
      <c r="C233" s="354"/>
      <c r="D233" s="354"/>
      <c r="E233" s="354"/>
      <c r="F233" s="354"/>
      <c r="G233" s="354"/>
      <c r="H233" s="355" t="s">
        <v>395</v>
      </c>
      <c r="I233" s="448"/>
      <c r="J233" s="356"/>
      <c r="K233" s="274"/>
    </row>
    <row r="234" spans="2:11" x14ac:dyDescent="0.25">
      <c r="B234" s="353">
        <v>230</v>
      </c>
      <c r="C234" s="354"/>
      <c r="D234" s="354"/>
      <c r="E234" s="354"/>
      <c r="F234" s="354"/>
      <c r="G234" s="354"/>
      <c r="H234" s="355" t="s">
        <v>395</v>
      </c>
      <c r="I234" s="448"/>
      <c r="J234" s="356"/>
      <c r="K234" s="274"/>
    </row>
    <row r="235" spans="2:11" x14ac:dyDescent="0.25">
      <c r="B235" s="353">
        <v>231</v>
      </c>
      <c r="C235" s="354"/>
      <c r="D235" s="354"/>
      <c r="E235" s="354"/>
      <c r="F235" s="354"/>
      <c r="G235" s="354"/>
      <c r="H235" s="355" t="s">
        <v>395</v>
      </c>
      <c r="I235" s="448"/>
      <c r="J235" s="356"/>
      <c r="K235" s="274"/>
    </row>
    <row r="236" spans="2:11" x14ac:dyDescent="0.25">
      <c r="B236" s="353">
        <v>232</v>
      </c>
      <c r="C236" s="354"/>
      <c r="D236" s="354"/>
      <c r="E236" s="354"/>
      <c r="F236" s="354"/>
      <c r="G236" s="354"/>
      <c r="H236" s="355" t="s">
        <v>395</v>
      </c>
      <c r="I236" s="448"/>
      <c r="J236" s="356"/>
      <c r="K236" s="274"/>
    </row>
    <row r="237" spans="2:11" x14ac:dyDescent="0.25">
      <c r="B237" s="353">
        <v>233</v>
      </c>
      <c r="C237" s="354"/>
      <c r="D237" s="354"/>
      <c r="E237" s="354"/>
      <c r="F237" s="354"/>
      <c r="G237" s="354"/>
      <c r="H237" s="355" t="s">
        <v>395</v>
      </c>
      <c r="I237" s="448"/>
      <c r="J237" s="356"/>
      <c r="K237" s="274"/>
    </row>
    <row r="238" spans="2:11" x14ac:dyDescent="0.25">
      <c r="B238" s="353">
        <v>234</v>
      </c>
      <c r="C238" s="354"/>
      <c r="D238" s="354"/>
      <c r="E238" s="354"/>
      <c r="F238" s="354"/>
      <c r="G238" s="354"/>
      <c r="H238" s="355" t="s">
        <v>395</v>
      </c>
      <c r="I238" s="448"/>
      <c r="J238" s="356"/>
      <c r="K238" s="274"/>
    </row>
    <row r="239" spans="2:11" x14ac:dyDescent="0.25">
      <c r="B239" s="353">
        <v>235</v>
      </c>
      <c r="C239" s="354"/>
      <c r="D239" s="354"/>
      <c r="E239" s="354"/>
      <c r="F239" s="354"/>
      <c r="G239" s="354"/>
      <c r="H239" s="355" t="s">
        <v>395</v>
      </c>
      <c r="I239" s="448"/>
      <c r="J239" s="356"/>
      <c r="K239" s="274"/>
    </row>
    <row r="240" spans="2:11" x14ac:dyDescent="0.25">
      <c r="B240" s="353">
        <v>236</v>
      </c>
      <c r="C240" s="354"/>
      <c r="D240" s="354"/>
      <c r="E240" s="354"/>
      <c r="F240" s="354"/>
      <c r="G240" s="354"/>
      <c r="H240" s="355" t="s">
        <v>395</v>
      </c>
      <c r="I240" s="448"/>
      <c r="J240" s="356"/>
      <c r="K240" s="274"/>
    </row>
    <row r="241" spans="2:11" x14ac:dyDescent="0.25">
      <c r="B241" s="353">
        <v>237</v>
      </c>
      <c r="C241" s="354"/>
      <c r="D241" s="354"/>
      <c r="E241" s="354"/>
      <c r="F241" s="354"/>
      <c r="G241" s="354"/>
      <c r="H241" s="355" t="s">
        <v>395</v>
      </c>
      <c r="I241" s="448"/>
      <c r="J241" s="356"/>
      <c r="K241" s="274"/>
    </row>
    <row r="242" spans="2:11" x14ac:dyDescent="0.25">
      <c r="B242" s="353">
        <v>238</v>
      </c>
      <c r="C242" s="354"/>
      <c r="D242" s="354"/>
      <c r="E242" s="354"/>
      <c r="F242" s="354"/>
      <c r="G242" s="354"/>
      <c r="H242" s="355" t="s">
        <v>395</v>
      </c>
      <c r="I242" s="448"/>
      <c r="J242" s="356"/>
      <c r="K242" s="274"/>
    </row>
    <row r="243" spans="2:11" x14ac:dyDescent="0.25">
      <c r="B243" s="353">
        <v>239</v>
      </c>
      <c r="C243" s="354"/>
      <c r="D243" s="354"/>
      <c r="E243" s="354"/>
      <c r="F243" s="354"/>
      <c r="G243" s="354"/>
      <c r="H243" s="355" t="s">
        <v>395</v>
      </c>
      <c r="I243" s="448"/>
      <c r="J243" s="356"/>
      <c r="K243" s="274"/>
    </row>
    <row r="244" spans="2:11" x14ac:dyDescent="0.25">
      <c r="B244" s="353">
        <v>240</v>
      </c>
      <c r="C244" s="354"/>
      <c r="D244" s="354"/>
      <c r="E244" s="354"/>
      <c r="F244" s="354"/>
      <c r="G244" s="354"/>
      <c r="H244" s="355" t="s">
        <v>395</v>
      </c>
      <c r="I244" s="448"/>
      <c r="J244" s="356"/>
      <c r="K244" s="274"/>
    </row>
    <row r="245" spans="2:11" x14ac:dyDescent="0.25">
      <c r="B245" s="353">
        <v>241</v>
      </c>
      <c r="C245" s="354"/>
      <c r="D245" s="354"/>
      <c r="E245" s="354"/>
      <c r="F245" s="354"/>
      <c r="G245" s="354"/>
      <c r="H245" s="355" t="s">
        <v>395</v>
      </c>
      <c r="I245" s="448"/>
      <c r="J245" s="356"/>
      <c r="K245" s="274"/>
    </row>
    <row r="246" spans="2:11" x14ac:dyDescent="0.25">
      <c r="B246" s="353">
        <v>242</v>
      </c>
      <c r="C246" s="354"/>
      <c r="D246" s="354"/>
      <c r="E246" s="354"/>
      <c r="F246" s="354"/>
      <c r="G246" s="354"/>
      <c r="H246" s="355" t="s">
        <v>395</v>
      </c>
      <c r="I246" s="448"/>
      <c r="J246" s="356"/>
      <c r="K246" s="274"/>
    </row>
    <row r="247" spans="2:11" x14ac:dyDescent="0.25">
      <c r="B247" s="353">
        <v>243</v>
      </c>
      <c r="C247" s="354"/>
      <c r="D247" s="354"/>
      <c r="E247" s="354"/>
      <c r="F247" s="354"/>
      <c r="G247" s="354"/>
      <c r="H247" s="355" t="s">
        <v>395</v>
      </c>
      <c r="I247" s="448"/>
      <c r="J247" s="356"/>
      <c r="K247" s="274"/>
    </row>
    <row r="248" spans="2:11" x14ac:dyDescent="0.25">
      <c r="B248" s="353">
        <v>244</v>
      </c>
      <c r="C248" s="354"/>
      <c r="D248" s="354"/>
      <c r="E248" s="354"/>
      <c r="F248" s="354"/>
      <c r="G248" s="354"/>
      <c r="H248" s="355" t="s">
        <v>395</v>
      </c>
      <c r="I248" s="448"/>
      <c r="J248" s="356"/>
      <c r="K248" s="274"/>
    </row>
    <row r="249" spans="2:11" x14ac:dyDescent="0.25">
      <c r="B249" s="353">
        <v>245</v>
      </c>
      <c r="C249" s="354"/>
      <c r="D249" s="354"/>
      <c r="E249" s="354"/>
      <c r="F249" s="354"/>
      <c r="G249" s="354"/>
      <c r="H249" s="355" t="s">
        <v>395</v>
      </c>
      <c r="I249" s="448"/>
      <c r="J249" s="356"/>
      <c r="K249" s="274"/>
    </row>
    <row r="250" spans="2:11" x14ac:dyDescent="0.25">
      <c r="B250" s="353">
        <v>246</v>
      </c>
      <c r="C250" s="354"/>
      <c r="D250" s="354"/>
      <c r="E250" s="354"/>
      <c r="F250" s="354"/>
      <c r="G250" s="354"/>
      <c r="H250" s="355" t="s">
        <v>395</v>
      </c>
      <c r="I250" s="448"/>
      <c r="J250" s="356"/>
      <c r="K250" s="274"/>
    </row>
    <row r="251" spans="2:11" x14ac:dyDescent="0.25">
      <c r="B251" s="353">
        <v>247</v>
      </c>
      <c r="C251" s="354"/>
      <c r="D251" s="354"/>
      <c r="E251" s="354"/>
      <c r="F251" s="354"/>
      <c r="G251" s="354"/>
      <c r="H251" s="355" t="s">
        <v>395</v>
      </c>
      <c r="I251" s="448"/>
      <c r="J251" s="356"/>
      <c r="K251" s="274"/>
    </row>
    <row r="252" spans="2:11" x14ac:dyDescent="0.25">
      <c r="B252" s="353">
        <v>248</v>
      </c>
      <c r="C252" s="354"/>
      <c r="D252" s="354"/>
      <c r="E252" s="354"/>
      <c r="F252" s="354"/>
      <c r="G252" s="354"/>
      <c r="H252" s="355" t="s">
        <v>395</v>
      </c>
      <c r="I252" s="448"/>
      <c r="J252" s="356"/>
      <c r="K252" s="274"/>
    </row>
    <row r="253" spans="2:11" x14ac:dyDescent="0.25">
      <c r="B253" s="353">
        <v>249</v>
      </c>
      <c r="C253" s="354"/>
      <c r="D253" s="354"/>
      <c r="E253" s="354"/>
      <c r="F253" s="354"/>
      <c r="G253" s="354"/>
      <c r="H253" s="355" t="s">
        <v>395</v>
      </c>
      <c r="I253" s="448"/>
      <c r="J253" s="356"/>
      <c r="K253" s="274"/>
    </row>
    <row r="254" spans="2:11" x14ac:dyDescent="0.25">
      <c r="B254" s="353">
        <v>250</v>
      </c>
      <c r="C254" s="354"/>
      <c r="D254" s="354"/>
      <c r="E254" s="354"/>
      <c r="F254" s="354"/>
      <c r="G254" s="354"/>
      <c r="H254" s="355" t="s">
        <v>395</v>
      </c>
      <c r="I254" s="448"/>
      <c r="J254" s="356"/>
      <c r="K254" s="274"/>
    </row>
    <row r="255" spans="2:11" x14ac:dyDescent="0.25">
      <c r="B255" s="353">
        <v>251</v>
      </c>
      <c r="C255" s="354"/>
      <c r="D255" s="354"/>
      <c r="E255" s="354"/>
      <c r="F255" s="354"/>
      <c r="G255" s="354"/>
      <c r="H255" s="355" t="s">
        <v>395</v>
      </c>
      <c r="I255" s="448"/>
      <c r="J255" s="356"/>
      <c r="K255" s="274"/>
    </row>
    <row r="256" spans="2:11" x14ac:dyDescent="0.25">
      <c r="B256" s="353">
        <v>252</v>
      </c>
      <c r="C256" s="354"/>
      <c r="D256" s="354"/>
      <c r="E256" s="354"/>
      <c r="F256" s="354"/>
      <c r="G256" s="354"/>
      <c r="H256" s="355" t="s">
        <v>395</v>
      </c>
      <c r="I256" s="448"/>
      <c r="J256" s="356"/>
      <c r="K256" s="274"/>
    </row>
    <row r="257" spans="2:11" x14ac:dyDescent="0.25">
      <c r="B257" s="353">
        <v>253</v>
      </c>
      <c r="C257" s="354"/>
      <c r="D257" s="354"/>
      <c r="E257" s="354"/>
      <c r="F257" s="354"/>
      <c r="G257" s="354"/>
      <c r="H257" s="355" t="s">
        <v>395</v>
      </c>
      <c r="I257" s="448"/>
      <c r="J257" s="356"/>
      <c r="K257" s="274"/>
    </row>
    <row r="258" spans="2:11" x14ac:dyDescent="0.25">
      <c r="B258" s="353">
        <v>254</v>
      </c>
      <c r="C258" s="354"/>
      <c r="D258" s="354"/>
      <c r="E258" s="354"/>
      <c r="F258" s="354"/>
      <c r="G258" s="354"/>
      <c r="H258" s="355" t="s">
        <v>395</v>
      </c>
      <c r="I258" s="448"/>
      <c r="J258" s="356"/>
      <c r="K258" s="274"/>
    </row>
    <row r="259" spans="2:11" x14ac:dyDescent="0.25">
      <c r="B259" s="353">
        <v>255</v>
      </c>
      <c r="C259" s="354"/>
      <c r="D259" s="354"/>
      <c r="E259" s="354"/>
      <c r="F259" s="354"/>
      <c r="G259" s="354"/>
      <c r="H259" s="355" t="s">
        <v>395</v>
      </c>
      <c r="I259" s="448"/>
      <c r="J259" s="356"/>
      <c r="K259" s="274"/>
    </row>
    <row r="260" spans="2:11" x14ac:dyDescent="0.25">
      <c r="B260" s="353">
        <v>256</v>
      </c>
      <c r="C260" s="354"/>
      <c r="D260" s="354"/>
      <c r="E260" s="354"/>
      <c r="F260" s="354"/>
      <c r="G260" s="354"/>
      <c r="H260" s="355" t="s">
        <v>395</v>
      </c>
      <c r="I260" s="448"/>
      <c r="J260" s="356"/>
      <c r="K260" s="274"/>
    </row>
    <row r="261" spans="2:11" x14ac:dyDescent="0.25">
      <c r="B261" s="353">
        <v>257</v>
      </c>
      <c r="C261" s="354"/>
      <c r="D261" s="354"/>
      <c r="E261" s="354"/>
      <c r="F261" s="354"/>
      <c r="G261" s="354"/>
      <c r="H261" s="355" t="s">
        <v>395</v>
      </c>
      <c r="I261" s="448"/>
      <c r="J261" s="356"/>
      <c r="K261" s="274"/>
    </row>
    <row r="262" spans="2:11" x14ac:dyDescent="0.25">
      <c r="B262" s="353">
        <v>258</v>
      </c>
      <c r="C262" s="354"/>
      <c r="D262" s="354"/>
      <c r="E262" s="354"/>
      <c r="F262" s="354"/>
      <c r="G262" s="354"/>
      <c r="H262" s="355" t="s">
        <v>395</v>
      </c>
      <c r="I262" s="448"/>
      <c r="J262" s="356"/>
      <c r="K262" s="274"/>
    </row>
    <row r="263" spans="2:11" x14ac:dyDescent="0.25">
      <c r="B263" s="353">
        <v>259</v>
      </c>
      <c r="C263" s="354"/>
      <c r="D263" s="354"/>
      <c r="E263" s="354"/>
      <c r="F263" s="354"/>
      <c r="G263" s="354"/>
      <c r="H263" s="355" t="s">
        <v>395</v>
      </c>
      <c r="I263" s="448"/>
      <c r="J263" s="356"/>
      <c r="K263" s="274"/>
    </row>
    <row r="264" spans="2:11" x14ac:dyDescent="0.25">
      <c r="B264" s="353">
        <v>260</v>
      </c>
      <c r="C264" s="354"/>
      <c r="D264" s="354"/>
      <c r="E264" s="354"/>
      <c r="F264" s="354"/>
      <c r="G264" s="354"/>
      <c r="H264" s="355" t="s">
        <v>395</v>
      </c>
      <c r="I264" s="448"/>
      <c r="J264" s="356"/>
      <c r="K264" s="274"/>
    </row>
    <row r="265" spans="2:11" x14ac:dyDescent="0.25">
      <c r="B265" s="353">
        <v>261</v>
      </c>
      <c r="C265" s="354"/>
      <c r="D265" s="354"/>
      <c r="E265" s="354"/>
      <c r="F265" s="354"/>
      <c r="G265" s="354"/>
      <c r="H265" s="355" t="s">
        <v>395</v>
      </c>
      <c r="I265" s="448"/>
      <c r="J265" s="356"/>
      <c r="K265" s="274"/>
    </row>
    <row r="266" spans="2:11" x14ac:dyDescent="0.25">
      <c r="B266" s="353">
        <v>262</v>
      </c>
      <c r="C266" s="354"/>
      <c r="D266" s="354"/>
      <c r="E266" s="354"/>
      <c r="F266" s="354"/>
      <c r="G266" s="354"/>
      <c r="H266" s="355" t="s">
        <v>395</v>
      </c>
      <c r="I266" s="448"/>
      <c r="J266" s="356"/>
      <c r="K266" s="274"/>
    </row>
    <row r="267" spans="2:11" x14ac:dyDescent="0.25">
      <c r="B267" s="353">
        <v>263</v>
      </c>
      <c r="C267" s="354"/>
      <c r="D267" s="354"/>
      <c r="E267" s="354"/>
      <c r="F267" s="354"/>
      <c r="G267" s="354"/>
      <c r="H267" s="355" t="s">
        <v>395</v>
      </c>
      <c r="I267" s="448"/>
      <c r="J267" s="356"/>
      <c r="K267" s="274"/>
    </row>
    <row r="268" spans="2:11" x14ac:dyDescent="0.25">
      <c r="B268" s="353">
        <v>264</v>
      </c>
      <c r="C268" s="354"/>
      <c r="D268" s="354"/>
      <c r="E268" s="354"/>
      <c r="F268" s="354"/>
      <c r="G268" s="354"/>
      <c r="H268" s="355" t="s">
        <v>395</v>
      </c>
      <c r="I268" s="448"/>
      <c r="J268" s="356"/>
      <c r="K268" s="274"/>
    </row>
    <row r="269" spans="2:11" x14ac:dyDescent="0.25">
      <c r="B269" s="353">
        <v>265</v>
      </c>
      <c r="C269" s="354"/>
      <c r="D269" s="354"/>
      <c r="E269" s="354"/>
      <c r="F269" s="354"/>
      <c r="G269" s="354"/>
      <c r="H269" s="355" t="s">
        <v>395</v>
      </c>
      <c r="I269" s="448"/>
      <c r="J269" s="356"/>
      <c r="K269" s="274"/>
    </row>
    <row r="270" spans="2:11" x14ac:dyDescent="0.25">
      <c r="B270" s="353">
        <v>266</v>
      </c>
      <c r="C270" s="354"/>
      <c r="D270" s="354"/>
      <c r="E270" s="354"/>
      <c r="F270" s="354"/>
      <c r="G270" s="354"/>
      <c r="H270" s="355" t="s">
        <v>395</v>
      </c>
      <c r="I270" s="448"/>
      <c r="J270" s="356"/>
      <c r="K270" s="274"/>
    </row>
    <row r="271" spans="2:11" x14ac:dyDescent="0.25">
      <c r="B271" s="353">
        <v>267</v>
      </c>
      <c r="C271" s="354"/>
      <c r="D271" s="354"/>
      <c r="E271" s="354"/>
      <c r="F271" s="354"/>
      <c r="G271" s="354"/>
      <c r="H271" s="355" t="s">
        <v>395</v>
      </c>
      <c r="I271" s="448"/>
      <c r="J271" s="356"/>
      <c r="K271" s="274"/>
    </row>
    <row r="272" spans="2:11" x14ac:dyDescent="0.25">
      <c r="B272" s="353">
        <v>268</v>
      </c>
      <c r="C272" s="354"/>
      <c r="D272" s="354"/>
      <c r="E272" s="354"/>
      <c r="F272" s="354"/>
      <c r="G272" s="354"/>
      <c r="H272" s="355" t="s">
        <v>395</v>
      </c>
      <c r="I272" s="448"/>
      <c r="J272" s="356"/>
      <c r="K272" s="274"/>
    </row>
    <row r="273" spans="2:11" x14ac:dyDescent="0.25">
      <c r="B273" s="353">
        <v>269</v>
      </c>
      <c r="C273" s="354"/>
      <c r="D273" s="354"/>
      <c r="E273" s="354"/>
      <c r="F273" s="354"/>
      <c r="G273" s="354"/>
      <c r="H273" s="355" t="s">
        <v>395</v>
      </c>
      <c r="I273" s="448"/>
      <c r="J273" s="356"/>
      <c r="K273" s="274"/>
    </row>
    <row r="274" spans="2:11" x14ac:dyDescent="0.25">
      <c r="B274" s="353">
        <v>270</v>
      </c>
      <c r="C274" s="354"/>
      <c r="D274" s="354"/>
      <c r="E274" s="354"/>
      <c r="F274" s="354"/>
      <c r="G274" s="354"/>
      <c r="H274" s="355" t="s">
        <v>395</v>
      </c>
      <c r="I274" s="448"/>
      <c r="J274" s="356"/>
      <c r="K274" s="274"/>
    </row>
    <row r="275" spans="2:11" x14ac:dyDescent="0.25">
      <c r="B275" s="353">
        <v>271</v>
      </c>
      <c r="C275" s="354"/>
      <c r="D275" s="354"/>
      <c r="E275" s="354"/>
      <c r="F275" s="354"/>
      <c r="G275" s="354"/>
      <c r="H275" s="355" t="s">
        <v>395</v>
      </c>
      <c r="I275" s="448"/>
      <c r="J275" s="356"/>
      <c r="K275" s="274"/>
    </row>
    <row r="276" spans="2:11" x14ac:dyDescent="0.25">
      <c r="B276" s="353">
        <v>272</v>
      </c>
      <c r="C276" s="354"/>
      <c r="D276" s="354"/>
      <c r="E276" s="354"/>
      <c r="F276" s="354"/>
      <c r="G276" s="354"/>
      <c r="H276" s="355" t="s">
        <v>395</v>
      </c>
      <c r="I276" s="448"/>
      <c r="J276" s="356"/>
      <c r="K276" s="274"/>
    </row>
    <row r="277" spans="2:11" x14ac:dyDescent="0.25">
      <c r="B277" s="353">
        <v>273</v>
      </c>
      <c r="C277" s="354"/>
      <c r="D277" s="354"/>
      <c r="E277" s="354"/>
      <c r="F277" s="354"/>
      <c r="G277" s="354"/>
      <c r="H277" s="355" t="s">
        <v>395</v>
      </c>
      <c r="I277" s="448"/>
      <c r="J277" s="356"/>
      <c r="K277" s="274"/>
    </row>
    <row r="278" spans="2:11" x14ac:dyDescent="0.25">
      <c r="B278" s="353">
        <v>274</v>
      </c>
      <c r="C278" s="354"/>
      <c r="D278" s="354"/>
      <c r="E278" s="354"/>
      <c r="F278" s="354"/>
      <c r="G278" s="354"/>
      <c r="H278" s="355" t="s">
        <v>395</v>
      </c>
      <c r="I278" s="448"/>
      <c r="J278" s="356"/>
      <c r="K278" s="274"/>
    </row>
    <row r="279" spans="2:11" x14ac:dyDescent="0.25">
      <c r="B279" s="353">
        <v>275</v>
      </c>
      <c r="C279" s="354"/>
      <c r="D279" s="354"/>
      <c r="E279" s="354"/>
      <c r="F279" s="354"/>
      <c r="G279" s="354"/>
      <c r="H279" s="355" t="s">
        <v>395</v>
      </c>
      <c r="I279" s="448"/>
      <c r="J279" s="356"/>
      <c r="K279" s="274"/>
    </row>
    <row r="280" spans="2:11" x14ac:dyDescent="0.25">
      <c r="B280" s="353">
        <v>276</v>
      </c>
      <c r="C280" s="354"/>
      <c r="D280" s="354"/>
      <c r="E280" s="354"/>
      <c r="F280" s="354"/>
      <c r="G280" s="354"/>
      <c r="H280" s="355" t="s">
        <v>395</v>
      </c>
      <c r="I280" s="448"/>
      <c r="J280" s="356"/>
      <c r="K280" s="274"/>
    </row>
    <row r="281" spans="2:11" x14ac:dyDescent="0.25">
      <c r="B281" s="353">
        <v>277</v>
      </c>
      <c r="C281" s="354"/>
      <c r="D281" s="354"/>
      <c r="E281" s="354"/>
      <c r="F281" s="354"/>
      <c r="G281" s="354"/>
      <c r="H281" s="355" t="s">
        <v>395</v>
      </c>
      <c r="I281" s="448"/>
      <c r="J281" s="356"/>
      <c r="K281" s="274"/>
    </row>
    <row r="282" spans="2:11" x14ac:dyDescent="0.25">
      <c r="B282" s="353">
        <v>278</v>
      </c>
      <c r="C282" s="354"/>
      <c r="D282" s="354"/>
      <c r="E282" s="354"/>
      <c r="F282" s="354"/>
      <c r="G282" s="354"/>
      <c r="H282" s="355" t="s">
        <v>395</v>
      </c>
      <c r="I282" s="448"/>
      <c r="J282" s="356"/>
      <c r="K282" s="274"/>
    </row>
    <row r="283" spans="2:11" x14ac:dyDescent="0.25">
      <c r="B283" s="353">
        <v>279</v>
      </c>
      <c r="C283" s="354"/>
      <c r="D283" s="354"/>
      <c r="E283" s="354"/>
      <c r="F283" s="354"/>
      <c r="G283" s="354"/>
      <c r="H283" s="355" t="s">
        <v>395</v>
      </c>
      <c r="I283" s="448"/>
      <c r="J283" s="356"/>
      <c r="K283" s="274"/>
    </row>
    <row r="284" spans="2:11" x14ac:dyDescent="0.25">
      <c r="B284" s="353">
        <v>280</v>
      </c>
      <c r="C284" s="354"/>
      <c r="D284" s="354"/>
      <c r="E284" s="354"/>
      <c r="F284" s="354"/>
      <c r="G284" s="354"/>
      <c r="H284" s="355" t="s">
        <v>395</v>
      </c>
      <c r="I284" s="448"/>
      <c r="J284" s="356"/>
      <c r="K284" s="274"/>
    </row>
    <row r="285" spans="2:11" x14ac:dyDescent="0.25">
      <c r="B285" s="353">
        <v>281</v>
      </c>
      <c r="C285" s="354"/>
      <c r="D285" s="354"/>
      <c r="E285" s="354"/>
      <c r="F285" s="354"/>
      <c r="G285" s="354"/>
      <c r="H285" s="355" t="s">
        <v>395</v>
      </c>
      <c r="I285" s="448"/>
      <c r="J285" s="356"/>
      <c r="K285" s="274"/>
    </row>
    <row r="286" spans="2:11" x14ac:dyDescent="0.25">
      <c r="B286" s="353">
        <v>282</v>
      </c>
      <c r="C286" s="354"/>
      <c r="D286" s="354"/>
      <c r="E286" s="354"/>
      <c r="F286" s="354"/>
      <c r="G286" s="354"/>
      <c r="H286" s="355" t="s">
        <v>395</v>
      </c>
      <c r="I286" s="448"/>
      <c r="J286" s="356"/>
      <c r="K286" s="274"/>
    </row>
    <row r="287" spans="2:11" x14ac:dyDescent="0.25">
      <c r="B287" s="353">
        <v>283</v>
      </c>
      <c r="C287" s="354"/>
      <c r="D287" s="354"/>
      <c r="E287" s="354"/>
      <c r="F287" s="354"/>
      <c r="G287" s="354"/>
      <c r="H287" s="355" t="s">
        <v>395</v>
      </c>
      <c r="I287" s="448"/>
      <c r="J287" s="356"/>
      <c r="K287" s="274"/>
    </row>
    <row r="288" spans="2:11" x14ac:dyDescent="0.25">
      <c r="B288" s="353">
        <v>284</v>
      </c>
      <c r="C288" s="354"/>
      <c r="D288" s="354"/>
      <c r="E288" s="354"/>
      <c r="F288" s="354"/>
      <c r="G288" s="354"/>
      <c r="H288" s="355" t="s">
        <v>395</v>
      </c>
      <c r="I288" s="448"/>
      <c r="J288" s="356"/>
      <c r="K288" s="274"/>
    </row>
    <row r="289" spans="2:11" x14ac:dyDescent="0.25">
      <c r="B289" s="353">
        <v>285</v>
      </c>
      <c r="C289" s="354"/>
      <c r="D289" s="354"/>
      <c r="E289" s="354"/>
      <c r="F289" s="354"/>
      <c r="G289" s="354"/>
      <c r="H289" s="355" t="s">
        <v>395</v>
      </c>
      <c r="I289" s="448"/>
      <c r="J289" s="356"/>
      <c r="K289" s="274"/>
    </row>
    <row r="290" spans="2:11" x14ac:dyDescent="0.25">
      <c r="B290" s="353">
        <v>286</v>
      </c>
      <c r="C290" s="354"/>
      <c r="D290" s="354"/>
      <c r="E290" s="354"/>
      <c r="F290" s="354"/>
      <c r="G290" s="354"/>
      <c r="H290" s="355" t="s">
        <v>395</v>
      </c>
      <c r="I290" s="448"/>
      <c r="J290" s="356"/>
      <c r="K290" s="274"/>
    </row>
    <row r="291" spans="2:11" x14ac:dyDescent="0.25">
      <c r="B291" s="353">
        <v>287</v>
      </c>
      <c r="C291" s="354"/>
      <c r="D291" s="354"/>
      <c r="E291" s="354"/>
      <c r="F291" s="354"/>
      <c r="G291" s="354"/>
      <c r="H291" s="355" t="s">
        <v>395</v>
      </c>
      <c r="I291" s="448"/>
      <c r="J291" s="356"/>
      <c r="K291" s="274"/>
    </row>
    <row r="292" spans="2:11" x14ac:dyDescent="0.25">
      <c r="B292" s="353">
        <v>288</v>
      </c>
      <c r="C292" s="354"/>
      <c r="D292" s="354"/>
      <c r="E292" s="354"/>
      <c r="F292" s="354"/>
      <c r="G292" s="354"/>
      <c r="H292" s="355" t="s">
        <v>395</v>
      </c>
      <c r="I292" s="448"/>
      <c r="J292" s="356"/>
      <c r="K292" s="274"/>
    </row>
    <row r="293" spans="2:11" x14ac:dyDescent="0.25">
      <c r="B293" s="353">
        <v>289</v>
      </c>
      <c r="C293" s="354"/>
      <c r="D293" s="354"/>
      <c r="E293" s="354"/>
      <c r="F293" s="354"/>
      <c r="G293" s="354"/>
      <c r="H293" s="355" t="s">
        <v>395</v>
      </c>
      <c r="I293" s="448"/>
      <c r="J293" s="356"/>
      <c r="K293" s="274"/>
    </row>
    <row r="294" spans="2:11" x14ac:dyDescent="0.25">
      <c r="B294" s="353">
        <v>290</v>
      </c>
      <c r="C294" s="354"/>
      <c r="D294" s="354"/>
      <c r="E294" s="354"/>
      <c r="F294" s="354"/>
      <c r="G294" s="354"/>
      <c r="H294" s="355" t="s">
        <v>395</v>
      </c>
      <c r="I294" s="448"/>
      <c r="J294" s="356"/>
      <c r="K294" s="274"/>
    </row>
    <row r="295" spans="2:11" x14ac:dyDescent="0.25">
      <c r="B295" s="353">
        <v>291</v>
      </c>
      <c r="C295" s="354"/>
      <c r="D295" s="354"/>
      <c r="E295" s="354"/>
      <c r="F295" s="354"/>
      <c r="G295" s="354"/>
      <c r="H295" s="355" t="s">
        <v>395</v>
      </c>
      <c r="I295" s="448"/>
      <c r="J295" s="356"/>
      <c r="K295" s="274"/>
    </row>
    <row r="296" spans="2:11" x14ac:dyDescent="0.25">
      <c r="B296" s="353">
        <v>292</v>
      </c>
      <c r="C296" s="354"/>
      <c r="D296" s="354"/>
      <c r="E296" s="354"/>
      <c r="F296" s="354"/>
      <c r="G296" s="354"/>
      <c r="H296" s="355" t="s">
        <v>395</v>
      </c>
      <c r="I296" s="448"/>
      <c r="J296" s="356"/>
      <c r="K296" s="274"/>
    </row>
    <row r="297" spans="2:11" x14ac:dyDescent="0.25">
      <c r="B297" s="353">
        <v>293</v>
      </c>
      <c r="C297" s="354"/>
      <c r="D297" s="354"/>
      <c r="E297" s="354"/>
      <c r="F297" s="354"/>
      <c r="G297" s="354"/>
      <c r="H297" s="355" t="s">
        <v>395</v>
      </c>
      <c r="I297" s="448"/>
      <c r="J297" s="356"/>
      <c r="K297" s="274"/>
    </row>
    <row r="298" spans="2:11" x14ac:dyDescent="0.25">
      <c r="B298" s="353">
        <v>294</v>
      </c>
      <c r="C298" s="354"/>
      <c r="D298" s="354"/>
      <c r="E298" s="354"/>
      <c r="F298" s="354"/>
      <c r="G298" s="354"/>
      <c r="H298" s="355" t="s">
        <v>395</v>
      </c>
      <c r="I298" s="448"/>
      <c r="J298" s="356"/>
      <c r="K298" s="274"/>
    </row>
    <row r="299" spans="2:11" x14ac:dyDescent="0.25">
      <c r="B299" s="353">
        <v>295</v>
      </c>
      <c r="C299" s="354"/>
      <c r="D299" s="354"/>
      <c r="E299" s="354"/>
      <c r="F299" s="354"/>
      <c r="G299" s="354"/>
      <c r="H299" s="355" t="s">
        <v>395</v>
      </c>
      <c r="I299" s="448"/>
      <c r="J299" s="356"/>
      <c r="K299" s="274"/>
    </row>
    <row r="300" spans="2:11" x14ac:dyDescent="0.25">
      <c r="B300" s="353">
        <v>296</v>
      </c>
      <c r="C300" s="354"/>
      <c r="D300" s="354"/>
      <c r="E300" s="354"/>
      <c r="F300" s="354"/>
      <c r="G300" s="354"/>
      <c r="H300" s="355" t="s">
        <v>395</v>
      </c>
      <c r="I300" s="448"/>
      <c r="J300" s="356"/>
      <c r="K300" s="274"/>
    </row>
    <row r="301" spans="2:11" x14ac:dyDescent="0.25">
      <c r="B301" s="353">
        <v>297</v>
      </c>
      <c r="C301" s="354"/>
      <c r="D301" s="354"/>
      <c r="E301" s="354"/>
      <c r="F301" s="354"/>
      <c r="G301" s="354"/>
      <c r="H301" s="355" t="s">
        <v>395</v>
      </c>
      <c r="I301" s="448"/>
      <c r="J301" s="356"/>
      <c r="K301" s="274"/>
    </row>
    <row r="302" spans="2:11" x14ac:dyDescent="0.25">
      <c r="B302" s="353">
        <v>298</v>
      </c>
      <c r="C302" s="354"/>
      <c r="D302" s="354"/>
      <c r="E302" s="354"/>
      <c r="F302" s="354"/>
      <c r="G302" s="354"/>
      <c r="H302" s="355" t="s">
        <v>395</v>
      </c>
      <c r="I302" s="448"/>
      <c r="J302" s="356"/>
      <c r="K302" s="274"/>
    </row>
    <row r="303" spans="2:11" x14ac:dyDescent="0.25">
      <c r="B303" s="353">
        <v>299</v>
      </c>
      <c r="C303" s="354"/>
      <c r="D303" s="354"/>
      <c r="E303" s="354"/>
      <c r="F303" s="354"/>
      <c r="G303" s="354"/>
      <c r="H303" s="355" t="s">
        <v>395</v>
      </c>
      <c r="I303" s="448"/>
      <c r="J303" s="356"/>
      <c r="K303" s="274"/>
    </row>
    <row r="304" spans="2:11" x14ac:dyDescent="0.25">
      <c r="B304" s="353">
        <v>300</v>
      </c>
      <c r="C304" s="354"/>
      <c r="D304" s="354"/>
      <c r="E304" s="354"/>
      <c r="F304" s="354"/>
      <c r="G304" s="354"/>
      <c r="H304" s="355" t="s">
        <v>395</v>
      </c>
      <c r="I304" s="448"/>
      <c r="J304" s="356"/>
      <c r="K304" s="274"/>
    </row>
    <row r="305" spans="2:11" x14ac:dyDescent="0.25">
      <c r="B305" s="353">
        <v>301</v>
      </c>
      <c r="C305" s="354"/>
      <c r="D305" s="354"/>
      <c r="E305" s="354"/>
      <c r="F305" s="354"/>
      <c r="G305" s="354"/>
      <c r="H305" s="355" t="s">
        <v>395</v>
      </c>
      <c r="I305" s="448"/>
      <c r="J305" s="356"/>
      <c r="K305" s="274"/>
    </row>
    <row r="306" spans="2:11" x14ac:dyDescent="0.25">
      <c r="B306" s="353">
        <v>302</v>
      </c>
      <c r="C306" s="354"/>
      <c r="D306" s="354"/>
      <c r="E306" s="354"/>
      <c r="F306" s="354"/>
      <c r="G306" s="354"/>
      <c r="H306" s="355" t="s">
        <v>395</v>
      </c>
      <c r="I306" s="448"/>
      <c r="J306" s="356"/>
      <c r="K306" s="274"/>
    </row>
    <row r="307" spans="2:11" x14ac:dyDescent="0.25">
      <c r="B307" s="353">
        <v>303</v>
      </c>
      <c r="C307" s="354"/>
      <c r="D307" s="354"/>
      <c r="E307" s="354"/>
      <c r="F307" s="354"/>
      <c r="G307" s="354"/>
      <c r="H307" s="355" t="s">
        <v>395</v>
      </c>
      <c r="I307" s="448"/>
      <c r="J307" s="356"/>
      <c r="K307" s="274"/>
    </row>
    <row r="308" spans="2:11" x14ac:dyDescent="0.25">
      <c r="B308" s="353">
        <v>304</v>
      </c>
      <c r="C308" s="354"/>
      <c r="D308" s="354"/>
      <c r="E308" s="354"/>
      <c r="F308" s="354"/>
      <c r="G308" s="354"/>
      <c r="H308" s="355" t="s">
        <v>395</v>
      </c>
      <c r="I308" s="448"/>
      <c r="J308" s="356"/>
      <c r="K308" s="274"/>
    </row>
    <row r="309" spans="2:11" x14ac:dyDescent="0.25">
      <c r="B309" s="353">
        <v>305</v>
      </c>
      <c r="C309" s="354"/>
      <c r="D309" s="354"/>
      <c r="E309" s="354"/>
      <c r="F309" s="354"/>
      <c r="G309" s="354"/>
      <c r="H309" s="355" t="s">
        <v>395</v>
      </c>
      <c r="I309" s="448"/>
      <c r="J309" s="356"/>
      <c r="K309" s="274"/>
    </row>
    <row r="310" spans="2:11" x14ac:dyDescent="0.25">
      <c r="B310" s="353">
        <v>306</v>
      </c>
      <c r="C310" s="354"/>
      <c r="D310" s="354"/>
      <c r="E310" s="354"/>
      <c r="F310" s="354"/>
      <c r="G310" s="354"/>
      <c r="H310" s="355" t="s">
        <v>395</v>
      </c>
      <c r="I310" s="448"/>
      <c r="J310" s="356"/>
      <c r="K310" s="274"/>
    </row>
    <row r="311" spans="2:11" x14ac:dyDescent="0.25">
      <c r="B311" s="353">
        <v>307</v>
      </c>
      <c r="C311" s="354"/>
      <c r="D311" s="354"/>
      <c r="E311" s="354"/>
      <c r="F311" s="354"/>
      <c r="G311" s="354"/>
      <c r="H311" s="355" t="s">
        <v>395</v>
      </c>
      <c r="I311" s="448"/>
      <c r="J311" s="356"/>
      <c r="K311" s="274"/>
    </row>
    <row r="312" spans="2:11" x14ac:dyDescent="0.25">
      <c r="B312" s="353">
        <v>308</v>
      </c>
      <c r="C312" s="354"/>
      <c r="D312" s="354"/>
      <c r="E312" s="354"/>
      <c r="F312" s="354"/>
      <c r="G312" s="354"/>
      <c r="H312" s="355" t="s">
        <v>395</v>
      </c>
      <c r="I312" s="448"/>
      <c r="J312" s="356"/>
      <c r="K312" s="274"/>
    </row>
    <row r="313" spans="2:11" x14ac:dyDescent="0.25">
      <c r="B313" s="353">
        <v>309</v>
      </c>
      <c r="C313" s="354"/>
      <c r="D313" s="354"/>
      <c r="E313" s="354"/>
      <c r="F313" s="354"/>
      <c r="G313" s="354"/>
      <c r="H313" s="355" t="s">
        <v>395</v>
      </c>
      <c r="I313" s="448"/>
      <c r="J313" s="356"/>
      <c r="K313" s="274"/>
    </row>
    <row r="314" spans="2:11" x14ac:dyDescent="0.25">
      <c r="B314" s="353">
        <v>310</v>
      </c>
      <c r="C314" s="354"/>
      <c r="D314" s="354"/>
      <c r="E314" s="354"/>
      <c r="F314" s="354"/>
      <c r="G314" s="354"/>
      <c r="H314" s="355" t="s">
        <v>395</v>
      </c>
      <c r="I314" s="448"/>
      <c r="J314" s="356"/>
      <c r="K314" s="274"/>
    </row>
    <row r="315" spans="2:11" x14ac:dyDescent="0.25">
      <c r="B315" s="353">
        <v>311</v>
      </c>
      <c r="C315" s="354"/>
      <c r="D315" s="354"/>
      <c r="E315" s="354"/>
      <c r="F315" s="354"/>
      <c r="G315" s="354"/>
      <c r="H315" s="355" t="s">
        <v>395</v>
      </c>
      <c r="I315" s="448"/>
      <c r="J315" s="356"/>
      <c r="K315" s="274"/>
    </row>
    <row r="316" spans="2:11" x14ac:dyDescent="0.25">
      <c r="B316" s="353">
        <v>312</v>
      </c>
      <c r="C316" s="354"/>
      <c r="D316" s="354"/>
      <c r="E316" s="354"/>
      <c r="F316" s="354"/>
      <c r="G316" s="354"/>
      <c r="H316" s="355" t="s">
        <v>395</v>
      </c>
      <c r="I316" s="448"/>
      <c r="J316" s="356"/>
      <c r="K316" s="274"/>
    </row>
    <row r="317" spans="2:11" x14ac:dyDescent="0.25">
      <c r="B317" s="353">
        <v>313</v>
      </c>
      <c r="C317" s="354"/>
      <c r="D317" s="354"/>
      <c r="E317" s="354"/>
      <c r="F317" s="354"/>
      <c r="G317" s="354"/>
      <c r="H317" s="355" t="s">
        <v>395</v>
      </c>
      <c r="I317" s="448"/>
      <c r="J317" s="356"/>
      <c r="K317" s="274"/>
    </row>
    <row r="318" spans="2:11" x14ac:dyDescent="0.25">
      <c r="B318" s="353">
        <v>314</v>
      </c>
      <c r="C318" s="354"/>
      <c r="D318" s="354"/>
      <c r="E318" s="354"/>
      <c r="F318" s="354"/>
      <c r="G318" s="354"/>
      <c r="H318" s="355" t="s">
        <v>395</v>
      </c>
      <c r="I318" s="448"/>
      <c r="J318" s="356"/>
      <c r="K318" s="274"/>
    </row>
    <row r="319" spans="2:11" x14ac:dyDescent="0.25">
      <c r="B319" s="353">
        <v>315</v>
      </c>
      <c r="C319" s="354"/>
      <c r="D319" s="354"/>
      <c r="E319" s="354"/>
      <c r="F319" s="354"/>
      <c r="G319" s="354"/>
      <c r="H319" s="355" t="s">
        <v>395</v>
      </c>
      <c r="I319" s="448"/>
      <c r="J319" s="356"/>
      <c r="K319" s="274"/>
    </row>
    <row r="320" spans="2:11" x14ac:dyDescent="0.25">
      <c r="B320" s="353">
        <v>316</v>
      </c>
      <c r="C320" s="354"/>
      <c r="D320" s="354"/>
      <c r="E320" s="354"/>
      <c r="F320" s="354"/>
      <c r="G320" s="354"/>
      <c r="H320" s="355" t="s">
        <v>395</v>
      </c>
      <c r="I320" s="448"/>
      <c r="J320" s="356"/>
      <c r="K320" s="274"/>
    </row>
    <row r="321" spans="2:11" x14ac:dyDescent="0.25">
      <c r="B321" s="353">
        <v>317</v>
      </c>
      <c r="C321" s="354"/>
      <c r="D321" s="354"/>
      <c r="E321" s="354"/>
      <c r="F321" s="354"/>
      <c r="G321" s="354"/>
      <c r="H321" s="355" t="s">
        <v>395</v>
      </c>
      <c r="I321" s="448"/>
      <c r="J321" s="356"/>
      <c r="K321" s="274"/>
    </row>
    <row r="322" spans="2:11" x14ac:dyDescent="0.25">
      <c r="B322" s="353">
        <v>318</v>
      </c>
      <c r="C322" s="354"/>
      <c r="D322" s="354"/>
      <c r="E322" s="354"/>
      <c r="F322" s="354"/>
      <c r="G322" s="354"/>
      <c r="H322" s="355" t="s">
        <v>395</v>
      </c>
      <c r="I322" s="448"/>
      <c r="J322" s="356"/>
      <c r="K322" s="274"/>
    </row>
    <row r="323" spans="2:11" x14ac:dyDescent="0.25">
      <c r="B323" s="353">
        <v>319</v>
      </c>
      <c r="C323" s="354"/>
      <c r="D323" s="354"/>
      <c r="E323" s="354"/>
      <c r="F323" s="354"/>
      <c r="G323" s="354"/>
      <c r="H323" s="355" t="s">
        <v>395</v>
      </c>
      <c r="I323" s="448"/>
      <c r="J323" s="356"/>
      <c r="K323" s="274"/>
    </row>
    <row r="324" spans="2:11" x14ac:dyDescent="0.25">
      <c r="B324" s="353">
        <v>320</v>
      </c>
      <c r="C324" s="354"/>
      <c r="D324" s="354"/>
      <c r="E324" s="354"/>
      <c r="F324" s="354"/>
      <c r="G324" s="354"/>
      <c r="H324" s="355" t="s">
        <v>395</v>
      </c>
      <c r="I324" s="448"/>
      <c r="J324" s="356"/>
      <c r="K324" s="274"/>
    </row>
    <row r="325" spans="2:11" x14ac:dyDescent="0.25">
      <c r="B325" s="353">
        <v>321</v>
      </c>
      <c r="C325" s="354"/>
      <c r="D325" s="354"/>
      <c r="E325" s="354"/>
      <c r="F325" s="354"/>
      <c r="G325" s="354"/>
      <c r="H325" s="355" t="s">
        <v>395</v>
      </c>
      <c r="I325" s="448"/>
      <c r="J325" s="356"/>
      <c r="K325" s="274"/>
    </row>
    <row r="326" spans="2:11" x14ac:dyDescent="0.25">
      <c r="B326" s="353">
        <v>322</v>
      </c>
      <c r="C326" s="354"/>
      <c r="D326" s="354"/>
      <c r="E326" s="354"/>
      <c r="F326" s="354"/>
      <c r="G326" s="354"/>
      <c r="H326" s="355" t="s">
        <v>395</v>
      </c>
      <c r="I326" s="448"/>
      <c r="J326" s="356"/>
      <c r="K326" s="274"/>
    </row>
    <row r="327" spans="2:11" x14ac:dyDescent="0.25">
      <c r="B327" s="353">
        <v>323</v>
      </c>
      <c r="C327" s="354"/>
      <c r="D327" s="354"/>
      <c r="E327" s="354"/>
      <c r="F327" s="354"/>
      <c r="G327" s="354"/>
      <c r="H327" s="355" t="s">
        <v>395</v>
      </c>
      <c r="I327" s="448"/>
      <c r="J327" s="356"/>
      <c r="K327" s="274"/>
    </row>
    <row r="328" spans="2:11" x14ac:dyDescent="0.25">
      <c r="B328" s="353">
        <v>324</v>
      </c>
      <c r="C328" s="354"/>
      <c r="D328" s="354"/>
      <c r="E328" s="354"/>
      <c r="F328" s="354"/>
      <c r="G328" s="354"/>
      <c r="H328" s="355" t="s">
        <v>395</v>
      </c>
      <c r="I328" s="448"/>
      <c r="J328" s="356"/>
      <c r="K328" s="274"/>
    </row>
    <row r="329" spans="2:11" x14ac:dyDescent="0.25">
      <c r="B329" s="353">
        <v>325</v>
      </c>
      <c r="C329" s="354"/>
      <c r="D329" s="354"/>
      <c r="E329" s="354"/>
      <c r="F329" s="354"/>
      <c r="G329" s="354"/>
      <c r="H329" s="355" t="s">
        <v>395</v>
      </c>
      <c r="I329" s="448"/>
      <c r="J329" s="356"/>
      <c r="K329" s="274"/>
    </row>
    <row r="330" spans="2:11" x14ac:dyDescent="0.25">
      <c r="B330" s="353">
        <v>326</v>
      </c>
      <c r="C330" s="354"/>
      <c r="D330" s="354"/>
      <c r="E330" s="354"/>
      <c r="F330" s="354"/>
      <c r="G330" s="354"/>
      <c r="H330" s="355" t="s">
        <v>395</v>
      </c>
      <c r="I330" s="448"/>
      <c r="J330" s="356"/>
      <c r="K330" s="274"/>
    </row>
    <row r="331" spans="2:11" x14ac:dyDescent="0.25">
      <c r="B331" s="353">
        <v>327</v>
      </c>
      <c r="C331" s="354"/>
      <c r="D331" s="354"/>
      <c r="E331" s="354"/>
      <c r="F331" s="354"/>
      <c r="G331" s="354"/>
      <c r="H331" s="355" t="s">
        <v>395</v>
      </c>
      <c r="I331" s="448"/>
      <c r="J331" s="356"/>
      <c r="K331" s="274"/>
    </row>
    <row r="332" spans="2:11" x14ac:dyDescent="0.25">
      <c r="B332" s="353">
        <v>328</v>
      </c>
      <c r="C332" s="354"/>
      <c r="D332" s="354"/>
      <c r="E332" s="354"/>
      <c r="F332" s="354"/>
      <c r="G332" s="354"/>
      <c r="H332" s="355" t="s">
        <v>395</v>
      </c>
      <c r="I332" s="448"/>
      <c r="J332" s="356"/>
      <c r="K332" s="274"/>
    </row>
    <row r="333" spans="2:11" x14ac:dyDescent="0.25">
      <c r="B333" s="353">
        <v>329</v>
      </c>
      <c r="C333" s="354"/>
      <c r="D333" s="354"/>
      <c r="E333" s="354"/>
      <c r="F333" s="354"/>
      <c r="G333" s="354"/>
      <c r="H333" s="355" t="s">
        <v>395</v>
      </c>
      <c r="I333" s="448"/>
      <c r="J333" s="356"/>
      <c r="K333" s="274"/>
    </row>
    <row r="334" spans="2:11" x14ac:dyDescent="0.25">
      <c r="B334" s="353">
        <v>330</v>
      </c>
      <c r="C334" s="354"/>
      <c r="D334" s="354"/>
      <c r="E334" s="354"/>
      <c r="F334" s="354"/>
      <c r="G334" s="354"/>
      <c r="H334" s="355" t="s">
        <v>395</v>
      </c>
      <c r="I334" s="448"/>
      <c r="J334" s="356"/>
      <c r="K334" s="274"/>
    </row>
    <row r="335" spans="2:11" x14ac:dyDescent="0.25">
      <c r="B335" s="353">
        <v>331</v>
      </c>
      <c r="C335" s="354"/>
      <c r="D335" s="354"/>
      <c r="E335" s="354"/>
      <c r="F335" s="354"/>
      <c r="G335" s="354"/>
      <c r="H335" s="355" t="s">
        <v>395</v>
      </c>
      <c r="I335" s="448"/>
      <c r="J335" s="356"/>
      <c r="K335" s="274"/>
    </row>
    <row r="336" spans="2:11" x14ac:dyDescent="0.25">
      <c r="B336" s="353">
        <v>332</v>
      </c>
      <c r="C336" s="354"/>
      <c r="D336" s="354"/>
      <c r="E336" s="354"/>
      <c r="F336" s="354"/>
      <c r="G336" s="354"/>
      <c r="H336" s="355" t="s">
        <v>395</v>
      </c>
      <c r="I336" s="448"/>
      <c r="J336" s="356"/>
      <c r="K336" s="274"/>
    </row>
    <row r="337" spans="2:11" x14ac:dyDescent="0.25">
      <c r="B337" s="353">
        <v>333</v>
      </c>
      <c r="C337" s="354"/>
      <c r="D337" s="354"/>
      <c r="E337" s="354"/>
      <c r="F337" s="354"/>
      <c r="G337" s="354"/>
      <c r="H337" s="355" t="s">
        <v>395</v>
      </c>
      <c r="I337" s="448"/>
      <c r="J337" s="356"/>
      <c r="K337" s="274"/>
    </row>
    <row r="338" spans="2:11" x14ac:dyDescent="0.25">
      <c r="B338" s="353">
        <v>334</v>
      </c>
      <c r="C338" s="354"/>
      <c r="D338" s="354"/>
      <c r="E338" s="354"/>
      <c r="F338" s="354"/>
      <c r="G338" s="354"/>
      <c r="H338" s="355" t="s">
        <v>395</v>
      </c>
      <c r="I338" s="448"/>
      <c r="J338" s="356"/>
      <c r="K338" s="274"/>
    </row>
    <row r="339" spans="2:11" x14ac:dyDescent="0.25">
      <c r="B339" s="353">
        <v>335</v>
      </c>
      <c r="C339" s="354"/>
      <c r="D339" s="354"/>
      <c r="E339" s="354"/>
      <c r="F339" s="354"/>
      <c r="G339" s="354"/>
      <c r="H339" s="355" t="s">
        <v>395</v>
      </c>
      <c r="I339" s="448"/>
      <c r="J339" s="356"/>
      <c r="K339" s="274"/>
    </row>
    <row r="340" spans="2:11" x14ac:dyDescent="0.25">
      <c r="B340" s="353">
        <v>336</v>
      </c>
      <c r="C340" s="354"/>
      <c r="D340" s="354"/>
      <c r="E340" s="354"/>
      <c r="F340" s="354"/>
      <c r="G340" s="354"/>
      <c r="H340" s="355" t="s">
        <v>395</v>
      </c>
      <c r="I340" s="448"/>
      <c r="J340" s="356"/>
      <c r="K340" s="274"/>
    </row>
    <row r="341" spans="2:11" x14ac:dyDescent="0.25">
      <c r="B341" s="353">
        <v>337</v>
      </c>
      <c r="C341" s="354"/>
      <c r="D341" s="354"/>
      <c r="E341" s="354"/>
      <c r="F341" s="354"/>
      <c r="G341" s="354"/>
      <c r="H341" s="355" t="s">
        <v>395</v>
      </c>
      <c r="I341" s="448"/>
      <c r="J341" s="356"/>
      <c r="K341" s="274"/>
    </row>
    <row r="342" spans="2:11" x14ac:dyDescent="0.25">
      <c r="B342" s="353">
        <v>338</v>
      </c>
      <c r="C342" s="354"/>
      <c r="D342" s="354"/>
      <c r="E342" s="354"/>
      <c r="F342" s="354"/>
      <c r="G342" s="354"/>
      <c r="H342" s="355" t="s">
        <v>395</v>
      </c>
      <c r="I342" s="448"/>
      <c r="J342" s="356"/>
      <c r="K342" s="274"/>
    </row>
    <row r="343" spans="2:11" x14ac:dyDescent="0.25">
      <c r="B343" s="353">
        <v>339</v>
      </c>
      <c r="C343" s="354"/>
      <c r="D343" s="354"/>
      <c r="E343" s="354"/>
      <c r="F343" s="354"/>
      <c r="G343" s="354"/>
      <c r="H343" s="355" t="s">
        <v>395</v>
      </c>
      <c r="I343" s="448"/>
      <c r="J343" s="356"/>
      <c r="K343" s="274"/>
    </row>
    <row r="344" spans="2:11" x14ac:dyDescent="0.25">
      <c r="B344" s="353">
        <v>340</v>
      </c>
      <c r="C344" s="354"/>
      <c r="D344" s="354"/>
      <c r="E344" s="354"/>
      <c r="F344" s="354"/>
      <c r="G344" s="354"/>
      <c r="H344" s="355" t="s">
        <v>395</v>
      </c>
      <c r="I344" s="448"/>
      <c r="J344" s="356"/>
      <c r="K344" s="274"/>
    </row>
    <row r="345" spans="2:11" x14ac:dyDescent="0.25">
      <c r="B345" s="353">
        <v>341</v>
      </c>
      <c r="C345" s="354"/>
      <c r="D345" s="354"/>
      <c r="E345" s="354"/>
      <c r="F345" s="354"/>
      <c r="G345" s="354"/>
      <c r="H345" s="355" t="s">
        <v>395</v>
      </c>
      <c r="I345" s="448"/>
      <c r="J345" s="356"/>
      <c r="K345" s="274"/>
    </row>
    <row r="346" spans="2:11" x14ac:dyDescent="0.25">
      <c r="B346" s="353">
        <v>342</v>
      </c>
      <c r="C346" s="354"/>
      <c r="D346" s="354"/>
      <c r="E346" s="354"/>
      <c r="F346" s="354"/>
      <c r="G346" s="354"/>
      <c r="H346" s="355" t="s">
        <v>395</v>
      </c>
      <c r="I346" s="448"/>
      <c r="J346" s="356"/>
      <c r="K346" s="274"/>
    </row>
    <row r="347" spans="2:11" x14ac:dyDescent="0.25">
      <c r="B347" s="353">
        <v>343</v>
      </c>
      <c r="C347" s="354"/>
      <c r="D347" s="354"/>
      <c r="E347" s="354"/>
      <c r="F347" s="354"/>
      <c r="G347" s="354"/>
      <c r="H347" s="355" t="s">
        <v>395</v>
      </c>
      <c r="I347" s="448"/>
      <c r="J347" s="356"/>
      <c r="K347" s="274"/>
    </row>
    <row r="348" spans="2:11" x14ac:dyDescent="0.25">
      <c r="B348" s="353">
        <v>344</v>
      </c>
      <c r="C348" s="354"/>
      <c r="D348" s="354"/>
      <c r="E348" s="354"/>
      <c r="F348" s="354"/>
      <c r="G348" s="354"/>
      <c r="H348" s="355" t="s">
        <v>395</v>
      </c>
      <c r="I348" s="448"/>
      <c r="J348" s="356"/>
      <c r="K348" s="274"/>
    </row>
    <row r="349" spans="2:11" x14ac:dyDescent="0.25">
      <c r="B349" s="353">
        <v>345</v>
      </c>
      <c r="C349" s="354"/>
      <c r="D349" s="354"/>
      <c r="E349" s="354"/>
      <c r="F349" s="354"/>
      <c r="G349" s="354"/>
      <c r="H349" s="355" t="s">
        <v>395</v>
      </c>
      <c r="I349" s="448"/>
      <c r="J349" s="356"/>
      <c r="K349" s="274"/>
    </row>
    <row r="350" spans="2:11" x14ac:dyDescent="0.25">
      <c r="B350" s="353">
        <v>346</v>
      </c>
      <c r="C350" s="354"/>
      <c r="D350" s="354"/>
      <c r="E350" s="354"/>
      <c r="F350" s="354"/>
      <c r="G350" s="354"/>
      <c r="H350" s="355" t="s">
        <v>395</v>
      </c>
      <c r="I350" s="448"/>
      <c r="J350" s="356"/>
      <c r="K350" s="274"/>
    </row>
    <row r="351" spans="2:11" x14ac:dyDescent="0.25">
      <c r="B351" s="353">
        <v>347</v>
      </c>
      <c r="C351" s="354"/>
      <c r="D351" s="354"/>
      <c r="E351" s="354"/>
      <c r="F351" s="354"/>
      <c r="G351" s="354"/>
      <c r="H351" s="355" t="s">
        <v>395</v>
      </c>
      <c r="I351" s="448"/>
      <c r="J351" s="356"/>
      <c r="K351" s="274"/>
    </row>
    <row r="352" spans="2:11" x14ac:dyDescent="0.25">
      <c r="B352" s="353">
        <v>348</v>
      </c>
      <c r="C352" s="354"/>
      <c r="D352" s="354"/>
      <c r="E352" s="354"/>
      <c r="F352" s="354"/>
      <c r="G352" s="354"/>
      <c r="H352" s="355" t="s">
        <v>395</v>
      </c>
      <c r="I352" s="448"/>
      <c r="J352" s="356"/>
      <c r="K352" s="274"/>
    </row>
    <row r="353" spans="2:11" x14ac:dyDescent="0.25">
      <c r="B353" s="353">
        <v>349</v>
      </c>
      <c r="C353" s="354"/>
      <c r="D353" s="354"/>
      <c r="E353" s="354"/>
      <c r="F353" s="354"/>
      <c r="G353" s="354"/>
      <c r="H353" s="355" t="s">
        <v>395</v>
      </c>
      <c r="I353" s="448"/>
      <c r="J353" s="356"/>
      <c r="K353" s="274"/>
    </row>
    <row r="354" spans="2:11" x14ac:dyDescent="0.25">
      <c r="B354" s="353">
        <v>350</v>
      </c>
      <c r="C354" s="354"/>
      <c r="D354" s="354"/>
      <c r="E354" s="354"/>
      <c r="F354" s="354"/>
      <c r="G354" s="354"/>
      <c r="H354" s="355" t="s">
        <v>395</v>
      </c>
      <c r="I354" s="448"/>
      <c r="J354" s="356"/>
      <c r="K354" s="274"/>
    </row>
    <row r="355" spans="2:11" x14ac:dyDescent="0.25">
      <c r="B355" s="353">
        <v>351</v>
      </c>
      <c r="C355" s="354"/>
      <c r="D355" s="354"/>
      <c r="E355" s="354"/>
      <c r="F355" s="354"/>
      <c r="G355" s="354"/>
      <c r="H355" s="355" t="s">
        <v>395</v>
      </c>
      <c r="I355" s="448"/>
      <c r="J355" s="356"/>
      <c r="K355" s="274"/>
    </row>
    <row r="356" spans="2:11" x14ac:dyDescent="0.25">
      <c r="B356" s="353">
        <v>352</v>
      </c>
      <c r="C356" s="354"/>
      <c r="D356" s="354"/>
      <c r="E356" s="354"/>
      <c r="F356" s="354"/>
      <c r="G356" s="354"/>
      <c r="H356" s="355" t="s">
        <v>395</v>
      </c>
      <c r="I356" s="448"/>
      <c r="J356" s="356"/>
      <c r="K356" s="274"/>
    </row>
    <row r="357" spans="2:11" x14ac:dyDescent="0.25">
      <c r="B357" s="353">
        <v>353</v>
      </c>
      <c r="C357" s="354"/>
      <c r="D357" s="354"/>
      <c r="E357" s="354"/>
      <c r="F357" s="354"/>
      <c r="G357" s="354"/>
      <c r="H357" s="355" t="s">
        <v>395</v>
      </c>
      <c r="I357" s="448"/>
      <c r="J357" s="356"/>
      <c r="K357" s="274"/>
    </row>
    <row r="358" spans="2:11" x14ac:dyDescent="0.25">
      <c r="B358" s="353">
        <v>354</v>
      </c>
      <c r="C358" s="354"/>
      <c r="D358" s="354"/>
      <c r="E358" s="354"/>
      <c r="F358" s="354"/>
      <c r="G358" s="354"/>
      <c r="H358" s="355" t="s">
        <v>395</v>
      </c>
      <c r="I358" s="448"/>
      <c r="J358" s="356"/>
      <c r="K358" s="274"/>
    </row>
    <row r="359" spans="2:11" x14ac:dyDescent="0.25">
      <c r="B359" s="353">
        <v>355</v>
      </c>
      <c r="C359" s="354"/>
      <c r="D359" s="354"/>
      <c r="E359" s="354"/>
      <c r="F359" s="354"/>
      <c r="G359" s="354"/>
      <c r="H359" s="355" t="s">
        <v>395</v>
      </c>
      <c r="I359" s="448"/>
      <c r="J359" s="356"/>
      <c r="K359" s="274"/>
    </row>
    <row r="360" spans="2:11" x14ac:dyDescent="0.25">
      <c r="B360" s="353">
        <v>356</v>
      </c>
      <c r="C360" s="354"/>
      <c r="D360" s="354"/>
      <c r="E360" s="354"/>
      <c r="F360" s="354"/>
      <c r="G360" s="354"/>
      <c r="H360" s="355" t="s">
        <v>395</v>
      </c>
      <c r="I360" s="448"/>
      <c r="J360" s="356"/>
      <c r="K360" s="274"/>
    </row>
    <row r="361" spans="2:11" x14ac:dyDescent="0.25">
      <c r="B361" s="353">
        <v>357</v>
      </c>
      <c r="C361" s="354"/>
      <c r="D361" s="354"/>
      <c r="E361" s="354"/>
      <c r="F361" s="354"/>
      <c r="G361" s="354"/>
      <c r="H361" s="355" t="s">
        <v>395</v>
      </c>
      <c r="I361" s="448"/>
      <c r="J361" s="356"/>
      <c r="K361" s="274"/>
    </row>
    <row r="362" spans="2:11" x14ac:dyDescent="0.25">
      <c r="B362" s="353">
        <v>358</v>
      </c>
      <c r="C362" s="354"/>
      <c r="D362" s="354"/>
      <c r="E362" s="354"/>
      <c r="F362" s="354"/>
      <c r="G362" s="354"/>
      <c r="H362" s="355" t="s">
        <v>395</v>
      </c>
      <c r="I362" s="448"/>
      <c r="J362" s="356"/>
      <c r="K362" s="274"/>
    </row>
    <row r="363" spans="2:11" x14ac:dyDescent="0.25">
      <c r="B363" s="353">
        <v>359</v>
      </c>
      <c r="C363" s="354"/>
      <c r="D363" s="354"/>
      <c r="E363" s="354"/>
      <c r="F363" s="354"/>
      <c r="G363" s="354"/>
      <c r="H363" s="355" t="s">
        <v>395</v>
      </c>
      <c r="I363" s="448"/>
      <c r="J363" s="356"/>
      <c r="K363" s="274"/>
    </row>
    <row r="364" spans="2:11" x14ac:dyDescent="0.25">
      <c r="B364" s="353">
        <v>360</v>
      </c>
      <c r="C364" s="354"/>
      <c r="D364" s="354"/>
      <c r="E364" s="354"/>
      <c r="F364" s="354"/>
      <c r="G364" s="354"/>
      <c r="H364" s="355" t="s">
        <v>395</v>
      </c>
      <c r="I364" s="448"/>
      <c r="J364" s="356"/>
      <c r="K364" s="274"/>
    </row>
    <row r="365" spans="2:11" x14ac:dyDescent="0.25">
      <c r="B365" s="353">
        <v>361</v>
      </c>
      <c r="C365" s="354"/>
      <c r="D365" s="354"/>
      <c r="E365" s="354"/>
      <c r="F365" s="354"/>
      <c r="G365" s="354"/>
      <c r="H365" s="355" t="s">
        <v>395</v>
      </c>
      <c r="I365" s="448"/>
      <c r="J365" s="356"/>
      <c r="K365" s="274"/>
    </row>
    <row r="366" spans="2:11" x14ac:dyDescent="0.25">
      <c r="B366" s="353">
        <v>362</v>
      </c>
      <c r="C366" s="354"/>
      <c r="D366" s="354"/>
      <c r="E366" s="354"/>
      <c r="F366" s="354"/>
      <c r="G366" s="354"/>
      <c r="H366" s="355" t="s">
        <v>395</v>
      </c>
      <c r="I366" s="448"/>
      <c r="J366" s="356"/>
      <c r="K366" s="274"/>
    </row>
    <row r="367" spans="2:11" x14ac:dyDescent="0.25">
      <c r="B367" s="353">
        <v>363</v>
      </c>
      <c r="C367" s="354"/>
      <c r="D367" s="354"/>
      <c r="E367" s="354"/>
      <c r="F367" s="354"/>
      <c r="G367" s="354"/>
      <c r="H367" s="355" t="s">
        <v>395</v>
      </c>
      <c r="I367" s="448"/>
      <c r="J367" s="356"/>
      <c r="K367" s="274"/>
    </row>
    <row r="368" spans="2:11" x14ac:dyDescent="0.25">
      <c r="B368" s="353">
        <v>364</v>
      </c>
      <c r="C368" s="354"/>
      <c r="D368" s="354"/>
      <c r="E368" s="354"/>
      <c r="F368" s="354"/>
      <c r="G368" s="354"/>
      <c r="H368" s="355" t="s">
        <v>395</v>
      </c>
      <c r="I368" s="448"/>
      <c r="J368" s="356"/>
      <c r="K368" s="274"/>
    </row>
    <row r="369" spans="2:11" x14ac:dyDescent="0.25">
      <c r="B369" s="353">
        <v>365</v>
      </c>
      <c r="C369" s="354"/>
      <c r="D369" s="354"/>
      <c r="E369" s="354"/>
      <c r="F369" s="354"/>
      <c r="G369" s="354"/>
      <c r="H369" s="355" t="s">
        <v>395</v>
      </c>
      <c r="I369" s="448"/>
      <c r="J369" s="356"/>
      <c r="K369" s="274"/>
    </row>
    <row r="370" spans="2:11" x14ac:dyDescent="0.25">
      <c r="B370" s="353">
        <v>366</v>
      </c>
      <c r="C370" s="354"/>
      <c r="D370" s="354"/>
      <c r="E370" s="354"/>
      <c r="F370" s="354"/>
      <c r="G370" s="354"/>
      <c r="H370" s="355" t="s">
        <v>395</v>
      </c>
      <c r="I370" s="448"/>
      <c r="J370" s="356"/>
      <c r="K370" s="274"/>
    </row>
    <row r="371" spans="2:11" x14ac:dyDescent="0.25">
      <c r="B371" s="353">
        <v>367</v>
      </c>
      <c r="C371" s="354"/>
      <c r="D371" s="354"/>
      <c r="E371" s="354"/>
      <c r="F371" s="354"/>
      <c r="G371" s="354"/>
      <c r="H371" s="355" t="s">
        <v>395</v>
      </c>
      <c r="I371" s="448"/>
      <c r="J371" s="356"/>
      <c r="K371" s="274"/>
    </row>
    <row r="372" spans="2:11" x14ac:dyDescent="0.25">
      <c r="B372" s="353">
        <v>368</v>
      </c>
      <c r="C372" s="354"/>
      <c r="D372" s="354"/>
      <c r="E372" s="354"/>
      <c r="F372" s="354"/>
      <c r="G372" s="354"/>
      <c r="H372" s="355" t="s">
        <v>395</v>
      </c>
      <c r="I372" s="448"/>
      <c r="J372" s="356"/>
      <c r="K372" s="274"/>
    </row>
    <row r="373" spans="2:11" x14ac:dyDescent="0.25">
      <c r="B373" s="353">
        <v>369</v>
      </c>
      <c r="C373" s="354"/>
      <c r="D373" s="354"/>
      <c r="E373" s="354"/>
      <c r="F373" s="354"/>
      <c r="G373" s="354"/>
      <c r="H373" s="355" t="s">
        <v>395</v>
      </c>
      <c r="I373" s="448"/>
      <c r="J373" s="356"/>
      <c r="K373" s="274"/>
    </row>
    <row r="374" spans="2:11" x14ac:dyDescent="0.25">
      <c r="B374" s="353">
        <v>370</v>
      </c>
      <c r="C374" s="354"/>
      <c r="D374" s="354"/>
      <c r="E374" s="354"/>
      <c r="F374" s="354"/>
      <c r="G374" s="354"/>
      <c r="H374" s="355" t="s">
        <v>395</v>
      </c>
      <c r="I374" s="448"/>
      <c r="J374" s="356"/>
      <c r="K374" s="274"/>
    </row>
    <row r="375" spans="2:11" x14ac:dyDescent="0.25">
      <c r="B375" s="353">
        <v>371</v>
      </c>
      <c r="C375" s="354"/>
      <c r="D375" s="354"/>
      <c r="E375" s="354"/>
      <c r="F375" s="354"/>
      <c r="G375" s="354"/>
      <c r="H375" s="355" t="s">
        <v>395</v>
      </c>
      <c r="I375" s="448"/>
      <c r="J375" s="356"/>
      <c r="K375" s="274"/>
    </row>
    <row r="376" spans="2:11" x14ac:dyDescent="0.25">
      <c r="B376" s="353">
        <v>372</v>
      </c>
      <c r="C376" s="354"/>
      <c r="D376" s="354"/>
      <c r="E376" s="354"/>
      <c r="F376" s="354"/>
      <c r="G376" s="354"/>
      <c r="H376" s="355" t="s">
        <v>395</v>
      </c>
      <c r="I376" s="448"/>
      <c r="J376" s="356"/>
      <c r="K376" s="274"/>
    </row>
    <row r="377" spans="2:11" x14ac:dyDescent="0.25">
      <c r="B377" s="353">
        <v>373</v>
      </c>
      <c r="C377" s="354"/>
      <c r="D377" s="354"/>
      <c r="E377" s="354"/>
      <c r="F377" s="354"/>
      <c r="G377" s="354"/>
      <c r="H377" s="355" t="s">
        <v>395</v>
      </c>
      <c r="I377" s="448"/>
      <c r="J377" s="356"/>
      <c r="K377" s="274"/>
    </row>
    <row r="378" spans="2:11" x14ac:dyDescent="0.25">
      <c r="B378" s="353">
        <v>374</v>
      </c>
      <c r="C378" s="354"/>
      <c r="D378" s="354"/>
      <c r="E378" s="354"/>
      <c r="F378" s="354"/>
      <c r="G378" s="354"/>
      <c r="H378" s="355" t="s">
        <v>395</v>
      </c>
      <c r="I378" s="448"/>
      <c r="J378" s="356"/>
      <c r="K378" s="274"/>
    </row>
    <row r="379" spans="2:11" x14ac:dyDescent="0.25">
      <c r="B379" s="353">
        <v>375</v>
      </c>
      <c r="C379" s="354"/>
      <c r="D379" s="354"/>
      <c r="E379" s="354"/>
      <c r="F379" s="354"/>
      <c r="G379" s="354"/>
      <c r="H379" s="355" t="s">
        <v>395</v>
      </c>
      <c r="I379" s="448"/>
      <c r="J379" s="356"/>
      <c r="K379" s="274"/>
    </row>
    <row r="380" spans="2:11" x14ac:dyDescent="0.25">
      <c r="B380" s="353">
        <v>376</v>
      </c>
      <c r="C380" s="354"/>
      <c r="D380" s="354"/>
      <c r="E380" s="354"/>
      <c r="F380" s="354"/>
      <c r="G380" s="354"/>
      <c r="H380" s="355" t="s">
        <v>395</v>
      </c>
      <c r="I380" s="448"/>
      <c r="J380" s="356"/>
      <c r="K380" s="274"/>
    </row>
    <row r="381" spans="2:11" x14ac:dyDescent="0.25">
      <c r="B381" s="353">
        <v>377</v>
      </c>
      <c r="C381" s="354"/>
      <c r="D381" s="354"/>
      <c r="E381" s="354"/>
      <c r="F381" s="354"/>
      <c r="G381" s="354"/>
      <c r="H381" s="355" t="s">
        <v>395</v>
      </c>
      <c r="I381" s="448"/>
      <c r="J381" s="356"/>
      <c r="K381" s="274"/>
    </row>
    <row r="382" spans="2:11" x14ac:dyDescent="0.25">
      <c r="B382" s="353">
        <v>378</v>
      </c>
      <c r="C382" s="354"/>
      <c r="D382" s="354"/>
      <c r="E382" s="354"/>
      <c r="F382" s="354"/>
      <c r="G382" s="354"/>
      <c r="H382" s="355" t="s">
        <v>395</v>
      </c>
      <c r="I382" s="448"/>
      <c r="J382" s="356"/>
      <c r="K382" s="274"/>
    </row>
    <row r="383" spans="2:11" x14ac:dyDescent="0.25">
      <c r="B383" s="353">
        <v>379</v>
      </c>
      <c r="C383" s="354"/>
      <c r="D383" s="354"/>
      <c r="E383" s="354"/>
      <c r="F383" s="354"/>
      <c r="G383" s="354"/>
      <c r="H383" s="355" t="s">
        <v>395</v>
      </c>
      <c r="I383" s="448"/>
      <c r="J383" s="356"/>
      <c r="K383" s="274"/>
    </row>
    <row r="384" spans="2:11" x14ac:dyDescent="0.25">
      <c r="B384" s="353">
        <v>380</v>
      </c>
      <c r="C384" s="354"/>
      <c r="D384" s="354"/>
      <c r="E384" s="354"/>
      <c r="F384" s="354"/>
      <c r="G384" s="354"/>
      <c r="H384" s="355" t="s">
        <v>395</v>
      </c>
      <c r="I384" s="448"/>
      <c r="J384" s="356"/>
      <c r="K384" s="274"/>
    </row>
    <row r="385" spans="2:11" x14ac:dyDescent="0.25">
      <c r="B385" s="353">
        <v>381</v>
      </c>
      <c r="C385" s="354"/>
      <c r="D385" s="354"/>
      <c r="E385" s="354"/>
      <c r="F385" s="354"/>
      <c r="G385" s="354"/>
      <c r="H385" s="355" t="s">
        <v>395</v>
      </c>
      <c r="I385" s="448"/>
      <c r="J385" s="356"/>
      <c r="K385" s="274"/>
    </row>
    <row r="386" spans="2:11" x14ac:dyDescent="0.25">
      <c r="B386" s="353">
        <v>382</v>
      </c>
      <c r="C386" s="354"/>
      <c r="D386" s="354"/>
      <c r="E386" s="354"/>
      <c r="F386" s="354"/>
      <c r="G386" s="354"/>
      <c r="H386" s="355" t="s">
        <v>395</v>
      </c>
      <c r="I386" s="448"/>
      <c r="J386" s="356"/>
      <c r="K386" s="274"/>
    </row>
    <row r="387" spans="2:11" x14ac:dyDescent="0.25">
      <c r="B387" s="353">
        <v>383</v>
      </c>
      <c r="C387" s="354"/>
      <c r="D387" s="354"/>
      <c r="E387" s="354"/>
      <c r="F387" s="354"/>
      <c r="G387" s="354"/>
      <c r="H387" s="355" t="s">
        <v>395</v>
      </c>
      <c r="I387" s="448"/>
      <c r="J387" s="356"/>
      <c r="K387" s="274"/>
    </row>
    <row r="388" spans="2:11" x14ac:dyDescent="0.25">
      <c r="B388" s="353">
        <v>384</v>
      </c>
      <c r="C388" s="354"/>
      <c r="D388" s="354"/>
      <c r="E388" s="354"/>
      <c r="F388" s="354"/>
      <c r="G388" s="354"/>
      <c r="H388" s="355" t="s">
        <v>395</v>
      </c>
      <c r="I388" s="448"/>
      <c r="J388" s="356"/>
      <c r="K388" s="274"/>
    </row>
    <row r="389" spans="2:11" x14ac:dyDescent="0.25">
      <c r="B389" s="353">
        <v>385</v>
      </c>
      <c r="C389" s="354"/>
      <c r="D389" s="354"/>
      <c r="E389" s="354"/>
      <c r="F389" s="354"/>
      <c r="G389" s="354"/>
      <c r="H389" s="355" t="s">
        <v>395</v>
      </c>
      <c r="I389" s="448"/>
      <c r="J389" s="356"/>
      <c r="K389" s="274"/>
    </row>
    <row r="390" spans="2:11" x14ac:dyDescent="0.25">
      <c r="B390" s="353">
        <v>386</v>
      </c>
      <c r="C390" s="354"/>
      <c r="D390" s="354"/>
      <c r="E390" s="354"/>
      <c r="F390" s="354"/>
      <c r="G390" s="354"/>
      <c r="H390" s="355" t="s">
        <v>395</v>
      </c>
      <c r="I390" s="448"/>
      <c r="J390" s="356"/>
      <c r="K390" s="274"/>
    </row>
    <row r="391" spans="2:11" x14ac:dyDescent="0.25">
      <c r="B391" s="353">
        <v>387</v>
      </c>
      <c r="C391" s="354"/>
      <c r="D391" s="354"/>
      <c r="E391" s="354"/>
      <c r="F391" s="354"/>
      <c r="G391" s="354"/>
      <c r="H391" s="355" t="s">
        <v>395</v>
      </c>
      <c r="I391" s="448"/>
      <c r="J391" s="356"/>
      <c r="K391" s="274"/>
    </row>
    <row r="392" spans="2:11" x14ac:dyDescent="0.25">
      <c r="B392" s="353">
        <v>388</v>
      </c>
      <c r="C392" s="354"/>
      <c r="D392" s="354"/>
      <c r="E392" s="354"/>
      <c r="F392" s="354"/>
      <c r="G392" s="354"/>
      <c r="H392" s="355" t="s">
        <v>395</v>
      </c>
      <c r="I392" s="448"/>
      <c r="J392" s="356"/>
      <c r="K392" s="274"/>
    </row>
    <row r="393" spans="2:11" x14ac:dyDescent="0.25">
      <c r="B393" s="353">
        <v>389</v>
      </c>
      <c r="C393" s="354"/>
      <c r="D393" s="354"/>
      <c r="E393" s="354"/>
      <c r="F393" s="354"/>
      <c r="G393" s="354"/>
      <c r="H393" s="355" t="s">
        <v>395</v>
      </c>
      <c r="I393" s="448"/>
      <c r="J393" s="356"/>
      <c r="K393" s="274"/>
    </row>
    <row r="394" spans="2:11" x14ac:dyDescent="0.25">
      <c r="B394" s="353">
        <v>390</v>
      </c>
      <c r="C394" s="354"/>
      <c r="D394" s="354"/>
      <c r="E394" s="354"/>
      <c r="F394" s="354"/>
      <c r="G394" s="354"/>
      <c r="H394" s="355" t="s">
        <v>395</v>
      </c>
      <c r="I394" s="448"/>
      <c r="J394" s="356"/>
      <c r="K394" s="274"/>
    </row>
    <row r="395" spans="2:11" x14ac:dyDescent="0.25">
      <c r="B395" s="353">
        <v>391</v>
      </c>
      <c r="C395" s="354"/>
      <c r="D395" s="354"/>
      <c r="E395" s="354"/>
      <c r="F395" s="354"/>
      <c r="G395" s="354"/>
      <c r="H395" s="355" t="s">
        <v>395</v>
      </c>
      <c r="I395" s="448"/>
      <c r="J395" s="356"/>
      <c r="K395" s="274"/>
    </row>
    <row r="396" spans="2:11" x14ac:dyDescent="0.25">
      <c r="B396" s="353">
        <v>392</v>
      </c>
      <c r="C396" s="354"/>
      <c r="D396" s="354"/>
      <c r="E396" s="354"/>
      <c r="F396" s="354"/>
      <c r="G396" s="354"/>
      <c r="H396" s="355" t="s">
        <v>395</v>
      </c>
      <c r="I396" s="448"/>
      <c r="J396" s="356"/>
      <c r="K396" s="274"/>
    </row>
    <row r="397" spans="2:11" x14ac:dyDescent="0.25">
      <c r="B397" s="353">
        <v>393</v>
      </c>
      <c r="C397" s="354"/>
      <c r="D397" s="354"/>
      <c r="E397" s="354"/>
      <c r="F397" s="354"/>
      <c r="G397" s="354"/>
      <c r="H397" s="355" t="s">
        <v>395</v>
      </c>
      <c r="I397" s="448"/>
      <c r="J397" s="356"/>
      <c r="K397" s="274"/>
    </row>
    <row r="398" spans="2:11" x14ac:dyDescent="0.25">
      <c r="B398" s="353">
        <v>394</v>
      </c>
      <c r="C398" s="354"/>
      <c r="D398" s="354"/>
      <c r="E398" s="354"/>
      <c r="F398" s="354"/>
      <c r="G398" s="354"/>
      <c r="H398" s="355" t="s">
        <v>395</v>
      </c>
      <c r="I398" s="448"/>
      <c r="J398" s="356"/>
      <c r="K398" s="274"/>
    </row>
    <row r="399" spans="2:11" x14ac:dyDescent="0.25">
      <c r="B399" s="353">
        <v>395</v>
      </c>
      <c r="C399" s="354"/>
      <c r="D399" s="354"/>
      <c r="E399" s="354"/>
      <c r="F399" s="354"/>
      <c r="G399" s="354"/>
      <c r="H399" s="355" t="s">
        <v>395</v>
      </c>
      <c r="I399" s="448"/>
      <c r="J399" s="356"/>
      <c r="K399" s="274"/>
    </row>
    <row r="400" spans="2:11" x14ac:dyDescent="0.25">
      <c r="B400" s="353">
        <v>396</v>
      </c>
      <c r="C400" s="354"/>
      <c r="D400" s="354"/>
      <c r="E400" s="354"/>
      <c r="F400" s="354"/>
      <c r="G400" s="354"/>
      <c r="H400" s="355" t="s">
        <v>395</v>
      </c>
      <c r="I400" s="448"/>
      <c r="J400" s="356"/>
      <c r="K400" s="274"/>
    </row>
    <row r="401" spans="2:11" x14ac:dyDescent="0.25">
      <c r="B401" s="353">
        <v>397</v>
      </c>
      <c r="C401" s="354"/>
      <c r="D401" s="354"/>
      <c r="E401" s="354"/>
      <c r="F401" s="354"/>
      <c r="G401" s="354"/>
      <c r="H401" s="355" t="s">
        <v>395</v>
      </c>
      <c r="I401" s="448"/>
      <c r="J401" s="356"/>
      <c r="K401" s="274"/>
    </row>
    <row r="402" spans="2:11" x14ac:dyDescent="0.25">
      <c r="B402" s="353">
        <v>398</v>
      </c>
      <c r="C402" s="354"/>
      <c r="D402" s="354"/>
      <c r="E402" s="354"/>
      <c r="F402" s="354"/>
      <c r="G402" s="354"/>
      <c r="H402" s="355" t="s">
        <v>395</v>
      </c>
      <c r="I402" s="448"/>
      <c r="J402" s="356"/>
      <c r="K402" s="274"/>
    </row>
    <row r="403" spans="2:11" x14ac:dyDescent="0.25">
      <c r="B403" s="353">
        <v>399</v>
      </c>
      <c r="C403" s="354"/>
      <c r="D403" s="354"/>
      <c r="E403" s="354"/>
      <c r="F403" s="354"/>
      <c r="G403" s="354"/>
      <c r="H403" s="355" t="s">
        <v>395</v>
      </c>
      <c r="I403" s="448"/>
      <c r="J403" s="356"/>
      <c r="K403" s="274"/>
    </row>
    <row r="404" spans="2:11" x14ac:dyDescent="0.25">
      <c r="B404" s="353">
        <v>400</v>
      </c>
      <c r="C404" s="354"/>
      <c r="D404" s="354"/>
      <c r="E404" s="354"/>
      <c r="F404" s="354"/>
      <c r="G404" s="354"/>
      <c r="H404" s="355" t="s">
        <v>395</v>
      </c>
      <c r="I404" s="448"/>
      <c r="J404" s="356"/>
      <c r="K404" s="274"/>
    </row>
    <row r="405" spans="2:11" x14ac:dyDescent="0.25">
      <c r="B405" s="353">
        <v>401</v>
      </c>
      <c r="C405" s="354"/>
      <c r="D405" s="354"/>
      <c r="E405" s="354"/>
      <c r="F405" s="354"/>
      <c r="G405" s="354"/>
      <c r="H405" s="355" t="s">
        <v>395</v>
      </c>
      <c r="I405" s="448"/>
      <c r="J405" s="356"/>
      <c r="K405" s="274"/>
    </row>
    <row r="406" spans="2:11" x14ac:dyDescent="0.25">
      <c r="B406" s="353">
        <v>402</v>
      </c>
      <c r="C406" s="354"/>
      <c r="D406" s="354"/>
      <c r="E406" s="354"/>
      <c r="F406" s="354"/>
      <c r="G406" s="354"/>
      <c r="H406" s="355" t="s">
        <v>395</v>
      </c>
      <c r="I406" s="448"/>
      <c r="J406" s="356"/>
      <c r="K406" s="274"/>
    </row>
    <row r="407" spans="2:11" x14ac:dyDescent="0.25">
      <c r="B407" s="353">
        <v>403</v>
      </c>
      <c r="C407" s="354"/>
      <c r="D407" s="354"/>
      <c r="E407" s="354"/>
      <c r="F407" s="354"/>
      <c r="G407" s="354"/>
      <c r="H407" s="355" t="s">
        <v>395</v>
      </c>
      <c r="I407" s="448"/>
      <c r="J407" s="356"/>
      <c r="K407" s="274"/>
    </row>
    <row r="408" spans="2:11" x14ac:dyDescent="0.25">
      <c r="B408" s="353">
        <v>404</v>
      </c>
      <c r="C408" s="354"/>
      <c r="D408" s="354"/>
      <c r="E408" s="354"/>
      <c r="F408" s="354"/>
      <c r="G408" s="354"/>
      <c r="H408" s="355" t="s">
        <v>395</v>
      </c>
      <c r="I408" s="448"/>
      <c r="J408" s="356"/>
      <c r="K408" s="274"/>
    </row>
    <row r="409" spans="2:11" x14ac:dyDescent="0.25">
      <c r="B409" s="353">
        <v>405</v>
      </c>
      <c r="C409" s="354"/>
      <c r="D409" s="354"/>
      <c r="E409" s="354"/>
      <c r="F409" s="354"/>
      <c r="G409" s="354"/>
      <c r="H409" s="355" t="s">
        <v>395</v>
      </c>
      <c r="I409" s="448"/>
      <c r="J409" s="356"/>
      <c r="K409" s="274"/>
    </row>
    <row r="410" spans="2:11" x14ac:dyDescent="0.25">
      <c r="B410" s="353">
        <v>406</v>
      </c>
      <c r="C410" s="354"/>
      <c r="D410" s="354"/>
      <c r="E410" s="354"/>
      <c r="F410" s="354"/>
      <c r="G410" s="354"/>
      <c r="H410" s="355" t="s">
        <v>395</v>
      </c>
      <c r="I410" s="448"/>
      <c r="J410" s="356"/>
      <c r="K410" s="274"/>
    </row>
    <row r="411" spans="2:11" x14ac:dyDescent="0.25">
      <c r="B411" s="353">
        <v>407</v>
      </c>
      <c r="C411" s="354"/>
      <c r="D411" s="354"/>
      <c r="E411" s="354"/>
      <c r="F411" s="354"/>
      <c r="G411" s="354"/>
      <c r="H411" s="355" t="s">
        <v>395</v>
      </c>
      <c r="I411" s="448"/>
      <c r="J411" s="356"/>
      <c r="K411" s="274"/>
    </row>
    <row r="412" spans="2:11" x14ac:dyDescent="0.25">
      <c r="B412" s="353">
        <v>408</v>
      </c>
      <c r="C412" s="354"/>
      <c r="D412" s="354"/>
      <c r="E412" s="354"/>
      <c r="F412" s="354"/>
      <c r="G412" s="354"/>
      <c r="H412" s="355" t="s">
        <v>395</v>
      </c>
      <c r="I412" s="448"/>
      <c r="J412" s="356"/>
      <c r="K412" s="274"/>
    </row>
    <row r="413" spans="2:11" x14ac:dyDescent="0.25">
      <c r="B413" s="353">
        <v>409</v>
      </c>
      <c r="C413" s="354"/>
      <c r="D413" s="354"/>
      <c r="E413" s="354"/>
      <c r="F413" s="354"/>
      <c r="G413" s="354"/>
      <c r="H413" s="355" t="s">
        <v>395</v>
      </c>
      <c r="I413" s="448"/>
      <c r="J413" s="356"/>
      <c r="K413" s="274"/>
    </row>
    <row r="414" spans="2:11" x14ac:dyDescent="0.25">
      <c r="B414" s="353">
        <v>410</v>
      </c>
      <c r="C414" s="354"/>
      <c r="D414" s="354"/>
      <c r="E414" s="354"/>
      <c r="F414" s="354"/>
      <c r="G414" s="354"/>
      <c r="H414" s="355" t="s">
        <v>395</v>
      </c>
      <c r="I414" s="448"/>
      <c r="J414" s="356"/>
      <c r="K414" s="274"/>
    </row>
    <row r="415" spans="2:11" x14ac:dyDescent="0.25">
      <c r="B415" s="353">
        <v>411</v>
      </c>
      <c r="C415" s="354"/>
      <c r="D415" s="354"/>
      <c r="E415" s="354"/>
      <c r="F415" s="354"/>
      <c r="G415" s="354"/>
      <c r="H415" s="355" t="s">
        <v>395</v>
      </c>
      <c r="I415" s="448"/>
      <c r="J415" s="356"/>
      <c r="K415" s="274"/>
    </row>
    <row r="416" spans="2:11" x14ac:dyDescent="0.25">
      <c r="B416" s="353">
        <v>412</v>
      </c>
      <c r="C416" s="354"/>
      <c r="D416" s="354"/>
      <c r="E416" s="354"/>
      <c r="F416" s="354"/>
      <c r="G416" s="354"/>
      <c r="H416" s="355" t="s">
        <v>395</v>
      </c>
      <c r="I416" s="448"/>
      <c r="J416" s="356"/>
      <c r="K416" s="274"/>
    </row>
    <row r="417" spans="2:11" x14ac:dyDescent="0.25">
      <c r="B417" s="353">
        <v>413</v>
      </c>
      <c r="C417" s="354"/>
      <c r="D417" s="354"/>
      <c r="E417" s="354"/>
      <c r="F417" s="354"/>
      <c r="G417" s="354"/>
      <c r="H417" s="355" t="s">
        <v>395</v>
      </c>
      <c r="I417" s="448"/>
      <c r="J417" s="356"/>
      <c r="K417" s="274"/>
    </row>
    <row r="418" spans="2:11" x14ac:dyDescent="0.25">
      <c r="B418" s="353">
        <v>414</v>
      </c>
      <c r="C418" s="354"/>
      <c r="D418" s="354"/>
      <c r="E418" s="354"/>
      <c r="F418" s="354"/>
      <c r="G418" s="354"/>
      <c r="H418" s="355" t="s">
        <v>395</v>
      </c>
      <c r="I418" s="448"/>
      <c r="J418" s="356"/>
      <c r="K418" s="274"/>
    </row>
    <row r="419" spans="2:11" x14ac:dyDescent="0.25">
      <c r="B419" s="353">
        <v>415</v>
      </c>
      <c r="C419" s="354"/>
      <c r="D419" s="354"/>
      <c r="E419" s="354"/>
      <c r="F419" s="354"/>
      <c r="G419" s="354"/>
      <c r="H419" s="355" t="s">
        <v>395</v>
      </c>
      <c r="I419" s="448"/>
      <c r="J419" s="356"/>
      <c r="K419" s="274"/>
    </row>
    <row r="420" spans="2:11" x14ac:dyDescent="0.25">
      <c r="B420" s="353">
        <v>416</v>
      </c>
      <c r="C420" s="354"/>
      <c r="D420" s="354"/>
      <c r="E420" s="354"/>
      <c r="F420" s="354"/>
      <c r="G420" s="354"/>
      <c r="H420" s="355" t="s">
        <v>395</v>
      </c>
      <c r="I420" s="448"/>
      <c r="J420" s="356"/>
      <c r="K420" s="274"/>
    </row>
    <row r="421" spans="2:11" x14ac:dyDescent="0.25">
      <c r="B421" s="353">
        <v>417</v>
      </c>
      <c r="C421" s="354"/>
      <c r="D421" s="354"/>
      <c r="E421" s="354"/>
      <c r="F421" s="354"/>
      <c r="G421" s="354"/>
      <c r="H421" s="355" t="s">
        <v>395</v>
      </c>
      <c r="I421" s="448"/>
      <c r="J421" s="356"/>
      <c r="K421" s="274"/>
    </row>
    <row r="422" spans="2:11" x14ac:dyDescent="0.25">
      <c r="B422" s="353">
        <v>418</v>
      </c>
      <c r="C422" s="354"/>
      <c r="D422" s="354"/>
      <c r="E422" s="354"/>
      <c r="F422" s="354"/>
      <c r="G422" s="354"/>
      <c r="H422" s="355" t="s">
        <v>395</v>
      </c>
      <c r="I422" s="448"/>
      <c r="J422" s="356"/>
      <c r="K422" s="274"/>
    </row>
    <row r="423" spans="2:11" x14ac:dyDescent="0.25">
      <c r="B423" s="353">
        <v>419</v>
      </c>
      <c r="C423" s="354"/>
      <c r="D423" s="354"/>
      <c r="E423" s="354"/>
      <c r="F423" s="354"/>
      <c r="G423" s="354"/>
      <c r="H423" s="355" t="s">
        <v>395</v>
      </c>
      <c r="I423" s="448"/>
      <c r="J423" s="356"/>
      <c r="K423" s="274"/>
    </row>
    <row r="424" spans="2:11" x14ac:dyDescent="0.25">
      <c r="B424" s="353">
        <v>420</v>
      </c>
      <c r="C424" s="354"/>
      <c r="D424" s="354"/>
      <c r="E424" s="354"/>
      <c r="F424" s="354"/>
      <c r="G424" s="354"/>
      <c r="H424" s="355" t="s">
        <v>395</v>
      </c>
      <c r="I424" s="448"/>
      <c r="J424" s="356"/>
      <c r="K424" s="274"/>
    </row>
    <row r="425" spans="2:11" x14ac:dyDescent="0.25">
      <c r="B425" s="353">
        <v>421</v>
      </c>
      <c r="C425" s="354"/>
      <c r="D425" s="354"/>
      <c r="E425" s="354"/>
      <c r="F425" s="354"/>
      <c r="G425" s="354"/>
      <c r="H425" s="355" t="s">
        <v>395</v>
      </c>
      <c r="I425" s="448"/>
      <c r="J425" s="356"/>
      <c r="K425" s="274"/>
    </row>
    <row r="426" spans="2:11" x14ac:dyDescent="0.25">
      <c r="B426" s="353">
        <v>422</v>
      </c>
      <c r="C426" s="354"/>
      <c r="D426" s="354"/>
      <c r="E426" s="354"/>
      <c r="F426" s="354"/>
      <c r="G426" s="354"/>
      <c r="H426" s="355" t="s">
        <v>395</v>
      </c>
      <c r="I426" s="448"/>
      <c r="J426" s="356"/>
      <c r="K426" s="274"/>
    </row>
    <row r="427" spans="2:11" x14ac:dyDescent="0.25">
      <c r="B427" s="353">
        <v>423</v>
      </c>
      <c r="C427" s="354"/>
      <c r="D427" s="354"/>
      <c r="E427" s="354"/>
      <c r="F427" s="354"/>
      <c r="G427" s="354"/>
      <c r="H427" s="355" t="s">
        <v>395</v>
      </c>
      <c r="I427" s="448"/>
      <c r="J427" s="356"/>
      <c r="K427" s="274"/>
    </row>
    <row r="428" spans="2:11" x14ac:dyDescent="0.25">
      <c r="B428" s="353">
        <v>424</v>
      </c>
      <c r="C428" s="354"/>
      <c r="D428" s="354"/>
      <c r="E428" s="354"/>
      <c r="F428" s="354"/>
      <c r="G428" s="354"/>
      <c r="H428" s="355" t="s">
        <v>395</v>
      </c>
      <c r="I428" s="448"/>
      <c r="J428" s="356"/>
      <c r="K428" s="274"/>
    </row>
    <row r="429" spans="2:11" x14ac:dyDescent="0.25">
      <c r="B429" s="353">
        <v>425</v>
      </c>
      <c r="C429" s="354"/>
      <c r="D429" s="354"/>
      <c r="E429" s="354"/>
      <c r="F429" s="354"/>
      <c r="G429" s="354"/>
      <c r="H429" s="355" t="s">
        <v>395</v>
      </c>
      <c r="I429" s="448"/>
      <c r="J429" s="356"/>
      <c r="K429" s="274"/>
    </row>
    <row r="430" spans="2:11" x14ac:dyDescent="0.25">
      <c r="B430" s="353">
        <v>426</v>
      </c>
      <c r="C430" s="354"/>
      <c r="D430" s="354"/>
      <c r="E430" s="354"/>
      <c r="F430" s="354"/>
      <c r="G430" s="354"/>
      <c r="H430" s="355" t="s">
        <v>395</v>
      </c>
      <c r="I430" s="448"/>
      <c r="J430" s="356"/>
      <c r="K430" s="274"/>
    </row>
    <row r="431" spans="2:11" x14ac:dyDescent="0.25">
      <c r="B431" s="353">
        <v>427</v>
      </c>
      <c r="C431" s="354"/>
      <c r="D431" s="354"/>
      <c r="E431" s="354"/>
      <c r="F431" s="354"/>
      <c r="G431" s="354"/>
      <c r="H431" s="355" t="s">
        <v>395</v>
      </c>
      <c r="I431" s="448"/>
      <c r="J431" s="356"/>
      <c r="K431" s="274"/>
    </row>
    <row r="432" spans="2:11" x14ac:dyDescent="0.25">
      <c r="B432" s="353">
        <v>428</v>
      </c>
      <c r="C432" s="354"/>
      <c r="D432" s="354"/>
      <c r="E432" s="354"/>
      <c r="F432" s="354"/>
      <c r="G432" s="354"/>
      <c r="H432" s="355" t="s">
        <v>395</v>
      </c>
      <c r="I432" s="448"/>
      <c r="J432" s="356"/>
      <c r="K432" s="274"/>
    </row>
    <row r="433" spans="2:11" x14ac:dyDescent="0.25">
      <c r="B433" s="353">
        <v>429</v>
      </c>
      <c r="C433" s="354"/>
      <c r="D433" s="354"/>
      <c r="E433" s="354"/>
      <c r="F433" s="354"/>
      <c r="G433" s="354"/>
      <c r="H433" s="355" t="s">
        <v>395</v>
      </c>
      <c r="I433" s="448"/>
      <c r="J433" s="356"/>
      <c r="K433" s="274"/>
    </row>
    <row r="434" spans="2:11" x14ac:dyDescent="0.25">
      <c r="B434" s="353">
        <v>430</v>
      </c>
      <c r="C434" s="354"/>
      <c r="D434" s="354"/>
      <c r="E434" s="354"/>
      <c r="F434" s="354"/>
      <c r="G434" s="354"/>
      <c r="H434" s="355" t="s">
        <v>395</v>
      </c>
      <c r="I434" s="448"/>
      <c r="J434" s="356"/>
      <c r="K434" s="274"/>
    </row>
    <row r="435" spans="2:11" x14ac:dyDescent="0.25">
      <c r="B435" s="353">
        <v>431</v>
      </c>
      <c r="C435" s="354"/>
      <c r="D435" s="354"/>
      <c r="E435" s="354"/>
      <c r="F435" s="354"/>
      <c r="G435" s="354"/>
      <c r="H435" s="355" t="s">
        <v>395</v>
      </c>
      <c r="I435" s="448"/>
      <c r="J435" s="356"/>
      <c r="K435" s="274"/>
    </row>
    <row r="436" spans="2:11" x14ac:dyDescent="0.25">
      <c r="B436" s="353">
        <v>432</v>
      </c>
      <c r="C436" s="354"/>
      <c r="D436" s="354"/>
      <c r="E436" s="354"/>
      <c r="F436" s="354"/>
      <c r="G436" s="354"/>
      <c r="H436" s="355" t="s">
        <v>395</v>
      </c>
      <c r="I436" s="448"/>
      <c r="J436" s="356"/>
      <c r="K436" s="274"/>
    </row>
    <row r="437" spans="2:11" x14ac:dyDescent="0.25">
      <c r="B437" s="353">
        <v>433</v>
      </c>
      <c r="C437" s="354"/>
      <c r="D437" s="354"/>
      <c r="E437" s="354"/>
      <c r="F437" s="354"/>
      <c r="G437" s="354"/>
      <c r="H437" s="355" t="s">
        <v>395</v>
      </c>
      <c r="I437" s="448"/>
      <c r="J437" s="356"/>
      <c r="K437" s="274"/>
    </row>
    <row r="438" spans="2:11" x14ac:dyDescent="0.25">
      <c r="B438" s="353">
        <v>434</v>
      </c>
      <c r="C438" s="354"/>
      <c r="D438" s="354"/>
      <c r="E438" s="354"/>
      <c r="F438" s="354"/>
      <c r="G438" s="354"/>
      <c r="H438" s="355" t="s">
        <v>395</v>
      </c>
      <c r="I438" s="448"/>
      <c r="J438" s="356"/>
      <c r="K438" s="274"/>
    </row>
    <row r="439" spans="2:11" x14ac:dyDescent="0.25">
      <c r="B439" s="353">
        <v>435</v>
      </c>
      <c r="C439" s="354"/>
      <c r="D439" s="354"/>
      <c r="E439" s="354"/>
      <c r="F439" s="354"/>
      <c r="G439" s="354"/>
      <c r="H439" s="355" t="s">
        <v>395</v>
      </c>
      <c r="I439" s="448"/>
      <c r="J439" s="356"/>
      <c r="K439" s="274"/>
    </row>
    <row r="440" spans="2:11" x14ac:dyDescent="0.25">
      <c r="B440" s="353">
        <v>436</v>
      </c>
      <c r="C440" s="354"/>
      <c r="D440" s="354"/>
      <c r="E440" s="354"/>
      <c r="F440" s="354"/>
      <c r="G440" s="354"/>
      <c r="H440" s="355" t="s">
        <v>395</v>
      </c>
      <c r="I440" s="448"/>
      <c r="J440" s="356"/>
      <c r="K440" s="274"/>
    </row>
    <row r="441" spans="2:11" x14ac:dyDescent="0.25">
      <c r="B441" s="353">
        <v>437</v>
      </c>
      <c r="C441" s="354"/>
      <c r="D441" s="354"/>
      <c r="E441" s="354"/>
      <c r="F441" s="354"/>
      <c r="G441" s="354"/>
      <c r="H441" s="355" t="s">
        <v>395</v>
      </c>
      <c r="I441" s="448"/>
      <c r="J441" s="356"/>
      <c r="K441" s="274"/>
    </row>
    <row r="442" spans="2:11" x14ac:dyDescent="0.25">
      <c r="B442" s="353">
        <v>438</v>
      </c>
      <c r="C442" s="354"/>
      <c r="D442" s="354"/>
      <c r="E442" s="354"/>
      <c r="F442" s="354"/>
      <c r="G442" s="354"/>
      <c r="H442" s="355" t="s">
        <v>395</v>
      </c>
      <c r="I442" s="448"/>
      <c r="J442" s="356"/>
      <c r="K442" s="274"/>
    </row>
    <row r="443" spans="2:11" x14ac:dyDescent="0.25">
      <c r="B443" s="353">
        <v>439</v>
      </c>
      <c r="C443" s="354"/>
      <c r="D443" s="354"/>
      <c r="E443" s="354"/>
      <c r="F443" s="354"/>
      <c r="G443" s="354"/>
      <c r="H443" s="355" t="s">
        <v>395</v>
      </c>
      <c r="I443" s="448"/>
      <c r="J443" s="356"/>
      <c r="K443" s="274"/>
    </row>
    <row r="444" spans="2:11" x14ac:dyDescent="0.25">
      <c r="B444" s="353">
        <v>440</v>
      </c>
      <c r="C444" s="354"/>
      <c r="D444" s="354"/>
      <c r="E444" s="354"/>
      <c r="F444" s="354"/>
      <c r="G444" s="354"/>
      <c r="H444" s="355" t="s">
        <v>395</v>
      </c>
      <c r="I444" s="448"/>
      <c r="J444" s="356"/>
      <c r="K444" s="274"/>
    </row>
    <row r="445" spans="2:11" x14ac:dyDescent="0.25">
      <c r="B445" s="353">
        <v>441</v>
      </c>
      <c r="C445" s="354"/>
      <c r="D445" s="354"/>
      <c r="E445" s="354"/>
      <c r="F445" s="354"/>
      <c r="G445" s="354"/>
      <c r="H445" s="355" t="s">
        <v>395</v>
      </c>
      <c r="I445" s="448"/>
      <c r="J445" s="356"/>
      <c r="K445" s="274"/>
    </row>
    <row r="446" spans="2:11" x14ac:dyDescent="0.25">
      <c r="B446" s="353">
        <v>442</v>
      </c>
      <c r="C446" s="354"/>
      <c r="D446" s="354"/>
      <c r="E446" s="354"/>
      <c r="F446" s="354"/>
      <c r="G446" s="354"/>
      <c r="H446" s="355" t="s">
        <v>395</v>
      </c>
      <c r="I446" s="448"/>
      <c r="J446" s="356"/>
      <c r="K446" s="274"/>
    </row>
    <row r="447" spans="2:11" x14ac:dyDescent="0.25">
      <c r="B447" s="353">
        <v>443</v>
      </c>
      <c r="C447" s="354"/>
      <c r="D447" s="354"/>
      <c r="E447" s="354"/>
      <c r="F447" s="354"/>
      <c r="G447" s="354"/>
      <c r="H447" s="355" t="s">
        <v>395</v>
      </c>
      <c r="I447" s="448"/>
      <c r="J447" s="356"/>
      <c r="K447" s="274"/>
    </row>
    <row r="448" spans="2:11" x14ac:dyDescent="0.25">
      <c r="B448" s="353">
        <v>444</v>
      </c>
      <c r="C448" s="354"/>
      <c r="D448" s="354"/>
      <c r="E448" s="354"/>
      <c r="F448" s="354"/>
      <c r="G448" s="354"/>
      <c r="H448" s="355" t="s">
        <v>395</v>
      </c>
      <c r="I448" s="448"/>
      <c r="J448" s="356"/>
      <c r="K448" s="274"/>
    </row>
    <row r="449" spans="2:11" x14ac:dyDescent="0.25">
      <c r="B449" s="353">
        <v>445</v>
      </c>
      <c r="C449" s="354"/>
      <c r="D449" s="354"/>
      <c r="E449" s="354"/>
      <c r="F449" s="354"/>
      <c r="G449" s="354"/>
      <c r="H449" s="355" t="s">
        <v>395</v>
      </c>
      <c r="I449" s="448"/>
      <c r="J449" s="356"/>
      <c r="K449" s="274"/>
    </row>
    <row r="450" spans="2:11" x14ac:dyDescent="0.25">
      <c r="B450" s="353">
        <v>446</v>
      </c>
      <c r="C450" s="354"/>
      <c r="D450" s="354"/>
      <c r="E450" s="354"/>
      <c r="F450" s="354"/>
      <c r="G450" s="354"/>
      <c r="H450" s="355" t="s">
        <v>395</v>
      </c>
      <c r="I450" s="448"/>
      <c r="J450" s="356"/>
      <c r="K450" s="274"/>
    </row>
    <row r="451" spans="2:11" x14ac:dyDescent="0.25">
      <c r="B451" s="353">
        <v>447</v>
      </c>
      <c r="C451" s="354"/>
      <c r="D451" s="354"/>
      <c r="E451" s="354"/>
      <c r="F451" s="354"/>
      <c r="G451" s="354"/>
      <c r="H451" s="355" t="s">
        <v>395</v>
      </c>
      <c r="I451" s="448"/>
      <c r="J451" s="356"/>
      <c r="K451" s="274"/>
    </row>
    <row r="452" spans="2:11" x14ac:dyDescent="0.25">
      <c r="B452" s="353">
        <v>448</v>
      </c>
      <c r="C452" s="354"/>
      <c r="D452" s="354"/>
      <c r="E452" s="354"/>
      <c r="F452" s="354"/>
      <c r="G452" s="354"/>
      <c r="H452" s="355" t="s">
        <v>395</v>
      </c>
      <c r="I452" s="448"/>
      <c r="J452" s="356"/>
      <c r="K452" s="274"/>
    </row>
    <row r="453" spans="2:11" x14ac:dyDescent="0.25">
      <c r="B453" s="353">
        <v>449</v>
      </c>
      <c r="C453" s="354"/>
      <c r="D453" s="354"/>
      <c r="E453" s="354"/>
      <c r="F453" s="354"/>
      <c r="G453" s="354"/>
      <c r="H453" s="355" t="s">
        <v>395</v>
      </c>
      <c r="I453" s="448"/>
      <c r="J453" s="356"/>
      <c r="K453" s="274"/>
    </row>
    <row r="454" spans="2:11" x14ac:dyDescent="0.25">
      <c r="B454" s="353">
        <v>450</v>
      </c>
      <c r="C454" s="354"/>
      <c r="D454" s="354"/>
      <c r="E454" s="354"/>
      <c r="F454" s="354"/>
      <c r="G454" s="354"/>
      <c r="H454" s="355" t="s">
        <v>395</v>
      </c>
      <c r="I454" s="448"/>
      <c r="J454" s="356"/>
      <c r="K454" s="274"/>
    </row>
    <row r="455" spans="2:11" x14ac:dyDescent="0.25">
      <c r="B455" s="353">
        <v>451</v>
      </c>
      <c r="C455" s="354"/>
      <c r="D455" s="354"/>
      <c r="E455" s="354"/>
      <c r="F455" s="354"/>
      <c r="G455" s="354"/>
      <c r="H455" s="355" t="s">
        <v>395</v>
      </c>
      <c r="I455" s="448"/>
      <c r="J455" s="356"/>
      <c r="K455" s="274"/>
    </row>
    <row r="456" spans="2:11" x14ac:dyDescent="0.25">
      <c r="B456" s="353">
        <v>452</v>
      </c>
      <c r="C456" s="354"/>
      <c r="D456" s="354"/>
      <c r="E456" s="354"/>
      <c r="F456" s="354"/>
      <c r="G456" s="354"/>
      <c r="H456" s="355" t="s">
        <v>395</v>
      </c>
      <c r="I456" s="448"/>
      <c r="J456" s="356"/>
      <c r="K456" s="274"/>
    </row>
    <row r="457" spans="2:11" x14ac:dyDescent="0.25">
      <c r="B457" s="353">
        <v>453</v>
      </c>
      <c r="C457" s="354"/>
      <c r="D457" s="354"/>
      <c r="E457" s="354"/>
      <c r="F457" s="354"/>
      <c r="G457" s="354"/>
      <c r="H457" s="355" t="s">
        <v>395</v>
      </c>
      <c r="I457" s="448"/>
      <c r="J457" s="356"/>
      <c r="K457" s="274"/>
    </row>
    <row r="458" spans="2:11" x14ac:dyDescent="0.25">
      <c r="B458" s="353">
        <v>454</v>
      </c>
      <c r="C458" s="354"/>
      <c r="D458" s="354"/>
      <c r="E458" s="354"/>
      <c r="F458" s="354"/>
      <c r="G458" s="354"/>
      <c r="H458" s="355" t="s">
        <v>395</v>
      </c>
      <c r="I458" s="448"/>
      <c r="J458" s="356"/>
      <c r="K458" s="274"/>
    </row>
    <row r="459" spans="2:11" x14ac:dyDescent="0.25">
      <c r="B459" s="353">
        <v>455</v>
      </c>
      <c r="C459" s="354"/>
      <c r="D459" s="354"/>
      <c r="E459" s="354"/>
      <c r="F459" s="354"/>
      <c r="G459" s="354"/>
      <c r="H459" s="355" t="s">
        <v>395</v>
      </c>
      <c r="I459" s="448"/>
      <c r="J459" s="356"/>
      <c r="K459" s="274"/>
    </row>
    <row r="460" spans="2:11" x14ac:dyDescent="0.25">
      <c r="B460" s="353">
        <v>456</v>
      </c>
      <c r="C460" s="354"/>
      <c r="D460" s="354"/>
      <c r="E460" s="354"/>
      <c r="F460" s="354"/>
      <c r="G460" s="354"/>
      <c r="H460" s="355" t="s">
        <v>395</v>
      </c>
      <c r="I460" s="448"/>
      <c r="J460" s="356"/>
      <c r="K460" s="274"/>
    </row>
    <row r="461" spans="2:11" x14ac:dyDescent="0.25">
      <c r="B461" s="353">
        <v>457</v>
      </c>
      <c r="C461" s="354"/>
      <c r="D461" s="354"/>
      <c r="E461" s="354"/>
      <c r="F461" s="354"/>
      <c r="G461" s="354"/>
      <c r="H461" s="355" t="s">
        <v>395</v>
      </c>
      <c r="I461" s="448"/>
      <c r="J461" s="356"/>
      <c r="K461" s="274"/>
    </row>
    <row r="462" spans="2:11" x14ac:dyDescent="0.25">
      <c r="B462" s="353">
        <v>458</v>
      </c>
      <c r="C462" s="354"/>
      <c r="D462" s="354"/>
      <c r="E462" s="354"/>
      <c r="F462" s="354"/>
      <c r="G462" s="354"/>
      <c r="H462" s="355" t="s">
        <v>395</v>
      </c>
      <c r="I462" s="448"/>
      <c r="J462" s="356"/>
      <c r="K462" s="274"/>
    </row>
    <row r="463" spans="2:11" x14ac:dyDescent="0.25">
      <c r="B463" s="353">
        <v>459</v>
      </c>
      <c r="C463" s="354"/>
      <c r="D463" s="354"/>
      <c r="E463" s="354"/>
      <c r="F463" s="354"/>
      <c r="G463" s="354"/>
      <c r="H463" s="355" t="s">
        <v>395</v>
      </c>
      <c r="I463" s="448"/>
      <c r="J463" s="356"/>
      <c r="K463" s="274"/>
    </row>
    <row r="464" spans="2:11" x14ac:dyDescent="0.25">
      <c r="B464" s="353">
        <v>460</v>
      </c>
      <c r="C464" s="354"/>
      <c r="D464" s="354"/>
      <c r="E464" s="354"/>
      <c r="F464" s="354"/>
      <c r="G464" s="354"/>
      <c r="H464" s="355" t="s">
        <v>395</v>
      </c>
      <c r="I464" s="448"/>
      <c r="J464" s="356"/>
      <c r="K464" s="274"/>
    </row>
    <row r="465" spans="2:11" x14ac:dyDescent="0.25">
      <c r="B465" s="353">
        <v>461</v>
      </c>
      <c r="C465" s="354"/>
      <c r="D465" s="354"/>
      <c r="E465" s="354"/>
      <c r="F465" s="354"/>
      <c r="G465" s="354"/>
      <c r="H465" s="355" t="s">
        <v>395</v>
      </c>
      <c r="I465" s="448"/>
      <c r="J465" s="356"/>
      <c r="K465" s="274"/>
    </row>
    <row r="466" spans="2:11" x14ac:dyDescent="0.25">
      <c r="B466" s="353">
        <v>462</v>
      </c>
      <c r="C466" s="354"/>
      <c r="D466" s="354"/>
      <c r="E466" s="354"/>
      <c r="F466" s="354"/>
      <c r="G466" s="354"/>
      <c r="H466" s="355" t="s">
        <v>395</v>
      </c>
      <c r="I466" s="448"/>
      <c r="J466" s="356"/>
      <c r="K466" s="274"/>
    </row>
    <row r="467" spans="2:11" x14ac:dyDescent="0.25">
      <c r="B467" s="353">
        <v>463</v>
      </c>
      <c r="C467" s="354"/>
      <c r="D467" s="354"/>
      <c r="E467" s="354"/>
      <c r="F467" s="354"/>
      <c r="G467" s="354"/>
      <c r="H467" s="355" t="s">
        <v>395</v>
      </c>
      <c r="I467" s="448"/>
      <c r="J467" s="356"/>
      <c r="K467" s="274"/>
    </row>
    <row r="468" spans="2:11" x14ac:dyDescent="0.25">
      <c r="B468" s="353">
        <v>464</v>
      </c>
      <c r="C468" s="354"/>
      <c r="D468" s="354"/>
      <c r="E468" s="354"/>
      <c r="F468" s="354"/>
      <c r="G468" s="354"/>
      <c r="H468" s="355" t="s">
        <v>395</v>
      </c>
      <c r="I468" s="448"/>
      <c r="J468" s="356"/>
      <c r="K468" s="274"/>
    </row>
    <row r="469" spans="2:11" x14ac:dyDescent="0.25">
      <c r="B469" s="353">
        <v>465</v>
      </c>
      <c r="C469" s="354"/>
      <c r="D469" s="354"/>
      <c r="E469" s="354"/>
      <c r="F469" s="354"/>
      <c r="G469" s="354"/>
      <c r="H469" s="355" t="s">
        <v>395</v>
      </c>
      <c r="I469" s="448"/>
      <c r="J469" s="356"/>
      <c r="K469" s="274"/>
    </row>
    <row r="470" spans="2:11" x14ac:dyDescent="0.25">
      <c r="B470" s="353">
        <v>466</v>
      </c>
      <c r="C470" s="354"/>
      <c r="D470" s="354"/>
      <c r="E470" s="354"/>
      <c r="F470" s="354"/>
      <c r="G470" s="354"/>
      <c r="H470" s="355" t="s">
        <v>395</v>
      </c>
      <c r="I470" s="448"/>
      <c r="J470" s="356"/>
      <c r="K470" s="274"/>
    </row>
    <row r="471" spans="2:11" x14ac:dyDescent="0.25">
      <c r="B471" s="353">
        <v>467</v>
      </c>
      <c r="C471" s="354"/>
      <c r="D471" s="354"/>
      <c r="E471" s="354"/>
      <c r="F471" s="354"/>
      <c r="G471" s="354"/>
      <c r="H471" s="355" t="s">
        <v>395</v>
      </c>
      <c r="I471" s="448"/>
      <c r="J471" s="356"/>
      <c r="K471" s="274"/>
    </row>
    <row r="472" spans="2:11" x14ac:dyDescent="0.25">
      <c r="B472" s="353">
        <v>468</v>
      </c>
      <c r="C472" s="354"/>
      <c r="D472" s="354"/>
      <c r="E472" s="354"/>
      <c r="F472" s="354"/>
      <c r="G472" s="354"/>
      <c r="H472" s="355" t="s">
        <v>395</v>
      </c>
      <c r="I472" s="448"/>
      <c r="J472" s="356"/>
      <c r="K472" s="274"/>
    </row>
    <row r="473" spans="2:11" x14ac:dyDescent="0.25">
      <c r="B473" s="353">
        <v>469</v>
      </c>
      <c r="C473" s="354"/>
      <c r="D473" s="354"/>
      <c r="E473" s="354"/>
      <c r="F473" s="354"/>
      <c r="G473" s="354"/>
      <c r="H473" s="355" t="s">
        <v>395</v>
      </c>
      <c r="I473" s="448"/>
      <c r="J473" s="356"/>
      <c r="K473" s="274"/>
    </row>
    <row r="474" spans="2:11" x14ac:dyDescent="0.25">
      <c r="B474" s="353">
        <v>470</v>
      </c>
      <c r="C474" s="354"/>
      <c r="D474" s="354"/>
      <c r="E474" s="354"/>
      <c r="F474" s="354"/>
      <c r="G474" s="354"/>
      <c r="H474" s="355" t="s">
        <v>395</v>
      </c>
      <c r="I474" s="448"/>
      <c r="J474" s="356"/>
      <c r="K474" s="274"/>
    </row>
    <row r="475" spans="2:11" x14ac:dyDescent="0.25">
      <c r="B475" s="353">
        <v>471</v>
      </c>
      <c r="C475" s="354"/>
      <c r="D475" s="354"/>
      <c r="E475" s="354"/>
      <c r="F475" s="354"/>
      <c r="G475" s="354"/>
      <c r="H475" s="355" t="s">
        <v>395</v>
      </c>
      <c r="I475" s="448"/>
      <c r="J475" s="356"/>
      <c r="K475" s="274"/>
    </row>
    <row r="476" spans="2:11" x14ac:dyDescent="0.25">
      <c r="B476" s="353">
        <v>472</v>
      </c>
      <c r="C476" s="354"/>
      <c r="D476" s="354"/>
      <c r="E476" s="354"/>
      <c r="F476" s="354"/>
      <c r="G476" s="354"/>
      <c r="H476" s="355" t="s">
        <v>395</v>
      </c>
      <c r="I476" s="448"/>
      <c r="J476" s="356"/>
      <c r="K476" s="274"/>
    </row>
    <row r="477" spans="2:11" x14ac:dyDescent="0.25">
      <c r="B477" s="353">
        <v>473</v>
      </c>
      <c r="C477" s="354"/>
      <c r="D477" s="354"/>
      <c r="E477" s="354"/>
      <c r="F477" s="354"/>
      <c r="G477" s="354"/>
      <c r="H477" s="355" t="s">
        <v>395</v>
      </c>
      <c r="I477" s="448"/>
      <c r="J477" s="356"/>
      <c r="K477" s="274"/>
    </row>
    <row r="478" spans="2:11" x14ac:dyDescent="0.25">
      <c r="B478" s="353">
        <v>474</v>
      </c>
      <c r="C478" s="354"/>
      <c r="D478" s="354"/>
      <c r="E478" s="354"/>
      <c r="F478" s="354"/>
      <c r="G478" s="354"/>
      <c r="H478" s="355" t="s">
        <v>395</v>
      </c>
      <c r="I478" s="448"/>
      <c r="J478" s="356"/>
      <c r="K478" s="274"/>
    </row>
    <row r="479" spans="2:11" x14ac:dyDescent="0.25">
      <c r="B479" s="353">
        <v>475</v>
      </c>
      <c r="C479" s="354"/>
      <c r="D479" s="354"/>
      <c r="E479" s="354"/>
      <c r="F479" s="354"/>
      <c r="G479" s="354"/>
      <c r="H479" s="355" t="s">
        <v>395</v>
      </c>
      <c r="I479" s="448"/>
      <c r="J479" s="356"/>
      <c r="K479" s="274"/>
    </row>
    <row r="480" spans="2:11" x14ac:dyDescent="0.25">
      <c r="B480" s="353">
        <v>476</v>
      </c>
      <c r="C480" s="354"/>
      <c r="D480" s="354"/>
      <c r="E480" s="354"/>
      <c r="F480" s="354"/>
      <c r="G480" s="354"/>
      <c r="H480" s="355" t="s">
        <v>395</v>
      </c>
      <c r="I480" s="448"/>
      <c r="J480" s="356"/>
      <c r="K480" s="274"/>
    </row>
    <row r="481" spans="2:11" x14ac:dyDescent="0.25">
      <c r="B481" s="353">
        <v>477</v>
      </c>
      <c r="C481" s="354"/>
      <c r="D481" s="354"/>
      <c r="E481" s="354"/>
      <c r="F481" s="354"/>
      <c r="G481" s="354"/>
      <c r="H481" s="355" t="s">
        <v>395</v>
      </c>
      <c r="I481" s="448"/>
      <c r="J481" s="356"/>
      <c r="K481" s="274"/>
    </row>
    <row r="482" spans="2:11" x14ac:dyDescent="0.25">
      <c r="B482" s="353">
        <v>478</v>
      </c>
      <c r="C482" s="354"/>
      <c r="D482" s="354"/>
      <c r="E482" s="354"/>
      <c r="F482" s="354"/>
      <c r="G482" s="354"/>
      <c r="H482" s="355" t="s">
        <v>395</v>
      </c>
      <c r="I482" s="448"/>
      <c r="J482" s="356"/>
      <c r="K482" s="274"/>
    </row>
    <row r="483" spans="2:11" x14ac:dyDescent="0.25">
      <c r="B483" s="353">
        <v>479</v>
      </c>
      <c r="C483" s="354"/>
      <c r="D483" s="354"/>
      <c r="E483" s="354"/>
      <c r="F483" s="354"/>
      <c r="G483" s="354"/>
      <c r="H483" s="355" t="s">
        <v>395</v>
      </c>
      <c r="I483" s="448"/>
      <c r="J483" s="356"/>
      <c r="K483" s="274"/>
    </row>
    <row r="484" spans="2:11" x14ac:dyDescent="0.25">
      <c r="B484" s="353">
        <v>480</v>
      </c>
      <c r="C484" s="354"/>
      <c r="D484" s="354"/>
      <c r="E484" s="354"/>
      <c r="F484" s="354"/>
      <c r="G484" s="354"/>
      <c r="H484" s="355" t="s">
        <v>395</v>
      </c>
      <c r="I484" s="448"/>
      <c r="J484" s="356"/>
      <c r="K484" s="274"/>
    </row>
    <row r="485" spans="2:11" x14ac:dyDescent="0.25">
      <c r="B485" s="353">
        <v>481</v>
      </c>
      <c r="C485" s="354"/>
      <c r="D485" s="354"/>
      <c r="E485" s="354"/>
      <c r="F485" s="354"/>
      <c r="G485" s="354"/>
      <c r="H485" s="355" t="s">
        <v>395</v>
      </c>
      <c r="I485" s="448"/>
      <c r="J485" s="356"/>
      <c r="K485" s="274"/>
    </row>
    <row r="486" spans="2:11" x14ac:dyDescent="0.25">
      <c r="B486" s="353">
        <v>482</v>
      </c>
      <c r="C486" s="354"/>
      <c r="D486" s="354"/>
      <c r="E486" s="354"/>
      <c r="F486" s="354"/>
      <c r="G486" s="354"/>
      <c r="H486" s="355" t="s">
        <v>395</v>
      </c>
      <c r="I486" s="448"/>
      <c r="J486" s="356"/>
      <c r="K486" s="274"/>
    </row>
    <row r="487" spans="2:11" x14ac:dyDescent="0.25">
      <c r="B487" s="353">
        <v>483</v>
      </c>
      <c r="C487" s="354"/>
      <c r="D487" s="354"/>
      <c r="E487" s="354"/>
      <c r="F487" s="354"/>
      <c r="G487" s="354"/>
      <c r="H487" s="355" t="s">
        <v>395</v>
      </c>
      <c r="I487" s="448"/>
      <c r="J487" s="356"/>
      <c r="K487" s="274"/>
    </row>
    <row r="488" spans="2:11" x14ac:dyDescent="0.25">
      <c r="B488" s="353">
        <v>484</v>
      </c>
      <c r="C488" s="354"/>
      <c r="D488" s="354"/>
      <c r="E488" s="354"/>
      <c r="F488" s="354"/>
      <c r="G488" s="354"/>
      <c r="H488" s="355" t="s">
        <v>395</v>
      </c>
      <c r="I488" s="448"/>
      <c r="J488" s="356"/>
      <c r="K488" s="274"/>
    </row>
    <row r="489" spans="2:11" x14ac:dyDescent="0.25">
      <c r="B489" s="353">
        <v>485</v>
      </c>
      <c r="C489" s="354"/>
      <c r="D489" s="354"/>
      <c r="E489" s="354"/>
      <c r="F489" s="354"/>
      <c r="G489" s="354"/>
      <c r="H489" s="355" t="s">
        <v>395</v>
      </c>
      <c r="I489" s="448"/>
      <c r="J489" s="356"/>
      <c r="K489" s="274"/>
    </row>
    <row r="490" spans="2:11" x14ac:dyDescent="0.25">
      <c r="B490" s="353">
        <v>486</v>
      </c>
      <c r="C490" s="354"/>
      <c r="D490" s="354"/>
      <c r="E490" s="354"/>
      <c r="F490" s="354"/>
      <c r="G490" s="354"/>
      <c r="H490" s="355" t="s">
        <v>395</v>
      </c>
      <c r="I490" s="448"/>
      <c r="J490" s="356"/>
      <c r="K490" s="274"/>
    </row>
    <row r="491" spans="2:11" x14ac:dyDescent="0.25">
      <c r="B491" s="353">
        <v>487</v>
      </c>
      <c r="C491" s="354"/>
      <c r="D491" s="354"/>
      <c r="E491" s="354"/>
      <c r="F491" s="354"/>
      <c r="G491" s="354"/>
      <c r="H491" s="355" t="s">
        <v>395</v>
      </c>
      <c r="I491" s="448"/>
      <c r="J491" s="356"/>
      <c r="K491" s="274"/>
    </row>
    <row r="492" spans="2:11" x14ac:dyDescent="0.25">
      <c r="B492" s="353">
        <v>488</v>
      </c>
      <c r="C492" s="354"/>
      <c r="D492" s="354"/>
      <c r="E492" s="354"/>
      <c r="F492" s="354"/>
      <c r="G492" s="354"/>
      <c r="H492" s="355" t="s">
        <v>395</v>
      </c>
      <c r="I492" s="448"/>
      <c r="J492" s="356"/>
      <c r="K492" s="274"/>
    </row>
    <row r="493" spans="2:11" x14ac:dyDescent="0.25">
      <c r="B493" s="353">
        <v>489</v>
      </c>
      <c r="C493" s="354"/>
      <c r="D493" s="354"/>
      <c r="E493" s="354"/>
      <c r="F493" s="354"/>
      <c r="G493" s="354"/>
      <c r="H493" s="355" t="s">
        <v>395</v>
      </c>
      <c r="I493" s="448"/>
      <c r="J493" s="356"/>
      <c r="K493" s="274"/>
    </row>
    <row r="494" spans="2:11" x14ac:dyDescent="0.25">
      <c r="B494" s="353">
        <v>490</v>
      </c>
      <c r="C494" s="354"/>
      <c r="D494" s="354"/>
      <c r="E494" s="354"/>
      <c r="F494" s="354"/>
      <c r="G494" s="354"/>
      <c r="H494" s="355" t="s">
        <v>395</v>
      </c>
      <c r="I494" s="448"/>
      <c r="J494" s="356"/>
      <c r="K494" s="274"/>
    </row>
    <row r="495" spans="2:11" x14ac:dyDescent="0.25">
      <c r="B495" s="353">
        <v>491</v>
      </c>
      <c r="C495" s="354"/>
      <c r="D495" s="354"/>
      <c r="E495" s="354"/>
      <c r="F495" s="354"/>
      <c r="G495" s="354"/>
      <c r="H495" s="355" t="s">
        <v>395</v>
      </c>
      <c r="I495" s="448"/>
      <c r="J495" s="356"/>
      <c r="K495" s="274"/>
    </row>
    <row r="496" spans="2:11" x14ac:dyDescent="0.25">
      <c r="B496" s="353">
        <v>492</v>
      </c>
      <c r="C496" s="354"/>
      <c r="D496" s="354"/>
      <c r="E496" s="354"/>
      <c r="F496" s="354"/>
      <c r="G496" s="354"/>
      <c r="H496" s="355" t="s">
        <v>395</v>
      </c>
      <c r="I496" s="448"/>
      <c r="J496" s="356"/>
      <c r="K496" s="274"/>
    </row>
    <row r="497" spans="2:11" x14ac:dyDescent="0.25">
      <c r="B497" s="353">
        <v>493</v>
      </c>
      <c r="C497" s="354"/>
      <c r="D497" s="354"/>
      <c r="E497" s="354"/>
      <c r="F497" s="354"/>
      <c r="G497" s="354"/>
      <c r="H497" s="355" t="s">
        <v>395</v>
      </c>
      <c r="I497" s="448"/>
      <c r="J497" s="356"/>
      <c r="K497" s="274"/>
    </row>
    <row r="498" spans="2:11" x14ac:dyDescent="0.25">
      <c r="B498" s="353">
        <v>494</v>
      </c>
      <c r="C498" s="354"/>
      <c r="D498" s="354"/>
      <c r="E498" s="354"/>
      <c r="F498" s="354"/>
      <c r="G498" s="354"/>
      <c r="H498" s="355" t="s">
        <v>395</v>
      </c>
      <c r="I498" s="448"/>
      <c r="J498" s="356"/>
      <c r="K498" s="274"/>
    </row>
    <row r="499" spans="2:11" x14ac:dyDescent="0.25">
      <c r="B499" s="353">
        <v>495</v>
      </c>
      <c r="C499" s="354"/>
      <c r="D499" s="354"/>
      <c r="E499" s="354"/>
      <c r="F499" s="354"/>
      <c r="G499" s="354"/>
      <c r="H499" s="355" t="s">
        <v>395</v>
      </c>
      <c r="I499" s="448"/>
      <c r="J499" s="356"/>
      <c r="K499" s="274"/>
    </row>
    <row r="500" spans="2:11" x14ac:dyDescent="0.25">
      <c r="B500" s="353">
        <v>496</v>
      </c>
      <c r="C500" s="354"/>
      <c r="D500" s="354"/>
      <c r="E500" s="354"/>
      <c r="F500" s="354"/>
      <c r="G500" s="354"/>
      <c r="H500" s="355" t="s">
        <v>395</v>
      </c>
      <c r="I500" s="448"/>
      <c r="J500" s="356"/>
      <c r="K500" s="274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9" customWidth="1"/>
    <col min="2" max="2" width="9.5703125" style="409" bestFit="1" customWidth="1"/>
    <col min="3" max="3" width="12.42578125" style="409" customWidth="1"/>
    <col min="4" max="4" width="13.5703125" style="409" bestFit="1" customWidth="1"/>
    <col min="5" max="5" width="9.140625" style="409" customWidth="1"/>
    <col min="6" max="6" width="12.5703125" style="409" customWidth="1"/>
    <col min="7" max="7" width="8.5703125" style="409" bestFit="1" customWidth="1"/>
    <col min="8" max="8" width="13.140625" style="409" customWidth="1"/>
    <col min="9" max="9" width="11.140625" style="409" bestFit="1" customWidth="1"/>
    <col min="10" max="10" width="12.140625" style="409" bestFit="1" customWidth="1"/>
    <col min="11" max="11" width="16.140625" style="409" customWidth="1"/>
    <col min="12" max="16384" width="8.5703125" style="409"/>
  </cols>
  <sheetData>
    <row r="1" spans="2:11" ht="12" customHeight="1" x14ac:dyDescent="0.25">
      <c r="C1" s="427"/>
      <c r="D1" s="428"/>
      <c r="E1" s="428"/>
      <c r="F1" s="428"/>
      <c r="G1" s="428"/>
      <c r="H1" s="428"/>
    </row>
    <row r="2" spans="2:11" ht="14.45" customHeight="1" x14ac:dyDescent="0.25">
      <c r="B2" s="410" t="s">
        <v>416</v>
      </c>
      <c r="C2" s="410" t="s">
        <v>417</v>
      </c>
      <c r="D2" s="410" t="s">
        <v>418</v>
      </c>
      <c r="E2" s="436" t="s">
        <v>419</v>
      </c>
      <c r="F2" s="436" t="s">
        <v>459</v>
      </c>
      <c r="G2" s="411" t="s">
        <v>420</v>
      </c>
      <c r="H2" s="412" t="s">
        <v>460</v>
      </c>
      <c r="I2" s="413" t="s">
        <v>461</v>
      </c>
      <c r="J2" s="413" t="s">
        <v>421</v>
      </c>
      <c r="K2" s="433" t="s">
        <v>463</v>
      </c>
    </row>
    <row r="3" spans="2:11" x14ac:dyDescent="0.25">
      <c r="B3" s="415" t="s">
        <v>304</v>
      </c>
      <c r="C3" s="414" t="s">
        <v>423</v>
      </c>
      <c r="D3" s="415" t="s">
        <v>303</v>
      </c>
      <c r="E3" s="415" t="s">
        <v>381</v>
      </c>
      <c r="F3" s="415" t="s">
        <v>424</v>
      </c>
      <c r="G3" s="415" t="s">
        <v>425</v>
      </c>
      <c r="H3" s="415" t="s">
        <v>311</v>
      </c>
      <c r="I3" s="415" t="s">
        <v>305</v>
      </c>
      <c r="J3" s="415" t="s">
        <v>394</v>
      </c>
      <c r="K3" s="429" t="s">
        <v>464</v>
      </c>
    </row>
    <row r="4" spans="2:11" x14ac:dyDescent="0.25">
      <c r="B4" s="415" t="s">
        <v>426</v>
      </c>
      <c r="C4" s="414" t="s">
        <v>427</v>
      </c>
      <c r="D4" s="415" t="s">
        <v>428</v>
      </c>
      <c r="E4" s="415" t="s">
        <v>353</v>
      </c>
      <c r="F4" s="415" t="s">
        <v>429</v>
      </c>
      <c r="G4" s="415" t="s">
        <v>67</v>
      </c>
      <c r="H4" s="415" t="s">
        <v>97</v>
      </c>
      <c r="I4" s="415" t="s">
        <v>430</v>
      </c>
      <c r="J4" s="415" t="s">
        <v>136</v>
      </c>
      <c r="K4" s="429" t="s">
        <v>465</v>
      </c>
    </row>
    <row r="5" spans="2:11" x14ac:dyDescent="0.25">
      <c r="B5" s="415"/>
      <c r="C5" s="414" t="s">
        <v>313</v>
      </c>
      <c r="D5" s="415" t="s">
        <v>431</v>
      </c>
      <c r="E5" s="415" t="s">
        <v>432</v>
      </c>
      <c r="F5" s="415" t="s">
        <v>433</v>
      </c>
      <c r="G5" s="415"/>
      <c r="H5" s="415" t="s">
        <v>434</v>
      </c>
      <c r="I5" s="415" t="s">
        <v>435</v>
      </c>
      <c r="J5" s="415" t="s">
        <v>436</v>
      </c>
      <c r="K5" s="430" t="s">
        <v>466</v>
      </c>
    </row>
    <row r="6" spans="2:11" x14ac:dyDescent="0.25">
      <c r="B6" s="415"/>
      <c r="C6" s="414" t="s">
        <v>437</v>
      </c>
      <c r="D6" s="415" t="s">
        <v>438</v>
      </c>
      <c r="E6" s="415" t="s">
        <v>422</v>
      </c>
      <c r="F6" s="415" t="s">
        <v>334</v>
      </c>
      <c r="G6" s="415"/>
      <c r="H6" s="415" t="s">
        <v>439</v>
      </c>
      <c r="I6" s="415"/>
      <c r="J6" s="415" t="s">
        <v>440</v>
      </c>
      <c r="K6" s="431" t="s">
        <v>100</v>
      </c>
    </row>
    <row r="7" spans="2:11" x14ac:dyDescent="0.25">
      <c r="B7" s="415"/>
      <c r="C7" s="414" t="s">
        <v>441</v>
      </c>
      <c r="D7" s="415" t="s">
        <v>442</v>
      </c>
      <c r="E7" s="415" t="s">
        <v>443</v>
      </c>
      <c r="F7" s="415" t="s">
        <v>444</v>
      </c>
      <c r="G7" s="415"/>
      <c r="H7" s="415"/>
      <c r="I7" s="415"/>
      <c r="J7" s="415" t="s">
        <v>445</v>
      </c>
      <c r="K7" s="430" t="s">
        <v>467</v>
      </c>
    </row>
    <row r="8" spans="2:11" x14ac:dyDescent="0.25">
      <c r="B8" s="415"/>
      <c r="C8" s="414" t="s">
        <v>446</v>
      </c>
      <c r="D8" s="415" t="s">
        <v>447</v>
      </c>
      <c r="E8" s="415" t="s">
        <v>448</v>
      </c>
      <c r="F8" s="415" t="s">
        <v>449</v>
      </c>
      <c r="G8" s="415"/>
      <c r="H8" s="415"/>
      <c r="I8" s="415"/>
      <c r="J8" s="415"/>
      <c r="K8" s="430" t="s">
        <v>468</v>
      </c>
    </row>
    <row r="9" spans="2:11" x14ac:dyDescent="0.25">
      <c r="B9" s="415"/>
      <c r="C9" s="414" t="s">
        <v>450</v>
      </c>
      <c r="D9" s="415" t="s">
        <v>451</v>
      </c>
      <c r="E9" s="415" t="s">
        <v>452</v>
      </c>
      <c r="F9" s="415" t="s">
        <v>453</v>
      </c>
      <c r="G9" s="415"/>
      <c r="H9" s="415"/>
      <c r="I9" s="415"/>
      <c r="J9" s="415"/>
      <c r="K9" s="430" t="s">
        <v>469</v>
      </c>
    </row>
    <row r="10" spans="2:11" x14ac:dyDescent="0.25">
      <c r="B10" s="415"/>
      <c r="C10" s="414" t="s">
        <v>454</v>
      </c>
      <c r="D10" s="415" t="s">
        <v>455</v>
      </c>
      <c r="E10" s="415" t="s">
        <v>456</v>
      </c>
      <c r="F10" s="415"/>
      <c r="G10" s="415"/>
      <c r="H10" s="415"/>
      <c r="I10" s="415"/>
      <c r="J10" s="415"/>
      <c r="K10" s="430" t="s">
        <v>462</v>
      </c>
    </row>
    <row r="11" spans="2:11" x14ac:dyDescent="0.25">
      <c r="B11" s="415"/>
      <c r="C11" s="414" t="s">
        <v>457</v>
      </c>
      <c r="D11" s="415" t="s">
        <v>458</v>
      </c>
      <c r="E11" s="415"/>
      <c r="F11" s="415"/>
      <c r="G11" s="415"/>
      <c r="H11" s="415"/>
      <c r="I11" s="415"/>
      <c r="J11" s="415"/>
      <c r="K11" s="429" t="s">
        <v>470</v>
      </c>
    </row>
    <row r="12" spans="2:11" x14ac:dyDescent="0.25">
      <c r="B12" s="415"/>
      <c r="C12" s="415"/>
      <c r="D12" s="415"/>
      <c r="E12" s="415"/>
      <c r="F12" s="415"/>
      <c r="G12" s="415"/>
      <c r="H12" s="415"/>
      <c r="I12" s="415"/>
      <c r="J12" s="415"/>
      <c r="K12" s="430" t="s">
        <v>471</v>
      </c>
    </row>
    <row r="13" spans="2:11" x14ac:dyDescent="0.25">
      <c r="B13" s="415"/>
      <c r="C13" s="415"/>
      <c r="D13" s="415"/>
      <c r="E13" s="415"/>
      <c r="F13" s="415"/>
      <c r="G13" s="415"/>
      <c r="H13" s="415"/>
      <c r="I13" s="415"/>
      <c r="J13" s="415"/>
      <c r="K13" s="431" t="s">
        <v>98</v>
      </c>
    </row>
    <row r="14" spans="2:11" x14ac:dyDescent="0.25">
      <c r="B14" s="415"/>
      <c r="C14" s="414"/>
      <c r="D14" s="415"/>
      <c r="E14" s="415"/>
      <c r="F14" s="415"/>
      <c r="G14" s="415"/>
      <c r="H14" s="415"/>
      <c r="I14" s="415"/>
      <c r="J14" s="415"/>
      <c r="K14" s="431" t="s">
        <v>472</v>
      </c>
    </row>
    <row r="15" spans="2:11" ht="14.45" customHeight="1" x14ac:dyDescent="0.25">
      <c r="B15" s="415"/>
      <c r="C15" s="416"/>
      <c r="D15" s="416"/>
      <c r="E15" s="415"/>
      <c r="F15" s="416"/>
      <c r="G15" s="415"/>
      <c r="H15" s="416"/>
      <c r="I15" s="416"/>
      <c r="J15" s="416"/>
      <c r="K15" s="429" t="s">
        <v>473</v>
      </c>
    </row>
    <row r="16" spans="2:11" x14ac:dyDescent="0.25">
      <c r="B16" s="415"/>
      <c r="C16" s="415"/>
      <c r="D16" s="416"/>
      <c r="E16" s="415"/>
      <c r="F16" s="416"/>
      <c r="G16" s="415"/>
      <c r="H16" s="416"/>
      <c r="I16" s="416"/>
      <c r="J16" s="416"/>
      <c r="K16" s="430" t="s">
        <v>105</v>
      </c>
    </row>
    <row r="17" spans="2:11" x14ac:dyDescent="0.25">
      <c r="B17" s="415"/>
      <c r="C17" s="415"/>
      <c r="D17" s="415"/>
      <c r="E17" s="415"/>
      <c r="F17" s="415"/>
      <c r="G17" s="415"/>
      <c r="H17" s="415"/>
      <c r="I17" s="415"/>
      <c r="J17" s="415"/>
      <c r="K17" s="430" t="s">
        <v>474</v>
      </c>
    </row>
    <row r="18" spans="2:11" x14ac:dyDescent="0.25">
      <c r="B18" s="415"/>
      <c r="C18" s="415"/>
      <c r="D18" s="415"/>
      <c r="E18" s="415"/>
      <c r="F18" s="415"/>
      <c r="G18" s="415"/>
      <c r="H18" s="415"/>
      <c r="I18" s="415"/>
      <c r="J18" s="415"/>
      <c r="K18" s="430" t="s">
        <v>108</v>
      </c>
    </row>
    <row r="19" spans="2:11" x14ac:dyDescent="0.25">
      <c r="B19" s="415"/>
      <c r="C19" s="415"/>
      <c r="D19" s="415"/>
      <c r="E19" s="415"/>
      <c r="F19" s="415"/>
      <c r="G19" s="415"/>
      <c r="H19" s="415"/>
      <c r="I19" s="415"/>
      <c r="J19" s="415"/>
      <c r="K19" s="431" t="s">
        <v>101</v>
      </c>
    </row>
    <row r="20" spans="2:11" x14ac:dyDescent="0.25">
      <c r="B20" s="415"/>
      <c r="C20" s="415"/>
      <c r="D20" s="415"/>
      <c r="E20" s="415"/>
      <c r="F20" s="415"/>
      <c r="G20" s="415"/>
      <c r="H20" s="415"/>
      <c r="I20" s="415"/>
      <c r="J20" s="415"/>
      <c r="K20" s="429" t="s">
        <v>475</v>
      </c>
    </row>
    <row r="21" spans="2:11" x14ac:dyDescent="0.25">
      <c r="B21" s="415"/>
      <c r="C21" s="415"/>
      <c r="D21" s="415"/>
      <c r="E21" s="415"/>
      <c r="F21" s="415"/>
      <c r="G21" s="415"/>
      <c r="H21" s="415"/>
      <c r="I21" s="415"/>
      <c r="J21" s="415"/>
      <c r="K21" s="429" t="s">
        <v>476</v>
      </c>
    </row>
    <row r="22" spans="2:11" x14ac:dyDescent="0.25">
      <c r="B22" s="415"/>
      <c r="C22" s="415"/>
      <c r="D22" s="415"/>
      <c r="E22" s="415"/>
      <c r="F22" s="415"/>
      <c r="G22" s="415"/>
      <c r="H22" s="415"/>
      <c r="I22" s="415"/>
      <c r="J22" s="415"/>
      <c r="K22" s="430" t="s">
        <v>103</v>
      </c>
    </row>
    <row r="23" spans="2:11" x14ac:dyDescent="0.25">
      <c r="B23" s="415"/>
      <c r="C23" s="415"/>
      <c r="D23" s="415"/>
      <c r="E23" s="415"/>
      <c r="F23" s="415"/>
      <c r="G23" s="415"/>
      <c r="H23" s="415"/>
      <c r="I23" s="415"/>
      <c r="J23" s="415"/>
      <c r="K23" s="431" t="s">
        <v>477</v>
      </c>
    </row>
    <row r="24" spans="2:11" x14ac:dyDescent="0.25">
      <c r="B24" s="434"/>
      <c r="C24" s="434"/>
      <c r="D24" s="434"/>
      <c r="E24" s="434"/>
      <c r="F24" s="434"/>
      <c r="G24" s="434"/>
      <c r="H24" s="434"/>
      <c r="I24" s="434"/>
      <c r="J24" s="434"/>
      <c r="K24" s="430" t="s">
        <v>107</v>
      </c>
    </row>
    <row r="25" spans="2:11" ht="14.45" customHeight="1" x14ac:dyDescent="0.25">
      <c r="B25" s="434"/>
      <c r="C25" s="676"/>
      <c r="D25" s="416"/>
      <c r="E25" s="437"/>
      <c r="F25" s="437"/>
      <c r="G25" s="434"/>
      <c r="H25" s="437"/>
      <c r="I25" s="434"/>
      <c r="J25" s="434"/>
      <c r="K25" s="429" t="s">
        <v>478</v>
      </c>
    </row>
    <row r="26" spans="2:11" x14ac:dyDescent="0.25">
      <c r="B26" s="434"/>
      <c r="C26" s="676"/>
      <c r="D26" s="416"/>
      <c r="E26" s="434"/>
      <c r="F26" s="434"/>
      <c r="G26" s="434"/>
      <c r="H26" s="437"/>
      <c r="I26" s="434"/>
      <c r="J26" s="434"/>
      <c r="K26" s="429" t="s">
        <v>479</v>
      </c>
    </row>
    <row r="27" spans="2:11" x14ac:dyDescent="0.25">
      <c r="B27" s="434"/>
      <c r="C27" s="434"/>
      <c r="D27" s="434"/>
      <c r="E27" s="434"/>
      <c r="F27" s="438"/>
      <c r="G27" s="434"/>
      <c r="H27" s="434"/>
      <c r="I27" s="434"/>
      <c r="J27" s="434"/>
      <c r="K27" s="431" t="s">
        <v>480</v>
      </c>
    </row>
    <row r="28" spans="2:11" x14ac:dyDescent="0.25">
      <c r="B28" s="434"/>
      <c r="C28" s="434"/>
      <c r="D28" s="434"/>
      <c r="E28" s="434"/>
      <c r="F28" s="434"/>
      <c r="G28" s="434"/>
      <c r="H28" s="434"/>
      <c r="I28" s="434"/>
      <c r="J28" s="434"/>
      <c r="K28" s="430" t="s">
        <v>102</v>
      </c>
    </row>
    <row r="29" spans="2:11" x14ac:dyDescent="0.25">
      <c r="B29" s="434"/>
      <c r="C29" s="434"/>
      <c r="D29" s="434"/>
      <c r="E29" s="434"/>
      <c r="F29" s="434"/>
      <c r="G29" s="434"/>
      <c r="H29" s="434"/>
      <c r="I29" s="434"/>
      <c r="J29" s="434"/>
      <c r="K29" s="431" t="s">
        <v>99</v>
      </c>
    </row>
    <row r="30" spans="2:11" x14ac:dyDescent="0.25">
      <c r="B30" s="434"/>
      <c r="C30" s="434"/>
      <c r="D30" s="434"/>
      <c r="E30" s="434"/>
      <c r="F30" s="434"/>
      <c r="G30" s="434"/>
      <c r="H30" s="434"/>
      <c r="I30" s="434"/>
      <c r="J30" s="434"/>
      <c r="K30" s="431" t="s">
        <v>481</v>
      </c>
    </row>
    <row r="31" spans="2:11" x14ac:dyDescent="0.25">
      <c r="B31" s="434"/>
      <c r="C31" s="434"/>
      <c r="D31" s="434"/>
      <c r="E31" s="434"/>
      <c r="F31" s="434"/>
      <c r="G31" s="434"/>
      <c r="H31" s="434"/>
      <c r="I31" s="434"/>
      <c r="J31" s="434"/>
      <c r="K31" s="430" t="s">
        <v>482</v>
      </c>
    </row>
    <row r="32" spans="2:11" x14ac:dyDescent="0.25">
      <c r="B32" s="434"/>
      <c r="C32" s="434"/>
      <c r="D32" s="434"/>
      <c r="E32" s="434"/>
      <c r="F32" s="434"/>
      <c r="G32" s="434"/>
      <c r="H32" s="434"/>
      <c r="I32" s="434"/>
      <c r="J32" s="434"/>
      <c r="K32" s="430" t="s">
        <v>483</v>
      </c>
    </row>
    <row r="33" spans="2:11" x14ac:dyDescent="0.25">
      <c r="B33" s="434"/>
      <c r="C33" s="434"/>
      <c r="D33" s="434"/>
      <c r="E33" s="434"/>
      <c r="F33" s="434"/>
      <c r="G33" s="434"/>
      <c r="H33" s="434"/>
      <c r="I33" s="434"/>
      <c r="J33" s="434"/>
      <c r="K33" s="429" t="s">
        <v>484</v>
      </c>
    </row>
    <row r="34" spans="2:11" x14ac:dyDescent="0.25">
      <c r="B34" s="435"/>
      <c r="C34" s="435"/>
      <c r="D34" s="435"/>
      <c r="E34" s="435"/>
      <c r="F34" s="435"/>
      <c r="G34" s="435"/>
      <c r="H34" s="435"/>
      <c r="I34" s="435"/>
      <c r="J34" s="435"/>
      <c r="K34" s="432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7" t="s">
        <v>326</v>
      </c>
      <c r="B1" s="677"/>
      <c r="C1" s="677"/>
      <c r="D1" s="677"/>
      <c r="E1" s="261"/>
      <c r="F1" s="261"/>
      <c r="G1" s="677" t="s">
        <v>327</v>
      </c>
      <c r="H1" s="677"/>
      <c r="I1" s="677"/>
    </row>
    <row r="2" spans="1:15" x14ac:dyDescent="0.25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411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0">
        <f>IF('Actual Test Data'!$C$23="Yes",'Actual Test Data'!AB22,'Actual Test Data'!AA22)</f>
        <v>0.84472980113763063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0">
        <f>IF('Actual Test Data'!$C$23="Yes",'Actual Test Data'!AB23,'Actual Test Data'!AA23)</f>
        <v>0.85413602350379358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0">
        <f>IF('Actual Test Data'!$C$23="Yes",'Actual Test Data'!AB24,'Actual Test Data'!AA24)</f>
        <v>0.85802904247659162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0">
        <f>IF('Actual Test Data'!$C$23="Yes",'Actual Test Data'!AB25,'Actual Test Data'!AA25)</f>
        <v>0.83862467997507517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0">
        <f>IF('Actual Test Data'!$C$23="Yes",'Actual Test Data'!AB26,'Actual Test Data'!AA26)</f>
        <v>0.78971731765291686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0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0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0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0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0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2023-02-04T23:35:17Z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