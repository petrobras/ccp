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F27DF5A8-4BF3-4496-AD3D-DAD18F120024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<sst xmlns="http://schemas.openxmlformats.org/spreadsheetml/2006/main" count="1626" uniqueCount="493">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</sst>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5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0" fillId="5" borderId="21" xfId="0" applyFill="1" applyBorder="1"/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2" borderId="26" xfId="0" applyFill="1" applyBorder="1"/>
    <xf numFmtId="0" fontId="0" fillId="2" borderId="45" xfId="0" applyFill="1" applyBorder="1"/>
    <xf numFmtId="0" fontId="0" fillId="2" borderId="29" xfId="0" applyFill="1" applyBorder="1"/>
    <xf numFmtId="0" fontId="0" fillId="2" borderId="64" xfId="0" applyFill="1" applyBorder="1"/>
    <xf numFmtId="0" fontId="2" fillId="2" borderId="69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11" fontId="25" fillId="0" borderId="64" xfId="0" applyNumberFormat="1" applyFont="1" applyBorder="1" applyAlignment="1">
      <alignment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0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6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0.11513802429495275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-1.7242221769617316E-2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0.84289141253880373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6234.395967698315</c:v>
                </c:pt>
                <c:pt idx="1">
                  <c:v>8299.2273905488528</c:v>
                </c:pt>
                <c:pt idx="2" formatCode="0.0000">
                  <c:v>10350.518468207427</c:v>
                </c:pt>
                <c:pt idx="3">
                  <c:v>10465.694643013538</c:v>
                </c:pt>
                <c:pt idx="4">
                  <c:v>11953.649032148505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0.7506432079760964</c:v>
                </c:pt>
                <c:pt idx="1">
                  <c:v>0.81979078103720937</c:v>
                </c:pt>
                <c:pt idx="2">
                  <c:v>0.86508301761014039</c:v>
                </c:pt>
                <c:pt idx="3">
                  <c:v>0.86084287803822501</c:v>
                </c:pt>
                <c:pt idx="4">
                  <c:v>0.77705686606017321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0.11387043641197767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-1.728533690070037E-2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205.7856860574696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6234.395967698315</c:v>
                </c:pt>
                <c:pt idx="1">
                  <c:v>8299.2273905488528</c:v>
                </c:pt>
                <c:pt idx="2" formatCode="0.0000">
                  <c:v>10350.518468207427</c:v>
                </c:pt>
                <c:pt idx="3">
                  <c:v>10465.694643013538</c:v>
                </c:pt>
                <c:pt idx="4">
                  <c:v>11953.649032148505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253.56749076145334</c:v>
                </c:pt>
                <c:pt idx="1">
                  <c:v>233.83267901385696</c:v>
                </c:pt>
                <c:pt idx="2">
                  <c:v>210.165104201372</c:v>
                </c:pt>
                <c:pt idx="3">
                  <c:v>205.41314478569484</c:v>
                </c:pt>
                <c:pt idx="4">
                  <c:v>170.77036723439193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33</xdr:row>
          <xdr:rowOff>95250</xdr:rowOff>
        </xdr:from>
        <xdr:to>
          <xdr:col>8</xdr:col>
          <xdr:colOff>716280</xdr:colOff>
          <xdr:row>35</xdr:row>
          <xdr:rowOff>182880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11430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A14" zoomScale="85" zoomScaleNormal="85" workbookViewId="0">
      <selection activeCell="AP24" sqref="AP24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49" t="s">
        <v>421</v>
      </c>
      <c r="B3" s="450"/>
      <c r="C3" s="450"/>
      <c r="D3" s="448"/>
      <c r="E3" s="448"/>
      <c r="F3" s="448"/>
      <c r="G3" s="448"/>
      <c r="H3" s="448"/>
      <c r="I3" s="448"/>
      <c r="J3" s="448"/>
      <c r="K3" s="448"/>
      <c r="L3" s="448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3" t="s">
        <v>5</v>
      </c>
      <c r="B4" s="524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9"/>
      <c r="AE4" s="519"/>
      <c r="AF4" s="519"/>
      <c r="AG4" s="519"/>
      <c r="AH4" s="519"/>
      <c r="AI4" s="519"/>
      <c r="AJ4" s="519"/>
      <c r="AK4" s="51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25" t="s">
        <v>8</v>
      </c>
      <c r="B5" s="526"/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27" t="s">
        <v>282</v>
      </c>
      <c r="B6" s="528"/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2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516" t="s">
        <v>31</v>
      </c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3"/>
      <c r="T16" s="516" t="s">
        <v>33</v>
      </c>
      <c r="U16" s="517"/>
      <c r="V16" s="517"/>
      <c r="W16" s="517"/>
      <c r="X16" s="517"/>
      <c r="Y16" s="518"/>
      <c r="Z16" s="516" t="s">
        <v>34</v>
      </c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6" t="s">
        <v>35</v>
      </c>
      <c r="U17" s="517"/>
      <c r="V17" s="518"/>
      <c r="W17" s="516" t="s">
        <v>36</v>
      </c>
      <c r="X17" s="517"/>
      <c r="Y17" s="518"/>
      <c r="Z17" s="516" t="s">
        <v>35</v>
      </c>
      <c r="AA17" s="517"/>
      <c r="AB17" s="518"/>
      <c r="AC17" s="516" t="s">
        <v>36</v>
      </c>
      <c r="AD17" s="517"/>
      <c r="AE17" s="518"/>
      <c r="AF17" s="516" t="s">
        <v>35</v>
      </c>
      <c r="AG17" s="517"/>
      <c r="AH17" s="518"/>
      <c r="AI17" s="516" t="s">
        <v>36</v>
      </c>
      <c r="AJ17" s="517"/>
      <c r="AK17" s="517"/>
      <c r="AL17" s="517"/>
      <c r="AM17" s="51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31"/>
      <c r="U18" s="532"/>
      <c r="V18" s="533"/>
      <c r="W18" s="531"/>
      <c r="X18" s="532"/>
      <c r="Y18" s="533"/>
      <c r="Z18" s="531"/>
      <c r="AA18" s="532"/>
      <c r="AB18" s="533"/>
      <c r="AC18" s="531"/>
      <c r="AD18" s="532"/>
      <c r="AE18" s="533"/>
      <c r="AF18" s="531"/>
      <c r="AG18" s="532"/>
      <c r="AH18" s="533"/>
      <c r="AI18" s="531"/>
      <c r="AJ18" s="532"/>
      <c r="AK18" s="532"/>
      <c r="AL18" s="532"/>
      <c r="AM18" s="533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31"/>
      <c r="U19" s="532"/>
      <c r="V19" s="533"/>
      <c r="W19" s="531"/>
      <c r="X19" s="532"/>
      <c r="Y19" s="533"/>
      <c r="Z19" s="531"/>
      <c r="AA19" s="532"/>
      <c r="AB19" s="533"/>
      <c r="AC19" s="531"/>
      <c r="AD19" s="532"/>
      <c r="AE19" s="533"/>
      <c r="AF19" s="531"/>
      <c r="AG19" s="532"/>
      <c r="AH19" s="533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3">
        <v>223763</v>
      </c>
      <c r="U21" s="514"/>
      <c r="V21" s="515"/>
      <c r="W21" s="504">
        <v>327439.09999999998</v>
      </c>
      <c r="X21" s="505"/>
      <c r="Y21" s="506"/>
      <c r="Z21" s="534"/>
      <c r="AA21" s="535"/>
      <c r="AB21" s="536"/>
      <c r="AC21" s="486"/>
      <c r="AD21" s="487"/>
      <c r="AE21" s="488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83">
        <v>26.18</v>
      </c>
      <c r="U23" s="484"/>
      <c r="V23" s="485"/>
      <c r="W23" s="504">
        <v>499.4</v>
      </c>
      <c r="X23" s="505"/>
      <c r="Y23" s="506"/>
      <c r="Z23" s="507"/>
      <c r="AA23" s="508"/>
      <c r="AB23" s="509"/>
      <c r="AC23" s="492"/>
      <c r="AD23" s="493"/>
      <c r="AE23" s="494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3">
        <v>20.56</v>
      </c>
      <c r="U24" s="484"/>
      <c r="V24" s="485"/>
      <c r="W24" s="504">
        <v>84.8</v>
      </c>
      <c r="X24" s="505"/>
      <c r="Y24" s="506"/>
      <c r="Z24" s="507"/>
      <c r="AA24" s="508"/>
      <c r="AB24" s="509"/>
      <c r="AC24" s="492"/>
      <c r="AD24" s="493"/>
      <c r="AE24" s="494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37" t="s">
        <v>306</v>
      </c>
      <c r="AR24" s="538"/>
      <c r="AS24" s="539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61" t="s">
        <v>307</v>
      </c>
      <c r="AR25" s="562"/>
      <c r="AS25" s="255">
        <v>0.55924608409978271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63" t="s">
        <v>308</v>
      </c>
      <c r="AR26" s="559"/>
      <c r="AS26" s="346">
        <v>11571932.177459618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10"/>
      <c r="AD27" s="511"/>
      <c r="AE27" s="512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64" t="s">
        <v>309</v>
      </c>
      <c r="AR27" s="565"/>
      <c r="AS27" s="342">
        <v>2.7877163462888142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60" t="s">
        <v>383</v>
      </c>
      <c r="AQ28" s="529" t="s">
        <v>379</v>
      </c>
      <c r="AR28" s="530"/>
      <c r="AS28" s="345">
        <v>206254.58328477046</v>
      </c>
      <c r="AT28" s="59" t="s">
        <v>382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3">
        <v>10407</v>
      </c>
      <c r="U29" s="514"/>
      <c r="V29" s="515"/>
      <c r="W29" s="504">
        <v>0</v>
      </c>
      <c r="X29" s="505"/>
      <c r="Y29" s="506"/>
      <c r="Z29" s="507"/>
      <c r="AA29" s="508"/>
      <c r="AB29" s="509"/>
      <c r="AC29" s="492"/>
      <c r="AD29" s="493"/>
      <c r="AE29" s="494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61"/>
      <c r="AQ29" s="552" t="s">
        <v>378</v>
      </c>
      <c r="AR29" s="553"/>
      <c r="AS29" s="347">
        <v>144.38311248699148</v>
      </c>
      <c r="AT29" s="59" t="s">
        <v>146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62"/>
      <c r="AQ30" s="554" t="s">
        <v>380</v>
      </c>
      <c r="AR30" s="555"/>
      <c r="AS30" s="341">
        <v>15408.702029764321</v>
      </c>
      <c r="AT30" s="59" t="s">
        <v>311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3">
        <v>105.923</v>
      </c>
      <c r="U31" s="484"/>
      <c r="V31" s="485"/>
      <c r="W31" s="504">
        <v>499.5</v>
      </c>
      <c r="X31" s="505"/>
      <c r="Y31" s="506"/>
      <c r="Z31" s="507"/>
      <c r="AA31" s="508"/>
      <c r="AB31" s="509"/>
      <c r="AC31" s="492"/>
      <c r="AD31" s="493"/>
      <c r="AE31" s="494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60" t="s">
        <v>384</v>
      </c>
      <c r="AQ31" s="556" t="s">
        <v>379</v>
      </c>
      <c r="AR31" s="557"/>
      <c r="AS31" s="344">
        <v>205785.6860574696</v>
      </c>
      <c r="AT31" s="59" t="s">
        <v>382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3">
        <v>143.01</v>
      </c>
      <c r="U32" s="484"/>
      <c r="V32" s="485"/>
      <c r="W32" s="504">
        <v>84.899999999999991</v>
      </c>
      <c r="X32" s="505"/>
      <c r="Y32" s="506"/>
      <c r="Z32" s="507"/>
      <c r="AA32" s="508"/>
      <c r="AB32" s="509"/>
      <c r="AC32" s="492"/>
      <c r="AD32" s="493"/>
      <c r="AE32" s="494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61"/>
      <c r="AQ32" s="558" t="s">
        <v>310</v>
      </c>
      <c r="AR32" s="559"/>
      <c r="AS32" s="348">
        <v>0.84289141253880373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62"/>
      <c r="AQ33" s="560" t="s">
        <v>381</v>
      </c>
      <c r="AR33" s="551"/>
      <c r="AS33" s="343">
        <v>15175.021289905519</v>
      </c>
      <c r="AT33" s="9" t="s">
        <v>311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50" t="s">
        <v>341</v>
      </c>
      <c r="AR34" s="551"/>
      <c r="AS34" s="343">
        <v>10418.639615772432</v>
      </c>
      <c r="AT34" s="59" t="s">
        <v>313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3">
        <v>15500</v>
      </c>
      <c r="U35" s="484"/>
      <c r="V35" s="485"/>
      <c r="W35" s="504">
        <v>0.1</v>
      </c>
      <c r="X35" s="505"/>
      <c r="Y35" s="506"/>
      <c r="Z35" s="507"/>
      <c r="AA35" s="508"/>
      <c r="AB35" s="509"/>
      <c r="AC35" s="492"/>
      <c r="AD35" s="493"/>
      <c r="AE35" s="494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1">
        <v>15610</v>
      </c>
      <c r="U36" s="502"/>
      <c r="V36" s="502"/>
      <c r="W36" s="502"/>
      <c r="X36" s="502"/>
      <c r="Y36" s="503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40" t="s">
        <v>349</v>
      </c>
      <c r="AQ36" s="541"/>
      <c r="AR36" s="541"/>
      <c r="AS36" s="542"/>
      <c r="AT36" s="543" t="s">
        <v>350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351</v>
      </c>
      <c r="AQ37" s="544" t="s">
        <v>352</v>
      </c>
      <c r="AR37" s="544"/>
      <c r="AS37" s="266" t="s">
        <v>353</v>
      </c>
      <c r="AT37" s="543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3">
        <v>9394</v>
      </c>
      <c r="U38" s="484"/>
      <c r="V38" s="484"/>
      <c r="W38" s="484"/>
      <c r="X38" s="484"/>
      <c r="Y38" s="485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545" t="s">
        <v>354</v>
      </c>
      <c r="AR38" s="545"/>
      <c r="AS38" s="268" t="s">
        <v>67</v>
      </c>
      <c r="AT38" s="543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10418.639615772432</v>
      </c>
      <c r="AQ39" s="546">
        <v>205.7856860574696</v>
      </c>
      <c r="AR39" s="547"/>
      <c r="AS39" s="269">
        <v>0.84289141253880373</v>
      </c>
      <c r="AT39" s="543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3">
        <v>205580</v>
      </c>
      <c r="U40" s="484"/>
      <c r="V40" s="485"/>
      <c r="W40" s="486">
        <v>0</v>
      </c>
      <c r="X40" s="487"/>
      <c r="Y40" s="488"/>
      <c r="Z40" s="489"/>
      <c r="AA40" s="490"/>
      <c r="AB40" s="491"/>
      <c r="AC40" s="492"/>
      <c r="AD40" s="493"/>
      <c r="AE40" s="494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/>
      <c r="AQ40" s="546"/>
      <c r="AR40" s="547"/>
      <c r="AS40" s="269"/>
      <c r="AT40" s="543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5">
        <v>0.83199999999999996</v>
      </c>
      <c r="U41" s="496"/>
      <c r="V41" s="497"/>
      <c r="W41" s="486">
        <v>0</v>
      </c>
      <c r="X41" s="487"/>
      <c r="Y41" s="488"/>
      <c r="Z41" s="498"/>
      <c r="AA41" s="499"/>
      <c r="AB41" s="500"/>
      <c r="AC41" s="492"/>
      <c r="AD41" s="493"/>
      <c r="AE41" s="494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/>
      <c r="AQ41" s="546"/>
      <c r="AR41" s="547"/>
      <c r="AS41" s="269"/>
      <c r="AT41" s="543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/>
      <c r="AQ42" s="548"/>
      <c r="AR42" s="548"/>
      <c r="AS42" s="269"/>
      <c r="AT42" s="543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/>
      <c r="AQ43" s="548"/>
      <c r="AR43" s="548"/>
      <c r="AS43" s="269"/>
      <c r="AT43" s="543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548"/>
      <c r="AR44" s="548"/>
      <c r="AS44" s="269"/>
      <c r="AT44" s="543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548"/>
      <c r="AR45" s="548"/>
      <c r="AS45" s="269"/>
      <c r="AT45" s="543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549"/>
      <c r="AR46" s="549"/>
      <c r="AS46" s="293"/>
      <c r="AT46" s="543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7"/>
      <c r="AP50" s="447"/>
      <c r="AQ50" s="447"/>
      <c r="AR50" s="447"/>
      <c r="AS50" s="447"/>
      <c r="AT50" s="447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7"/>
      <c r="AP51" s="447"/>
      <c r="AQ51" s="447"/>
      <c r="AR51" s="447"/>
      <c r="AS51" s="447"/>
      <c r="AT51" s="447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7"/>
      <c r="AP52" s="447"/>
      <c r="AQ52" s="447"/>
      <c r="AR52" s="447"/>
      <c r="AS52" s="447"/>
      <c r="AT52" s="447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7"/>
      <c r="AP53" s="447"/>
      <c r="AQ53" s="447"/>
      <c r="AR53" s="447"/>
      <c r="AS53" s="447"/>
      <c r="AT53" s="447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7"/>
      <c r="AP54" s="447"/>
      <c r="AQ54" s="447"/>
      <c r="AR54" s="447"/>
      <c r="AS54" s="447"/>
      <c r="AT54" s="447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7"/>
      <c r="AP55" s="447"/>
      <c r="AQ55" s="447"/>
      <c r="AR55" s="447"/>
      <c r="AS55" s="447"/>
      <c r="AT55" s="447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7"/>
      <c r="AP56" s="447"/>
      <c r="AQ56" s="447"/>
      <c r="AR56" s="447"/>
      <c r="AS56" s="447"/>
      <c r="AT56" s="447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7"/>
      <c r="AP57" s="447"/>
      <c r="AQ57" s="447"/>
      <c r="AR57" s="447"/>
      <c r="AS57" s="447"/>
      <c r="AT57" s="447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7"/>
      <c r="AP58" s="447"/>
      <c r="AQ58" s="447"/>
      <c r="AR58" s="447"/>
      <c r="AS58" s="447"/>
      <c r="AT58" s="447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64">
        <v>0</v>
      </c>
      <c r="X61" s="464"/>
      <c r="Y61" s="464"/>
      <c r="Z61" s="464"/>
      <c r="AA61" s="464"/>
      <c r="AB61" s="91" t="s">
        <v>2</v>
      </c>
      <c r="AC61" s="91"/>
      <c r="AD61" s="91"/>
      <c r="AE61" s="464" t="s">
        <v>84</v>
      </c>
      <c r="AF61" s="464"/>
      <c r="AG61" s="464"/>
      <c r="AH61" s="464"/>
      <c r="AI61" s="464"/>
      <c r="AJ61" s="464"/>
      <c r="AK61" s="464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65" t="s">
        <v>84</v>
      </c>
      <c r="Y62" s="465"/>
      <c r="Z62" s="465"/>
      <c r="AA62" s="465"/>
      <c r="AB62" s="96" t="s">
        <v>7</v>
      </c>
      <c r="AC62" s="96"/>
      <c r="AD62" s="464" t="s">
        <v>84</v>
      </c>
      <c r="AE62" s="464"/>
      <c r="AF62" s="464"/>
      <c r="AG62" s="464"/>
      <c r="AH62" s="464"/>
      <c r="AI62" s="464"/>
      <c r="AJ62" s="464"/>
      <c r="AK62" s="464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66" t="s">
        <v>89</v>
      </c>
      <c r="L66" s="467"/>
      <c r="M66" s="467"/>
      <c r="N66" s="467"/>
      <c r="O66" s="467"/>
      <c r="P66" s="467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81" t="s">
        <v>96</v>
      </c>
      <c r="AE67" s="482"/>
      <c r="AF67" s="482"/>
      <c r="AG67" s="482"/>
      <c r="AH67" s="482"/>
      <c r="AI67" s="482"/>
      <c r="AJ67" s="482"/>
      <c r="AK67" s="482"/>
      <c r="AL67" s="482"/>
      <c r="AM67" s="116"/>
      <c r="AN67" s="9"/>
      <c r="AO67" s="429"/>
      <c r="AP67" s="429"/>
      <c r="AQ67" s="429"/>
      <c r="AR67" s="432"/>
      <c r="AS67" s="432"/>
      <c r="AT67" s="432"/>
      <c r="AU67" s="432"/>
      <c r="AV67" s="432"/>
      <c r="AW67" s="432"/>
      <c r="AX67" s="432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9"/>
      <c r="AP68" s="429"/>
      <c r="AQ68" s="429"/>
      <c r="AR68" s="432"/>
      <c r="AS68" s="432"/>
      <c r="AT68" s="432"/>
      <c r="AU68" s="432"/>
      <c r="AV68" s="432"/>
      <c r="AW68" s="432"/>
      <c r="AX68" s="432"/>
    </row>
    <row r="69" spans="1:50" x14ac:dyDescent="0.55000000000000004">
      <c r="A69" s="105">
        <f t="shared" si="1"/>
        <v>5</v>
      </c>
      <c r="B69" s="457" t="s">
        <v>484</v>
      </c>
      <c r="C69" s="458" t="s">
        <v>484</v>
      </c>
      <c r="D69" s="458" t="s">
        <v>484</v>
      </c>
      <c r="E69" s="458" t="s">
        <v>484</v>
      </c>
      <c r="F69" s="458" t="s">
        <v>484</v>
      </c>
      <c r="G69" s="459" t="s">
        <v>484</v>
      </c>
      <c r="H69" s="231"/>
      <c r="I69" s="232"/>
      <c r="J69" s="227"/>
      <c r="K69" s="451">
        <v>0.85729999999999995</v>
      </c>
      <c r="L69" s="452"/>
      <c r="M69" s="453"/>
      <c r="N69" s="454">
        <v>0.73660000000000003</v>
      </c>
      <c r="O69" s="455"/>
      <c r="P69" s="456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30"/>
      <c r="AP69" s="430"/>
      <c r="AQ69" s="430"/>
      <c r="AR69" s="432"/>
      <c r="AS69" s="432"/>
      <c r="AT69" s="432"/>
      <c r="AU69" s="432"/>
      <c r="AV69" s="432"/>
      <c r="AW69" s="432"/>
      <c r="AX69" s="432"/>
    </row>
    <row r="70" spans="1:50" x14ac:dyDescent="0.55000000000000004">
      <c r="A70" s="105">
        <f t="shared" si="1"/>
        <v>6</v>
      </c>
      <c r="B70" s="457" t="s">
        <v>98</v>
      </c>
      <c r="C70" s="458" t="s">
        <v>484</v>
      </c>
      <c r="D70" s="458" t="s">
        <v>484</v>
      </c>
      <c r="E70" s="458" t="s">
        <v>484</v>
      </c>
      <c r="F70" s="458" t="s">
        <v>484</v>
      </c>
      <c r="G70" s="459" t="s">
        <v>484</v>
      </c>
      <c r="H70" s="231"/>
      <c r="I70" s="232"/>
      <c r="J70" s="227"/>
      <c r="K70" s="451">
        <v>0.1057</v>
      </c>
      <c r="L70" s="452"/>
      <c r="M70" s="453"/>
      <c r="N70" s="454">
        <v>0.11527</v>
      </c>
      <c r="O70" s="455"/>
      <c r="P70" s="456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30"/>
      <c r="AP70" s="430"/>
      <c r="AQ70" s="430"/>
      <c r="AR70" s="432"/>
      <c r="AS70" s="432"/>
      <c r="AT70" s="432"/>
      <c r="AU70" s="432"/>
      <c r="AV70" s="432"/>
      <c r="AW70" s="432"/>
      <c r="AX70" s="432"/>
    </row>
    <row r="71" spans="1:50" x14ac:dyDescent="0.55000000000000004">
      <c r="A71" s="105">
        <f t="shared" si="1"/>
        <v>7</v>
      </c>
      <c r="B71" s="457" t="s">
        <v>479</v>
      </c>
      <c r="C71" s="458" t="s">
        <v>484</v>
      </c>
      <c r="D71" s="458" t="s">
        <v>484</v>
      </c>
      <c r="E71" s="458" t="s">
        <v>484</v>
      </c>
      <c r="F71" s="458" t="s">
        <v>484</v>
      </c>
      <c r="G71" s="459" t="s">
        <v>484</v>
      </c>
      <c r="H71" s="231"/>
      <c r="I71" s="232"/>
      <c r="J71" s="227"/>
      <c r="K71" s="451">
        <v>0</v>
      </c>
      <c r="L71" s="452"/>
      <c r="M71" s="453"/>
      <c r="N71" s="454">
        <v>7.3779999999999998E-2</v>
      </c>
      <c r="O71" s="455"/>
      <c r="P71" s="456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30"/>
      <c r="AP71" s="430"/>
      <c r="AQ71" s="430"/>
      <c r="AR71" s="432"/>
      <c r="AS71" s="432"/>
      <c r="AT71" s="432"/>
      <c r="AU71" s="432"/>
      <c r="AV71" s="432"/>
      <c r="AW71" s="432"/>
      <c r="AX71" s="432"/>
    </row>
    <row r="72" spans="1:50" x14ac:dyDescent="0.55000000000000004">
      <c r="A72" s="105">
        <f t="shared" si="1"/>
        <v>8</v>
      </c>
      <c r="B72" s="457" t="s">
        <v>99</v>
      </c>
      <c r="C72" s="458" t="s">
        <v>484</v>
      </c>
      <c r="D72" s="458" t="s">
        <v>484</v>
      </c>
      <c r="E72" s="458" t="s">
        <v>484</v>
      </c>
      <c r="F72" s="458" t="s">
        <v>484</v>
      </c>
      <c r="G72" s="459" t="s">
        <v>484</v>
      </c>
      <c r="H72" s="231"/>
      <c r="I72" s="232"/>
      <c r="J72" s="227"/>
      <c r="K72" s="451">
        <v>2.7000000000000001E-3</v>
      </c>
      <c r="L72" s="452"/>
      <c r="M72" s="453"/>
      <c r="N72" s="454">
        <v>1.8689999999999998E-2</v>
      </c>
      <c r="O72" s="455"/>
      <c r="P72" s="456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30"/>
      <c r="AP72" s="430"/>
      <c r="AQ72" s="430"/>
      <c r="AR72" s="432"/>
      <c r="AS72" s="432"/>
      <c r="AT72" s="432"/>
      <c r="AU72" s="432"/>
      <c r="AV72" s="432"/>
      <c r="AW72" s="432"/>
      <c r="AX72" s="432"/>
    </row>
    <row r="73" spans="1:50" x14ac:dyDescent="0.55000000000000004">
      <c r="A73" s="105">
        <f t="shared" si="1"/>
        <v>9</v>
      </c>
      <c r="B73" s="457" t="s">
        <v>488</v>
      </c>
      <c r="C73" s="458" t="s">
        <v>484</v>
      </c>
      <c r="D73" s="458" t="s">
        <v>484</v>
      </c>
      <c r="E73" s="458" t="s">
        <v>484</v>
      </c>
      <c r="F73" s="458" t="s">
        <v>484</v>
      </c>
      <c r="G73" s="459" t="s">
        <v>484</v>
      </c>
      <c r="H73" s="231"/>
      <c r="I73" s="232"/>
      <c r="J73" s="227"/>
      <c r="K73" s="451">
        <v>0</v>
      </c>
      <c r="L73" s="452"/>
      <c r="M73" s="453"/>
      <c r="N73" s="454">
        <v>1.0999999999999999E-2</v>
      </c>
      <c r="O73" s="455"/>
      <c r="P73" s="456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30"/>
      <c r="AP73" s="430"/>
      <c r="AQ73" s="430"/>
      <c r="AR73" s="432"/>
      <c r="AS73" s="432"/>
      <c r="AT73" s="432"/>
      <c r="AU73" s="432"/>
      <c r="AV73" s="432"/>
      <c r="AW73" s="432"/>
      <c r="AX73" s="432"/>
    </row>
    <row r="74" spans="1:50" x14ac:dyDescent="0.55000000000000004">
      <c r="A74" s="105">
        <f t="shared" si="1"/>
        <v>10</v>
      </c>
      <c r="B74" s="457" t="s">
        <v>101</v>
      </c>
      <c r="C74" s="458" t="s">
        <v>484</v>
      </c>
      <c r="D74" s="458" t="s">
        <v>484</v>
      </c>
      <c r="E74" s="458" t="s">
        <v>484</v>
      </c>
      <c r="F74" s="458" t="s">
        <v>484</v>
      </c>
      <c r="G74" s="459" t="s">
        <v>484</v>
      </c>
      <c r="H74" s="231"/>
      <c r="I74" s="232"/>
      <c r="J74" s="227"/>
      <c r="K74" s="451">
        <v>5.0000000000000001E-4</v>
      </c>
      <c r="L74" s="452"/>
      <c r="M74" s="453"/>
      <c r="N74" s="454">
        <v>3.3E-3</v>
      </c>
      <c r="O74" s="455"/>
      <c r="P74" s="456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30"/>
      <c r="AP74" s="430"/>
      <c r="AQ74" s="430"/>
      <c r="AR74" s="432"/>
      <c r="AS74" s="432"/>
      <c r="AT74" s="432"/>
      <c r="AU74" s="432"/>
      <c r="AV74" s="432"/>
      <c r="AW74" s="432"/>
      <c r="AX74" s="432"/>
    </row>
    <row r="75" spans="1:50" x14ac:dyDescent="0.55000000000000004">
      <c r="A75" s="105">
        <f t="shared" si="1"/>
        <v>11</v>
      </c>
      <c r="B75" s="457" t="s">
        <v>100</v>
      </c>
      <c r="C75" s="458" t="s">
        <v>484</v>
      </c>
      <c r="D75" s="458" t="s">
        <v>484</v>
      </c>
      <c r="E75" s="458" t="s">
        <v>484</v>
      </c>
      <c r="F75" s="458" t="s">
        <v>484</v>
      </c>
      <c r="G75" s="459" t="s">
        <v>484</v>
      </c>
      <c r="H75" s="231"/>
      <c r="I75" s="232"/>
      <c r="J75" s="227"/>
      <c r="K75" s="451">
        <v>3.5000000000000001E-3</v>
      </c>
      <c r="L75" s="452"/>
      <c r="M75" s="453"/>
      <c r="N75" s="454">
        <v>3.0000000000000001E-3</v>
      </c>
      <c r="O75" s="455"/>
      <c r="P75" s="456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30"/>
      <c r="AP75" s="430"/>
      <c r="AQ75" s="430"/>
      <c r="AR75" s="432"/>
      <c r="AS75" s="432"/>
      <c r="AT75" s="432"/>
      <c r="AU75" s="432"/>
      <c r="AV75" s="432"/>
      <c r="AW75" s="432"/>
      <c r="AX75" s="432"/>
    </row>
    <row r="76" spans="1:50" x14ac:dyDescent="0.55000000000000004">
      <c r="A76" s="105">
        <f t="shared" si="1"/>
        <v>12</v>
      </c>
      <c r="B76" s="457" t="s">
        <v>103</v>
      </c>
      <c r="C76" s="458" t="s">
        <v>484</v>
      </c>
      <c r="D76" s="458" t="s">
        <v>484</v>
      </c>
      <c r="E76" s="458" t="s">
        <v>484</v>
      </c>
      <c r="F76" s="458" t="s">
        <v>484</v>
      </c>
      <c r="G76" s="459" t="s">
        <v>484</v>
      </c>
      <c r="H76" s="231"/>
      <c r="I76" s="232"/>
      <c r="J76" s="227"/>
      <c r="K76" s="451">
        <v>3.0999999999999999E-3</v>
      </c>
      <c r="L76" s="452"/>
      <c r="M76" s="453"/>
      <c r="N76" s="454">
        <v>5.9999999999999995E-4</v>
      </c>
      <c r="O76" s="455"/>
      <c r="P76" s="456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30"/>
      <c r="AP76" s="430"/>
      <c r="AQ76" s="430"/>
      <c r="AR76" s="432"/>
      <c r="AS76" s="432"/>
      <c r="AT76" s="432"/>
      <c r="AU76" s="432"/>
      <c r="AV76" s="432"/>
      <c r="AW76" s="432"/>
      <c r="AX76" s="432"/>
    </row>
    <row r="77" spans="1:50" x14ac:dyDescent="0.55000000000000004">
      <c r="A77" s="105">
        <f t="shared" si="1"/>
        <v>13</v>
      </c>
      <c r="B77" s="457" t="s">
        <v>102</v>
      </c>
      <c r="C77" s="458" t="s">
        <v>484</v>
      </c>
      <c r="D77" s="458" t="s">
        <v>484</v>
      </c>
      <c r="E77" s="458" t="s">
        <v>484</v>
      </c>
      <c r="F77" s="458" t="s">
        <v>484</v>
      </c>
      <c r="G77" s="459" t="s">
        <v>484</v>
      </c>
      <c r="H77" s="231"/>
      <c r="I77" s="232"/>
      <c r="J77" s="227"/>
      <c r="K77" s="451">
        <v>3.5000000000000001E-3</v>
      </c>
      <c r="L77" s="452"/>
      <c r="M77" s="453"/>
      <c r="N77" s="454">
        <v>0</v>
      </c>
      <c r="O77" s="455"/>
      <c r="P77" s="456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30"/>
      <c r="AP77" s="430"/>
      <c r="AQ77" s="430"/>
      <c r="AR77" s="432"/>
      <c r="AS77" s="432"/>
      <c r="AT77" s="432"/>
      <c r="AU77" s="432"/>
      <c r="AV77" s="432"/>
      <c r="AW77" s="432"/>
      <c r="AX77" s="432"/>
    </row>
    <row r="78" spans="1:50" x14ac:dyDescent="0.55000000000000004">
      <c r="A78" s="105">
        <f t="shared" si="1"/>
        <v>14</v>
      </c>
      <c r="B78" s="457" t="s">
        <v>105</v>
      </c>
      <c r="C78" s="458" t="s">
        <v>484</v>
      </c>
      <c r="D78" s="458" t="s">
        <v>484</v>
      </c>
      <c r="E78" s="458" t="s">
        <v>484</v>
      </c>
      <c r="F78" s="458" t="s">
        <v>484</v>
      </c>
      <c r="G78" s="459" t="s">
        <v>484</v>
      </c>
      <c r="H78" s="231"/>
      <c r="I78" s="232"/>
      <c r="J78" s="227"/>
      <c r="K78" s="451">
        <v>5.0000000000000001E-4</v>
      </c>
      <c r="L78" s="452"/>
      <c r="M78" s="453"/>
      <c r="N78" s="454">
        <v>0</v>
      </c>
      <c r="O78" s="455"/>
      <c r="P78" s="456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30"/>
      <c r="AP78" s="430"/>
      <c r="AQ78" s="430"/>
      <c r="AR78" s="432"/>
      <c r="AS78" s="432"/>
      <c r="AT78" s="432"/>
      <c r="AU78" s="432"/>
      <c r="AV78" s="432"/>
      <c r="AW78" s="432"/>
      <c r="AX78" s="432"/>
    </row>
    <row r="79" spans="1:50" x14ac:dyDescent="0.55000000000000004">
      <c r="A79" s="105">
        <f t="shared" si="1"/>
        <v>15</v>
      </c>
      <c r="B79" s="457" t="s">
        <v>469</v>
      </c>
      <c r="C79" s="458" t="s">
        <v>484</v>
      </c>
      <c r="D79" s="458" t="s">
        <v>484</v>
      </c>
      <c r="E79" s="458" t="s">
        <v>484</v>
      </c>
      <c r="F79" s="458" t="s">
        <v>484</v>
      </c>
      <c r="G79" s="459" t="s">
        <v>484</v>
      </c>
      <c r="H79" s="231"/>
      <c r="I79" s="232"/>
      <c r="J79" s="227"/>
      <c r="K79" s="451">
        <v>0</v>
      </c>
      <c r="L79" s="452"/>
      <c r="M79" s="453"/>
      <c r="N79" s="454">
        <v>0</v>
      </c>
      <c r="O79" s="455"/>
      <c r="P79" s="456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30"/>
      <c r="AP79" s="430"/>
      <c r="AQ79" s="430"/>
      <c r="AR79" s="432"/>
      <c r="AS79" s="432"/>
      <c r="AT79" s="432"/>
      <c r="AU79" s="432"/>
      <c r="AV79" s="432"/>
      <c r="AW79" s="432"/>
      <c r="AX79" s="432"/>
    </row>
    <row r="80" spans="1:50" x14ac:dyDescent="0.55000000000000004">
      <c r="A80" s="105">
        <f t="shared" si="1"/>
        <v>16</v>
      </c>
      <c r="B80" s="457" t="s">
        <v>474</v>
      </c>
      <c r="C80" s="458" t="s">
        <v>484</v>
      </c>
      <c r="D80" s="458" t="s">
        <v>484</v>
      </c>
      <c r="E80" s="458" t="s">
        <v>484</v>
      </c>
      <c r="F80" s="458" t="s">
        <v>484</v>
      </c>
      <c r="G80" s="459" t="s">
        <v>484</v>
      </c>
      <c r="H80" s="231"/>
      <c r="I80" s="232"/>
      <c r="J80" s="227"/>
      <c r="K80" s="451">
        <v>1.7500000000000002E-2</v>
      </c>
      <c r="L80" s="452"/>
      <c r="M80" s="453"/>
      <c r="N80" s="454">
        <v>0</v>
      </c>
      <c r="O80" s="455"/>
      <c r="P80" s="456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30"/>
      <c r="AP80" s="430"/>
      <c r="AQ80" s="430"/>
      <c r="AR80" s="432"/>
      <c r="AS80" s="432"/>
      <c r="AT80" s="432"/>
      <c r="AU80" s="432"/>
      <c r="AV80" s="432"/>
      <c r="AW80" s="432"/>
      <c r="AX80" s="432"/>
    </row>
    <row r="81" spans="1:51" x14ac:dyDescent="0.55000000000000004">
      <c r="A81" s="105">
        <f>A80+1</f>
        <v>17</v>
      </c>
      <c r="B81" s="457" t="s">
        <v>492</v>
      </c>
      <c r="C81" s="458" t="s">
        <v>484</v>
      </c>
      <c r="D81" s="458" t="s">
        <v>484</v>
      </c>
      <c r="E81" s="458" t="s">
        <v>484</v>
      </c>
      <c r="F81" s="458" t="s">
        <v>484</v>
      </c>
      <c r="G81" s="459" t="s">
        <v>484</v>
      </c>
      <c r="H81" s="231"/>
      <c r="I81" s="232"/>
      <c r="J81" s="227"/>
      <c r="K81" s="451">
        <v>1E-4</v>
      </c>
      <c r="L81" s="452"/>
      <c r="M81" s="453"/>
      <c r="N81" s="454">
        <v>0</v>
      </c>
      <c r="O81" s="455"/>
      <c r="P81" s="456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30"/>
      <c r="AP81" s="430"/>
      <c r="AQ81" s="430"/>
      <c r="AR81" s="432"/>
      <c r="AS81" s="432"/>
      <c r="AT81" s="432"/>
      <c r="AU81" s="432"/>
      <c r="AV81" s="432"/>
      <c r="AW81" s="432"/>
      <c r="AX81" s="432"/>
    </row>
    <row r="82" spans="1:51" x14ac:dyDescent="0.55000000000000004">
      <c r="A82" s="105">
        <f t="shared" si="1"/>
        <v>18</v>
      </c>
      <c r="B82" s="457" t="s">
        <v>107</v>
      </c>
      <c r="C82" s="458" t="s">
        <v>484</v>
      </c>
      <c r="D82" s="458" t="s">
        <v>484</v>
      </c>
      <c r="E82" s="458" t="s">
        <v>484</v>
      </c>
      <c r="F82" s="458" t="s">
        <v>484</v>
      </c>
      <c r="G82" s="459" t="s">
        <v>484</v>
      </c>
      <c r="H82" s="231"/>
      <c r="I82" s="232"/>
      <c r="J82" s="227"/>
      <c r="K82" s="451">
        <v>5.5999999999999999E-3</v>
      </c>
      <c r="L82" s="452"/>
      <c r="M82" s="453"/>
      <c r="N82" s="454">
        <v>0</v>
      </c>
      <c r="O82" s="455"/>
      <c r="P82" s="456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30"/>
      <c r="AP82" s="430"/>
      <c r="AQ82" s="430"/>
      <c r="AR82" s="432"/>
      <c r="AS82" s="432"/>
      <c r="AT82" s="432"/>
      <c r="AU82" s="432"/>
      <c r="AV82" s="432"/>
      <c r="AW82" s="432"/>
      <c r="AX82" s="432"/>
    </row>
    <row r="83" spans="1:51" x14ac:dyDescent="0.55000000000000004">
      <c r="A83" s="105">
        <f>A82+1</f>
        <v>19</v>
      </c>
      <c r="B83" s="457" t="s">
        <v>108</v>
      </c>
      <c r="C83" s="458" t="s">
        <v>484</v>
      </c>
      <c r="D83" s="458" t="s">
        <v>484</v>
      </c>
      <c r="E83" s="458" t="s">
        <v>484</v>
      </c>
      <c r="F83" s="458" t="s">
        <v>484</v>
      </c>
      <c r="G83" s="459" t="s">
        <v>484</v>
      </c>
      <c r="H83" s="231"/>
      <c r="I83" s="232"/>
      <c r="J83" s="227"/>
      <c r="K83" s="451">
        <v>0</v>
      </c>
      <c r="L83" s="452"/>
      <c r="M83" s="453"/>
      <c r="N83" s="454">
        <v>7.6E-3</v>
      </c>
      <c r="O83" s="455"/>
      <c r="P83" s="456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30"/>
      <c r="AP83" s="430"/>
      <c r="AQ83" s="430"/>
      <c r="AR83" s="432"/>
      <c r="AS83" s="432"/>
      <c r="AT83" s="432"/>
      <c r="AU83" s="432"/>
      <c r="AV83" s="432"/>
      <c r="AW83" s="432"/>
      <c r="AX83" s="432"/>
    </row>
    <row r="84" spans="1:51" x14ac:dyDescent="0.55000000000000004">
      <c r="A84" s="105">
        <f t="shared" si="1"/>
        <v>20</v>
      </c>
      <c r="B84" s="457" t="s">
        <v>481</v>
      </c>
      <c r="C84" s="458" t="s">
        <v>484</v>
      </c>
      <c r="D84" s="458" t="s">
        <v>484</v>
      </c>
      <c r="E84" s="458" t="s">
        <v>484</v>
      </c>
      <c r="F84" s="458" t="s">
        <v>484</v>
      </c>
      <c r="G84" s="459" t="s">
        <v>484</v>
      </c>
      <c r="H84" s="231"/>
      <c r="I84" s="232"/>
      <c r="J84" s="227"/>
      <c r="K84" s="451">
        <v>0</v>
      </c>
      <c r="L84" s="452"/>
      <c r="M84" s="453"/>
      <c r="N84" s="454">
        <v>1.7000000000000001E-4</v>
      </c>
      <c r="O84" s="455"/>
      <c r="P84" s="456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30"/>
      <c r="AP84" s="430"/>
      <c r="AQ84" s="430"/>
      <c r="AR84" s="432"/>
      <c r="AS84" s="432"/>
      <c r="AT84" s="432"/>
      <c r="AU84" s="432"/>
      <c r="AV84" s="432"/>
      <c r="AW84" s="432"/>
      <c r="AX84" s="432"/>
    </row>
    <row r="85" spans="1:51" x14ac:dyDescent="0.55000000000000004">
      <c r="A85" s="105">
        <f t="shared" si="1"/>
        <v>21</v>
      </c>
      <c r="B85" s="457" t="s">
        <v>487</v>
      </c>
      <c r="C85" s="458" t="s">
        <v>484</v>
      </c>
      <c r="D85" s="458" t="s">
        <v>484</v>
      </c>
      <c r="E85" s="458" t="s">
        <v>484</v>
      </c>
      <c r="F85" s="458" t="s">
        <v>484</v>
      </c>
      <c r="G85" s="459" t="s">
        <v>484</v>
      </c>
      <c r="H85" s="231"/>
      <c r="I85" s="232"/>
      <c r="J85" s="227"/>
      <c r="K85" s="451">
        <v>0</v>
      </c>
      <c r="L85" s="452"/>
      <c r="M85" s="453"/>
      <c r="N85" s="454">
        <v>2.9989999999999999E-2</v>
      </c>
      <c r="O85" s="455"/>
      <c r="P85" s="456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30"/>
      <c r="AP85" s="430"/>
      <c r="AQ85" s="430"/>
      <c r="AR85" s="432"/>
      <c r="AS85" s="432"/>
      <c r="AT85" s="432"/>
      <c r="AU85" s="432"/>
      <c r="AV85" s="432"/>
      <c r="AW85" s="432"/>
      <c r="AX85" s="432"/>
    </row>
    <row r="86" spans="1:51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54">
        <v>0</v>
      </c>
      <c r="O86" s="455"/>
      <c r="P86" s="456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8"/>
      <c r="AP86" s="431"/>
      <c r="AQ86" s="429"/>
      <c r="AR86" s="432"/>
      <c r="AS86" s="432"/>
      <c r="AT86" s="432"/>
      <c r="AU86" s="432"/>
      <c r="AV86" s="432"/>
      <c r="AW86" s="432"/>
      <c r="AX86" s="432"/>
    </row>
    <row r="87" spans="1:51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54">
        <v>0</v>
      </c>
      <c r="O87" s="455"/>
      <c r="P87" s="456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33"/>
    </row>
    <row r="88" spans="1:51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54">
        <v>0</v>
      </c>
      <c r="O88" s="455"/>
      <c r="P88" s="456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55000000000000004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468">
        <f>IF(SUM(K69:M88)=0,"",SUM(K69:M85))</f>
        <v>0.99999999999999978</v>
      </c>
      <c r="L89" s="469"/>
      <c r="M89" s="470"/>
      <c r="N89" s="471">
        <f>IF(SUM(N69:P88)=0,"",SUM(N69:P88))</f>
        <v>1</v>
      </c>
      <c r="O89" s="472"/>
      <c r="P89" s="473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55000000000000004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474">
        <v>18.73145508479999</v>
      </c>
      <c r="L90" s="475"/>
      <c r="M90" s="476"/>
      <c r="N90" s="477" t="str">
        <f>IF(SUMPRODUCT(H69:H88,N69:N88)=0,"",SUMPRODUCT(H69:H88,N69:N88))</f>
        <v/>
      </c>
      <c r="O90" s="478"/>
      <c r="P90" s="479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55000000000000004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55000000000000004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55000000000000004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55000000000000004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55000000000000004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55000000000000004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63" t="s">
        <v>1</v>
      </c>
      <c r="X118" s="463"/>
      <c r="Y118" s="463"/>
      <c r="Z118" s="463"/>
      <c r="AA118" s="463"/>
      <c r="AB118" s="150" t="s">
        <v>2</v>
      </c>
      <c r="AC118" s="150"/>
      <c r="AD118" s="150"/>
      <c r="AE118" s="463" t="e">
        <v>#REF!</v>
      </c>
      <c r="AF118" s="463"/>
      <c r="AG118" s="463"/>
      <c r="AH118" s="463"/>
      <c r="AI118" s="463"/>
      <c r="AJ118" s="463"/>
      <c r="AK118" s="463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80" t="e">
        <v>#REF!</v>
      </c>
      <c r="Y119" s="480"/>
      <c r="Z119" s="480"/>
      <c r="AA119" s="480"/>
      <c r="AB119" s="162" t="s">
        <v>7</v>
      </c>
      <c r="AC119" s="162"/>
      <c r="AD119" s="463" t="e">
        <v>#REF!</v>
      </c>
      <c r="AE119" s="463"/>
      <c r="AF119" s="463"/>
      <c r="AG119" s="463"/>
      <c r="AH119" s="463"/>
      <c r="AI119" s="463"/>
      <c r="AJ119" s="463"/>
      <c r="AK119" s="463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27.4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A6" zoomScale="90" zoomScaleNormal="90" workbookViewId="0">
      <selection activeCell="J27" sqref="J27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586" t="s">
        <v>293</v>
      </c>
      <c r="C3" s="587"/>
      <c r="D3" s="245" t="s">
        <v>294</v>
      </c>
      <c r="F3" s="588" t="s">
        <v>295</v>
      </c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90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580" t="s">
        <v>484</v>
      </c>
      <c r="C4" s="581" t="s">
        <v>484</v>
      </c>
      <c r="D4" s="244">
        <v>0</v>
      </c>
      <c r="F4" s="591" t="s">
        <v>296</v>
      </c>
      <c r="G4" s="592"/>
      <c r="H4" s="596" t="s">
        <v>314</v>
      </c>
      <c r="I4" s="597"/>
      <c r="J4" s="591" t="s">
        <v>302</v>
      </c>
      <c r="K4" s="592"/>
      <c r="L4" s="593" t="s">
        <v>297</v>
      </c>
      <c r="M4" s="594"/>
      <c r="N4" s="594"/>
      <c r="O4" s="595"/>
      <c r="P4" s="593" t="s">
        <v>298</v>
      </c>
      <c r="Q4" s="594"/>
      <c r="R4" s="594"/>
      <c r="S4" s="595"/>
      <c r="T4" s="246"/>
      <c r="U4" s="246"/>
    </row>
    <row r="5" spans="2:27" x14ac:dyDescent="0.55000000000000004">
      <c r="B5" s="580" t="s">
        <v>98</v>
      </c>
      <c r="C5" s="581" t="s">
        <v>484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4.7" thickBot="1" x14ac:dyDescent="0.6">
      <c r="B6" s="580" t="s">
        <v>479</v>
      </c>
      <c r="C6" s="581" t="s">
        <v>484</v>
      </c>
      <c r="D6" s="244">
        <v>0</v>
      </c>
      <c r="F6" s="250">
        <v>35786.045757990796</v>
      </c>
      <c r="G6" s="251" t="s">
        <v>303</v>
      </c>
      <c r="H6" s="250">
        <v>6967.170000000001</v>
      </c>
      <c r="I6" s="251" t="s">
        <v>313</v>
      </c>
      <c r="J6" s="252">
        <v>6289</v>
      </c>
      <c r="K6" s="251" t="s">
        <v>304</v>
      </c>
      <c r="L6" s="252">
        <v>300</v>
      </c>
      <c r="M6" s="253" t="s">
        <v>334</v>
      </c>
      <c r="N6" s="253">
        <v>40</v>
      </c>
      <c r="O6" s="251" t="s">
        <v>305</v>
      </c>
      <c r="P6" s="252">
        <v>1134.3900000000001</v>
      </c>
      <c r="Q6" s="253" t="s">
        <v>334</v>
      </c>
      <c r="R6" s="254">
        <v>161.60942869859815</v>
      </c>
      <c r="S6" s="251" t="s">
        <v>305</v>
      </c>
      <c r="U6" s="249"/>
    </row>
    <row r="7" spans="2:27" ht="14.7" thickBot="1" x14ac:dyDescent="0.6">
      <c r="B7" s="580" t="s">
        <v>99</v>
      </c>
      <c r="C7" s="581" t="s">
        <v>484</v>
      </c>
      <c r="D7" s="244">
        <v>0</v>
      </c>
      <c r="F7" s="577" t="s">
        <v>333</v>
      </c>
      <c r="G7" s="578"/>
      <c r="H7" s="578"/>
      <c r="I7" s="579"/>
    </row>
    <row r="8" spans="2:27" ht="14.7" thickBot="1" x14ac:dyDescent="0.6">
      <c r="B8" s="580" t="s">
        <v>488</v>
      </c>
      <c r="C8" s="581" t="s">
        <v>484</v>
      </c>
      <c r="D8" s="244">
        <v>0</v>
      </c>
    </row>
    <row r="9" spans="2:27" ht="14.7" thickBot="1" x14ac:dyDescent="0.6">
      <c r="B9" s="580" t="s">
        <v>101</v>
      </c>
      <c r="C9" s="581" t="s">
        <v>484</v>
      </c>
      <c r="D9" s="244">
        <v>0</v>
      </c>
      <c r="F9" s="598" t="s">
        <v>322</v>
      </c>
      <c r="G9" s="604"/>
      <c r="H9" s="604"/>
      <c r="I9" s="599"/>
      <c r="J9" s="598" t="s">
        <v>323</v>
      </c>
      <c r="K9" s="599"/>
    </row>
    <row r="10" spans="2:27" x14ac:dyDescent="0.55000000000000004">
      <c r="B10" s="580" t="s">
        <v>100</v>
      </c>
      <c r="C10" s="581" t="s">
        <v>484</v>
      </c>
      <c r="D10" s="244">
        <v>0</v>
      </c>
      <c r="F10" s="571" t="s">
        <v>315</v>
      </c>
      <c r="G10" s="263" t="s">
        <v>309</v>
      </c>
      <c r="H10" s="566" t="s">
        <v>312</v>
      </c>
      <c r="I10" s="567"/>
      <c r="J10" s="600" t="s">
        <v>324</v>
      </c>
      <c r="K10" s="601"/>
    </row>
    <row r="11" spans="2:27" ht="14.7" thickBot="1" x14ac:dyDescent="0.6">
      <c r="B11" s="580" t="s">
        <v>103</v>
      </c>
      <c r="C11" s="581" t="s">
        <v>484</v>
      </c>
      <c r="D11" s="244">
        <v>0</v>
      </c>
      <c r="F11" s="572"/>
      <c r="G11" s="259">
        <v>2.7297123580626361</v>
      </c>
      <c r="H11" s="568">
        <v>1.0212491210126422</v>
      </c>
      <c r="I11" s="569"/>
      <c r="J11" s="602"/>
      <c r="K11" s="603"/>
    </row>
    <row r="12" spans="2:27" x14ac:dyDescent="0.55000000000000004">
      <c r="B12" s="580" t="s">
        <v>102</v>
      </c>
      <c r="C12" s="581" t="s">
        <v>484</v>
      </c>
      <c r="D12" s="244">
        <v>0</v>
      </c>
      <c r="F12" s="571" t="s">
        <v>307</v>
      </c>
      <c r="G12" s="573">
        <v>0.5420038623301654</v>
      </c>
      <c r="H12" s="566" t="s">
        <v>316</v>
      </c>
      <c r="I12" s="567"/>
      <c r="J12" s="609" t="s">
        <v>330</v>
      </c>
      <c r="K12" s="610"/>
    </row>
    <row r="13" spans="2:27" ht="14.7" thickBot="1" x14ac:dyDescent="0.6">
      <c r="B13" s="580" t="s">
        <v>490</v>
      </c>
      <c r="C13" s="581" t="s">
        <v>484</v>
      </c>
      <c r="D13" s="244">
        <v>0</v>
      </c>
      <c r="F13" s="572"/>
      <c r="G13" s="574"/>
      <c r="H13" s="615">
        <v>-1.7242221769617316E-2</v>
      </c>
      <c r="I13" s="616"/>
      <c r="J13" s="611"/>
      <c r="K13" s="612"/>
    </row>
    <row r="14" spans="2:27" x14ac:dyDescent="0.55000000000000004">
      <c r="B14" s="580" t="s">
        <v>469</v>
      </c>
      <c r="C14" s="581" t="s">
        <v>484</v>
      </c>
      <c r="D14" s="244">
        <v>0</v>
      </c>
      <c r="F14" s="571" t="s">
        <v>308</v>
      </c>
      <c r="G14" s="582">
        <v>1332369.4081878909</v>
      </c>
      <c r="H14" s="566" t="s">
        <v>318</v>
      </c>
      <c r="I14" s="567"/>
      <c r="J14" s="611"/>
      <c r="K14" s="612"/>
    </row>
    <row r="15" spans="2:27" ht="14.7" thickBot="1" x14ac:dyDescent="0.6">
      <c r="B15" s="580" t="s">
        <v>474</v>
      </c>
      <c r="C15" s="581" t="s">
        <v>484</v>
      </c>
      <c r="D15" s="244">
        <v>1</v>
      </c>
      <c r="F15" s="572"/>
      <c r="G15" s="583"/>
      <c r="H15" s="617">
        <v>0.11513802429495275</v>
      </c>
      <c r="I15" s="618"/>
      <c r="J15" s="613"/>
      <c r="K15" s="614"/>
    </row>
    <row r="16" spans="2:27" ht="14.7" x14ac:dyDescent="0.55000000000000004">
      <c r="B16" s="580" t="s">
        <v>492</v>
      </c>
      <c r="C16" s="581" t="s">
        <v>484</v>
      </c>
      <c r="D16" s="244">
        <v>0</v>
      </c>
      <c r="F16" s="571" t="s">
        <v>317</v>
      </c>
      <c r="G16" s="573">
        <v>8.2119494439549051E-2</v>
      </c>
      <c r="H16" s="566" t="s">
        <v>331</v>
      </c>
      <c r="I16" s="567"/>
      <c r="J16" s="605" t="s">
        <v>325</v>
      </c>
      <c r="K16" s="606"/>
    </row>
    <row r="17" spans="2:11" ht="14.7" thickBot="1" x14ac:dyDescent="0.6">
      <c r="B17" s="580" t="s">
        <v>107</v>
      </c>
      <c r="C17" s="581" t="s">
        <v>484</v>
      </c>
      <c r="D17" s="244">
        <v>0</v>
      </c>
      <c r="F17" s="572"/>
      <c r="G17" s="574"/>
      <c r="H17" s="568">
        <v>0.99888238084815628</v>
      </c>
      <c r="I17" s="569"/>
      <c r="J17" s="607"/>
      <c r="K17" s="608"/>
    </row>
    <row r="18" spans="2:11" ht="15" customHeight="1" x14ac:dyDescent="0.55000000000000004">
      <c r="B18" s="580" t="s">
        <v>108</v>
      </c>
      <c r="C18" s="581" t="s">
        <v>484</v>
      </c>
      <c r="D18" s="244">
        <v>0</v>
      </c>
      <c r="F18" s="571" t="s">
        <v>320</v>
      </c>
      <c r="G18" s="582">
        <v>8.3833681578152976</v>
      </c>
      <c r="H18" s="566" t="s">
        <v>332</v>
      </c>
      <c r="I18" s="567"/>
      <c r="J18" s="260"/>
      <c r="K18" s="260"/>
    </row>
    <row r="19" spans="2:11" ht="14.7" thickBot="1" x14ac:dyDescent="0.6">
      <c r="B19" s="580" t="s">
        <v>481</v>
      </c>
      <c r="C19" s="581" t="s">
        <v>484</v>
      </c>
      <c r="D19" s="244">
        <v>0</v>
      </c>
      <c r="F19" s="572"/>
      <c r="G19" s="583"/>
      <c r="H19" s="584">
        <v>0.99792238327698968</v>
      </c>
      <c r="I19" s="585"/>
      <c r="J19" s="260"/>
      <c r="K19" s="446"/>
    </row>
    <row r="20" spans="2:11" ht="15" customHeight="1" thickBot="1" x14ac:dyDescent="0.6">
      <c r="B20" s="580" t="s">
        <v>487</v>
      </c>
      <c r="C20" s="581" t="s">
        <v>484</v>
      </c>
      <c r="D20" s="244">
        <v>0</v>
      </c>
      <c r="F20" s="571" t="s">
        <v>337</v>
      </c>
      <c r="G20" s="573">
        <v>92.039447861020548</v>
      </c>
      <c r="H20" s="566" t="s">
        <v>339</v>
      </c>
      <c r="I20" s="567"/>
      <c r="J20" s="260"/>
      <c r="K20" s="260"/>
    </row>
    <row r="21" spans="2:11" ht="14.7" thickBot="1" x14ac:dyDescent="0.6">
      <c r="F21" s="572"/>
      <c r="G21" s="574"/>
      <c r="H21" s="568">
        <v>0.44624195203431682</v>
      </c>
      <c r="I21" s="570"/>
      <c r="J21" s="626" t="s">
        <v>375</v>
      </c>
      <c r="K21" s="627"/>
    </row>
    <row r="22" spans="2:11" ht="15" customHeight="1" thickBot="1" x14ac:dyDescent="0.6">
      <c r="B22" s="634" t="s">
        <v>343</v>
      </c>
      <c r="C22" s="635"/>
      <c r="D22" s="636"/>
      <c r="F22" s="571" t="s">
        <v>338</v>
      </c>
      <c r="G22" s="573">
        <v>205.35814227476041</v>
      </c>
      <c r="H22" s="566" t="s">
        <v>340</v>
      </c>
      <c r="I22" s="567"/>
      <c r="J22" s="628"/>
      <c r="K22" s="629"/>
    </row>
    <row r="23" spans="2:11" ht="14.7" thickBot="1" x14ac:dyDescent="0.6">
      <c r="B23" s="637" t="s">
        <v>347</v>
      </c>
      <c r="C23" s="639" t="s">
        <v>377</v>
      </c>
      <c r="D23" s="262" t="s">
        <v>345</v>
      </c>
      <c r="F23" s="572"/>
      <c r="G23" s="574"/>
      <c r="H23" s="575">
        <v>0.99565371592847296</v>
      </c>
      <c r="I23" s="576"/>
      <c r="J23" s="630" t="s">
        <v>422</v>
      </c>
      <c r="K23" s="631"/>
    </row>
    <row r="24" spans="2:11" ht="15" customHeight="1" thickBot="1" x14ac:dyDescent="0.6">
      <c r="B24" s="638"/>
      <c r="C24" s="640"/>
      <c r="D24" s="264">
        <v>0.01</v>
      </c>
      <c r="F24" s="571" t="s">
        <v>319</v>
      </c>
      <c r="G24" s="573">
        <v>1089.0859705630228</v>
      </c>
      <c r="H24" s="566" t="s">
        <v>321</v>
      </c>
      <c r="I24" s="567"/>
      <c r="J24" s="632"/>
      <c r="K24" s="633"/>
    </row>
    <row r="25" spans="2:11" ht="14.7" thickBot="1" x14ac:dyDescent="0.6">
      <c r="B25" s="620" t="s">
        <v>348</v>
      </c>
      <c r="C25" s="623" t="s">
        <v>346</v>
      </c>
      <c r="D25" s="372" t="s">
        <v>413</v>
      </c>
      <c r="F25" s="572"/>
      <c r="G25" s="574"/>
      <c r="H25" s="568">
        <v>7.1768332297990706E-2</v>
      </c>
      <c r="I25" s="570"/>
    </row>
    <row r="26" spans="2:11" ht="15" customHeight="1" x14ac:dyDescent="0.55000000000000004">
      <c r="B26" s="621"/>
      <c r="C26" s="624"/>
      <c r="D26" s="377">
        <v>5</v>
      </c>
      <c r="F26" s="571" t="s">
        <v>335</v>
      </c>
      <c r="G26" s="573">
        <v>15177.107198460306</v>
      </c>
      <c r="H26" s="566" t="s">
        <v>336</v>
      </c>
      <c r="I26" s="567"/>
    </row>
    <row r="27" spans="2:11" ht="26.1" thickBot="1" x14ac:dyDescent="0.6">
      <c r="B27" s="621"/>
      <c r="C27" s="624"/>
      <c r="D27" s="376" t="s">
        <v>412</v>
      </c>
      <c r="F27" s="572"/>
      <c r="G27" s="574"/>
      <c r="H27" s="575">
        <v>1.0001374567135648</v>
      </c>
      <c r="I27" s="576"/>
    </row>
    <row r="28" spans="2:11" ht="15" customHeight="1" x14ac:dyDescent="0.55000000000000004">
      <c r="B28" s="621"/>
      <c r="C28" s="624"/>
      <c r="D28" s="377"/>
      <c r="F28" s="571" t="s">
        <v>342</v>
      </c>
      <c r="G28" s="641">
        <v>0.84008465756328399</v>
      </c>
      <c r="H28" s="566" t="s">
        <v>344</v>
      </c>
      <c r="I28" s="567"/>
    </row>
    <row r="29" spans="2:11" ht="26.1" thickBot="1" x14ac:dyDescent="0.6">
      <c r="B29" s="621"/>
      <c r="C29" s="624"/>
      <c r="D29" s="376" t="s">
        <v>411</v>
      </c>
      <c r="F29" s="572"/>
      <c r="G29" s="642"/>
      <c r="H29" s="575"/>
      <c r="I29" s="576"/>
    </row>
    <row r="30" spans="2:11" x14ac:dyDescent="0.55000000000000004">
      <c r="B30" s="621"/>
      <c r="C30" s="624"/>
      <c r="D30" s="377">
        <v>25</v>
      </c>
    </row>
    <row r="31" spans="2:11" ht="25.8" x14ac:dyDescent="0.55000000000000004">
      <c r="B31" s="621"/>
      <c r="C31" s="624"/>
      <c r="D31" s="376" t="s">
        <v>414</v>
      </c>
    </row>
    <row r="32" spans="2:11" ht="14.7" thickBot="1" x14ac:dyDescent="0.6">
      <c r="B32" s="622"/>
      <c r="C32" s="625"/>
      <c r="D32" s="378">
        <v>13.6</v>
      </c>
    </row>
    <row r="34" spans="2:5" x14ac:dyDescent="0.55000000000000004">
      <c r="B34" s="619" t="s">
        <v>415</v>
      </c>
      <c r="C34" s="619"/>
      <c r="D34" s="619"/>
      <c r="E34" s="619"/>
    </row>
    <row r="35" spans="2:5" x14ac:dyDescent="0.55000000000000004">
      <c r="B35" s="619"/>
      <c r="C35" s="619"/>
      <c r="D35" s="619"/>
      <c r="E35" s="619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63" priority="24" operator="between">
      <formula>1.05</formula>
      <formula>1000</formula>
    </cfRule>
    <cfRule type="cellIs" dxfId="62" priority="25" operator="between">
      <formula>-100</formula>
      <formula>0.95</formula>
    </cfRule>
    <cfRule type="cellIs" dxfId="61" priority="26" operator="between">
      <formula>0.95</formula>
      <formula>1.05</formula>
    </cfRule>
    <cfRule type="cellIs" dxfId="60" priority="27" operator="between">
      <formula>0.95</formula>
      <formula>1.05</formula>
    </cfRule>
  </conditionalFormatting>
  <conditionalFormatting sqref="H17:I17">
    <cfRule type="cellIs" dxfId="59" priority="16" operator="between">
      <formula>1.04</formula>
      <formula>1000</formula>
    </cfRule>
    <cfRule type="cellIs" dxfId="58" priority="17" operator="between">
      <formula>-100</formula>
      <formula>0.96</formula>
    </cfRule>
    <cfRule type="cellIs" dxfId="57" priority="18" operator="between">
      <formula>0.96</formula>
      <formula>1.04</formula>
    </cfRule>
  </conditionalFormatting>
  <conditionalFormatting sqref="G14:G15">
    <cfRule type="cellIs" dxfId="56" priority="15" operator="lessThan">
      <formula>90000</formula>
    </cfRule>
  </conditionalFormatting>
  <conditionalFormatting sqref="D24">
    <cfRule type="expression" dxfId="55" priority="13">
      <formula>IF($C$23="No",TRUE,FALSE)</formula>
    </cfRule>
    <cfRule type="expression" dxfId="54" priority="14">
      <formula>"C23=No"</formula>
    </cfRule>
  </conditionalFormatting>
  <conditionalFormatting sqref="J23:K24">
    <cfRule type="cellIs" dxfId="53" priority="1" operator="equal">
      <formula>"Python não encontrado!"</formula>
    </cfRule>
    <cfRule type="expression" dxfId="52" priority="2">
      <formula>AND(J23="Calculando...",J23="Calculando...")</formula>
    </cfRule>
    <cfRule type="expression" dxfId="51" priority="3">
      <formula>AND(J23="Carregando script...",J23="Carregando script...")</formula>
    </cfRule>
    <cfRule type="cellIs" dxfId="50" priority="4" operator="equal">
      <formula>"Carregando bibliotecas..."</formula>
    </cfRule>
    <cfRule type="cellIs" dxfId="49" priority="5" operator="equal">
      <formula>"ERRO!"</formula>
    </cfRule>
    <cfRule type="expression" dxfId="4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5"/>
  <sheetViews>
    <sheetView showGridLines="0" tabSelected="1" topLeftCell="A6" zoomScale="85" zoomScaleNormal="85" workbookViewId="0">
      <selection activeCell="D18" sqref="D18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9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1"/>
    </row>
    <row r="3" spans="2:20" ht="14.7" thickBot="1" x14ac:dyDescent="0.6">
      <c r="B3" s="661"/>
      <c r="C3" s="661"/>
      <c r="D3" s="374"/>
      <c r="F3" s="656" t="s">
        <v>355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8"/>
      <c r="R3" s="360"/>
      <c r="S3" s="360"/>
      <c r="T3" s="360"/>
    </row>
    <row r="4" spans="2:20" ht="14.7" thickBot="1" x14ac:dyDescent="0.6">
      <c r="B4" s="651"/>
      <c r="C4" s="651"/>
      <c r="D4" s="375"/>
      <c r="F4" s="339"/>
      <c r="G4" s="368"/>
      <c r="H4" s="368"/>
      <c r="I4" s="368"/>
      <c r="J4" s="368"/>
      <c r="K4" s="340"/>
      <c r="L4" s="362"/>
      <c r="M4" s="659" t="s">
        <v>405</v>
      </c>
      <c r="N4" s="406"/>
      <c r="O4" s="407"/>
      <c r="P4" s="407"/>
      <c r="Q4" s="407"/>
      <c r="R4" s="361"/>
      <c r="S4" s="361"/>
      <c r="T4" s="361"/>
    </row>
    <row r="5" spans="2:20" x14ac:dyDescent="0.55000000000000004">
      <c r="B5" s="651"/>
      <c r="C5" s="651"/>
      <c r="D5" s="375"/>
      <c r="F5" s="270"/>
      <c r="G5" s="371" t="s">
        <v>356</v>
      </c>
      <c r="H5" s="275" t="s">
        <v>351</v>
      </c>
      <c r="I5" s="275" t="s">
        <v>358</v>
      </c>
      <c r="J5" s="275" t="s">
        <v>357</v>
      </c>
      <c r="K5" s="275" t="s">
        <v>360</v>
      </c>
      <c r="L5" s="363" t="s">
        <v>359</v>
      </c>
      <c r="M5" s="660"/>
      <c r="N5" s="271" t="s">
        <v>406</v>
      </c>
      <c r="O5" s="369" t="s">
        <v>407</v>
      </c>
      <c r="P5" s="404" t="s">
        <v>410</v>
      </c>
      <c r="Q5" s="402" t="s">
        <v>302</v>
      </c>
      <c r="R5" s="361"/>
      <c r="S5" s="361"/>
      <c r="T5" s="361"/>
    </row>
    <row r="6" spans="2:20" ht="14.7" thickBot="1" x14ac:dyDescent="0.6">
      <c r="B6" s="651"/>
      <c r="C6" s="651"/>
      <c r="D6" s="375"/>
      <c r="F6" s="270"/>
      <c r="G6" s="272" t="s">
        <v>303</v>
      </c>
      <c r="H6" s="273" t="s">
        <v>313</v>
      </c>
      <c r="I6" s="273" t="s">
        <v>334</v>
      </c>
      <c r="J6" s="273" t="s">
        <v>305</v>
      </c>
      <c r="K6" s="273" t="s">
        <v>334</v>
      </c>
      <c r="L6" s="364" t="s">
        <v>305</v>
      </c>
      <c r="M6" s="660"/>
      <c r="N6" s="256" t="s">
        <v>303</v>
      </c>
      <c r="O6" s="366" t="s">
        <v>303</v>
      </c>
      <c r="P6" s="258" t="s">
        <v>305</v>
      </c>
      <c r="Q6" s="258" t="s">
        <v>304</v>
      </c>
    </row>
    <row r="7" spans="2:20" x14ac:dyDescent="0.55000000000000004">
      <c r="B7" s="651"/>
      <c r="C7" s="651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08">
        <v>50</v>
      </c>
      <c r="O7" s="370">
        <v>50</v>
      </c>
      <c r="P7" s="405">
        <v>40</v>
      </c>
      <c r="Q7" s="403">
        <v>6289</v>
      </c>
    </row>
    <row r="8" spans="2:20" x14ac:dyDescent="0.55000000000000004">
      <c r="B8" s="651"/>
      <c r="C8" s="651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1</v>
      </c>
      <c r="N8" s="408">
        <v>50</v>
      </c>
      <c r="O8" s="370">
        <v>50</v>
      </c>
      <c r="P8" s="405">
        <v>40</v>
      </c>
      <c r="Q8" s="403">
        <v>6289</v>
      </c>
    </row>
    <row r="9" spans="2:20" x14ac:dyDescent="0.55000000000000004">
      <c r="B9" s="651"/>
      <c r="C9" s="651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1</v>
      </c>
      <c r="N9" s="408">
        <v>50</v>
      </c>
      <c r="O9" s="370">
        <v>50</v>
      </c>
      <c r="P9" s="405">
        <v>40</v>
      </c>
      <c r="Q9" s="403">
        <v>6289</v>
      </c>
    </row>
    <row r="10" spans="2:20" x14ac:dyDescent="0.55000000000000004">
      <c r="B10" s="651"/>
      <c r="C10" s="651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1</v>
      </c>
      <c r="N10" s="408">
        <v>50</v>
      </c>
      <c r="O10" s="370">
        <v>50</v>
      </c>
      <c r="P10" s="405">
        <v>40</v>
      </c>
      <c r="Q10" s="403">
        <v>6289</v>
      </c>
    </row>
    <row r="11" spans="2:20" x14ac:dyDescent="0.55000000000000004">
      <c r="B11" s="651"/>
      <c r="C11" s="651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1</v>
      </c>
      <c r="N11" s="409">
        <v>50</v>
      </c>
      <c r="O11" s="370">
        <v>50</v>
      </c>
      <c r="P11" s="405">
        <v>40</v>
      </c>
      <c r="Q11" s="403">
        <v>6289</v>
      </c>
    </row>
    <row r="12" spans="2:20" x14ac:dyDescent="0.55000000000000004">
      <c r="B12" s="651"/>
      <c r="C12" s="651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08"/>
      <c r="O12" s="370"/>
      <c r="P12" s="405"/>
      <c r="Q12" s="403"/>
    </row>
    <row r="13" spans="2:20" x14ac:dyDescent="0.55000000000000004">
      <c r="B13" s="651"/>
      <c r="C13" s="651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08"/>
      <c r="O13" s="370"/>
      <c r="P13" s="405"/>
      <c r="Q13" s="403"/>
    </row>
    <row r="14" spans="2:20" x14ac:dyDescent="0.55000000000000004">
      <c r="B14" s="651"/>
      <c r="C14" s="651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08"/>
      <c r="O14" s="370"/>
      <c r="P14" s="405"/>
      <c r="Q14" s="403"/>
    </row>
    <row r="15" spans="2:20" x14ac:dyDescent="0.55000000000000004">
      <c r="B15" s="651"/>
      <c r="C15" s="651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08"/>
      <c r="O15" s="370"/>
      <c r="P15" s="405"/>
      <c r="Q15" s="403"/>
    </row>
    <row r="16" spans="2:20" ht="14.7" thickBot="1" x14ac:dyDescent="0.6">
      <c r="B16" s="651"/>
      <c r="C16" s="651"/>
      <c r="D16" s="375"/>
      <c r="F16" s="373">
        <v>10</v>
      </c>
      <c r="G16" s="357"/>
      <c r="H16" s="357"/>
      <c r="I16" s="274"/>
      <c r="J16" s="274"/>
      <c r="K16" s="274"/>
      <c r="L16" s="365"/>
      <c r="M16" s="414"/>
      <c r="N16" s="410"/>
      <c r="O16" s="411"/>
      <c r="P16" s="412"/>
      <c r="Q16" s="413"/>
    </row>
    <row r="17" spans="2:28" x14ac:dyDescent="0.55000000000000004">
      <c r="B17" s="651"/>
      <c r="C17" s="651"/>
      <c r="D17" s="375"/>
    </row>
    <row r="18" spans="2:28" ht="14.7" thickBot="1" x14ac:dyDescent="0.6">
      <c r="B18" s="651"/>
      <c r="C18" s="651"/>
      <c r="D18" s="375"/>
    </row>
    <row r="19" spans="2:28" ht="14.7" thickBot="1" x14ac:dyDescent="0.6">
      <c r="B19" s="651"/>
      <c r="C19" s="651"/>
      <c r="D19" s="375"/>
      <c r="F19" s="598" t="s">
        <v>361</v>
      </c>
      <c r="G19" s="635"/>
      <c r="H19" s="635"/>
      <c r="I19" s="635"/>
      <c r="J19" s="635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599"/>
    </row>
    <row r="20" spans="2:28" ht="15.75" customHeight="1" thickBot="1" x14ac:dyDescent="0.6">
      <c r="B20" s="651"/>
      <c r="C20" s="651"/>
      <c r="D20" s="375"/>
      <c r="F20" s="286"/>
      <c r="G20" s="652" t="s">
        <v>315</v>
      </c>
      <c r="H20" s="653"/>
      <c r="I20" s="654" t="s">
        <v>307</v>
      </c>
      <c r="J20" s="653"/>
      <c r="K20" s="646" t="s">
        <v>308</v>
      </c>
      <c r="L20" s="647"/>
      <c r="M20" s="646" t="s">
        <v>317</v>
      </c>
      <c r="N20" s="646"/>
      <c r="O20" s="655" t="s">
        <v>385</v>
      </c>
      <c r="P20" s="647"/>
      <c r="Q20" s="646" t="s">
        <v>337</v>
      </c>
      <c r="R20" s="646"/>
      <c r="S20" s="655" t="s">
        <v>338</v>
      </c>
      <c r="T20" s="647"/>
      <c r="U20" s="655" t="s">
        <v>371</v>
      </c>
      <c r="V20" s="647"/>
      <c r="W20" s="646" t="s">
        <v>319</v>
      </c>
      <c r="X20" s="646"/>
      <c r="Y20" s="655" t="s">
        <v>335</v>
      </c>
      <c r="Z20" s="647"/>
      <c r="AA20" s="646" t="s">
        <v>362</v>
      </c>
      <c r="AB20" s="647"/>
    </row>
    <row r="21" spans="2:28" ht="15" thickBot="1" x14ac:dyDescent="0.6">
      <c r="F21" s="287"/>
      <c r="G21" s="277" t="s">
        <v>309</v>
      </c>
      <c r="H21" s="278" t="s">
        <v>312</v>
      </c>
      <c r="I21" s="279" t="s">
        <v>363</v>
      </c>
      <c r="J21" s="278" t="s">
        <v>370</v>
      </c>
      <c r="K21" s="282" t="s">
        <v>364</v>
      </c>
      <c r="L21" s="281" t="s">
        <v>318</v>
      </c>
      <c r="M21" s="277" t="s">
        <v>365</v>
      </c>
      <c r="N21" s="280" t="s">
        <v>331</v>
      </c>
      <c r="O21" s="277" t="s">
        <v>386</v>
      </c>
      <c r="P21" s="284" t="s">
        <v>387</v>
      </c>
      <c r="Q21" s="279" t="s">
        <v>366</v>
      </c>
      <c r="R21" s="280" t="s">
        <v>339</v>
      </c>
      <c r="S21" s="277" t="s">
        <v>367</v>
      </c>
      <c r="T21" s="281" t="s">
        <v>340</v>
      </c>
      <c r="U21" s="277" t="s">
        <v>372</v>
      </c>
      <c r="V21" s="284" t="s">
        <v>373</v>
      </c>
      <c r="W21" s="279" t="s">
        <v>368</v>
      </c>
      <c r="X21" s="283" t="s">
        <v>321</v>
      </c>
      <c r="Y21" s="277" t="s">
        <v>369</v>
      </c>
      <c r="Z21" s="281" t="s">
        <v>336</v>
      </c>
      <c r="AA21" s="285" t="s">
        <v>374</v>
      </c>
      <c r="AB21" s="281" t="s">
        <v>344</v>
      </c>
    </row>
    <row r="22" spans="2:28" ht="14.7" thickBot="1" x14ac:dyDescent="0.6">
      <c r="B22" s="648" t="s">
        <v>343</v>
      </c>
      <c r="C22" s="649"/>
      <c r="D22" s="650"/>
      <c r="F22" s="288">
        <v>1</v>
      </c>
      <c r="G22" s="294">
        <v>3.124390485126705</v>
      </c>
      <c r="H22" s="295">
        <v>1.1207705867514437</v>
      </c>
      <c r="I22" s="296">
        <v>0.54121423114448164</v>
      </c>
      <c r="J22" s="297">
        <v>-1.8031852955301075E-2</v>
      </c>
      <c r="K22" s="298">
        <v>1063595.2484440436</v>
      </c>
      <c r="L22" s="297">
        <v>9.1911638621229308E-2</v>
      </c>
      <c r="M22" s="298">
        <v>4.9207305559842901E-2</v>
      </c>
      <c r="N22" s="349">
        <v>0.59854619013663413</v>
      </c>
      <c r="O22" s="299">
        <v>133.34683426951611</v>
      </c>
      <c r="P22" s="300">
        <v>1.2589034890393598</v>
      </c>
      <c r="Q22" s="298">
        <v>113.66164752592238</v>
      </c>
      <c r="R22" s="392">
        <v>0.55107452991234929</v>
      </c>
      <c r="S22" s="299">
        <v>253.56749076145334</v>
      </c>
      <c r="T22" s="295">
        <v>1.2293908175187513</v>
      </c>
      <c r="U22" s="299">
        <v>6234.395967698315</v>
      </c>
      <c r="V22" s="301">
        <v>0.59838867622028791</v>
      </c>
      <c r="W22" s="298">
        <v>719.53660327575722</v>
      </c>
      <c r="X22" s="302">
        <v>4.7415854615927011E-2</v>
      </c>
      <c r="Y22" s="299">
        <v>12564.035514366013</v>
      </c>
      <c r="Z22" s="295">
        <v>0.82794187067952629</v>
      </c>
      <c r="AA22" s="303">
        <v>0.7506432079760964</v>
      </c>
      <c r="AB22" s="300"/>
    </row>
    <row r="23" spans="2:28" x14ac:dyDescent="0.55000000000000004">
      <c r="B23" s="621" t="s">
        <v>347</v>
      </c>
      <c r="C23" s="624" t="s">
        <v>377</v>
      </c>
      <c r="D23" s="423" t="s">
        <v>345</v>
      </c>
      <c r="F23" s="289">
        <v>2</v>
      </c>
      <c r="G23" s="304">
        <v>3.0351665794865497</v>
      </c>
      <c r="H23" s="305">
        <v>1.0887644948264399</v>
      </c>
      <c r="I23" s="306">
        <v>0.54147696489852448</v>
      </c>
      <c r="J23" s="307">
        <v>-1.7769119201258232E-2</v>
      </c>
      <c r="K23" s="306">
        <v>1153057.463279262</v>
      </c>
      <c r="L23" s="307">
        <v>9.9642604674545568E-2</v>
      </c>
      <c r="M23" s="306">
        <v>6.5498388421885365E-2</v>
      </c>
      <c r="N23" s="308">
        <v>0.79670712313909664</v>
      </c>
      <c r="O23" s="304">
        <v>122.97582264049596</v>
      </c>
      <c r="P23" s="309">
        <v>1.1609926327662166</v>
      </c>
      <c r="Q23" s="306">
        <v>104.80975236063082</v>
      </c>
      <c r="R23" s="393">
        <v>0.50815720403130471</v>
      </c>
      <c r="S23" s="304">
        <v>233.83267901385696</v>
      </c>
      <c r="T23" s="310">
        <v>1.1337090080127341</v>
      </c>
      <c r="U23" s="304">
        <v>8299.2273905488528</v>
      </c>
      <c r="V23" s="311">
        <v>0.7965749557154207</v>
      </c>
      <c r="W23" s="306">
        <v>876.87333285028978</v>
      </c>
      <c r="X23" s="312">
        <v>5.778399358382378E-2</v>
      </c>
      <c r="Y23" s="304">
        <v>14122.59804805671</v>
      </c>
      <c r="Z23" s="310">
        <v>0.93064765961489071</v>
      </c>
      <c r="AA23" s="313">
        <v>0.81979078103720937</v>
      </c>
      <c r="AB23" s="314"/>
    </row>
    <row r="24" spans="2:28" ht="14.7" thickBot="1" x14ac:dyDescent="0.6">
      <c r="B24" s="621"/>
      <c r="C24" s="624"/>
      <c r="D24" s="424">
        <v>0.01</v>
      </c>
      <c r="F24" s="289">
        <v>3</v>
      </c>
      <c r="G24" s="304">
        <v>2.8237553922182821</v>
      </c>
      <c r="H24" s="305">
        <v>1.0129278023488457</v>
      </c>
      <c r="I24" s="306">
        <v>0.54189832980440644</v>
      </c>
      <c r="J24" s="307">
        <v>-1.7347754295376272E-2</v>
      </c>
      <c r="K24" s="306">
        <v>1296465.5946095565</v>
      </c>
      <c r="L24" s="307">
        <v>0.1120353606232567</v>
      </c>
      <c r="M24" s="306">
        <v>8.1682601659883433E-2</v>
      </c>
      <c r="N24" s="308">
        <v>0.9935681189557013</v>
      </c>
      <c r="O24" s="304">
        <v>109.17126129982015</v>
      </c>
      <c r="P24" s="309">
        <v>1.0306662509541851</v>
      </c>
      <c r="Q24" s="306">
        <v>94.198347888419917</v>
      </c>
      <c r="R24" s="393">
        <v>0.45670911350543253</v>
      </c>
      <c r="S24" s="304">
        <v>210.165104201372</v>
      </c>
      <c r="T24" s="310">
        <v>1.0189596800920655</v>
      </c>
      <c r="U24" s="315">
        <v>10350.518468207427</v>
      </c>
      <c r="V24" s="311">
        <v>0.9934616082255231</v>
      </c>
      <c r="W24" s="306">
        <v>1047.4961575104855</v>
      </c>
      <c r="X24" s="312">
        <v>6.9027656534971976E-2</v>
      </c>
      <c r="Y24" s="304">
        <v>15001.672662660756</v>
      </c>
      <c r="Z24" s="310">
        <v>0.98857671274833236</v>
      </c>
      <c r="AA24" s="313">
        <v>0.86508301761014039</v>
      </c>
      <c r="AB24" s="314"/>
    </row>
    <row r="25" spans="2:28" ht="14.5" customHeight="1" x14ac:dyDescent="0.55000000000000004">
      <c r="B25" s="621" t="s">
        <v>348</v>
      </c>
      <c r="C25" s="624" t="s">
        <v>346</v>
      </c>
      <c r="D25" s="423" t="s">
        <v>413</v>
      </c>
      <c r="F25" s="289">
        <v>4</v>
      </c>
      <c r="G25" s="304">
        <v>2.7609946634999742</v>
      </c>
      <c r="H25" s="305">
        <v>0.99041449004508175</v>
      </c>
      <c r="I25" s="306">
        <v>0.5420038623301654</v>
      </c>
      <c r="J25" s="307">
        <v>-1.7242221769617316E-2</v>
      </c>
      <c r="K25" s="306">
        <v>1332369.4081878909</v>
      </c>
      <c r="L25" s="307">
        <v>0.11513802429495275</v>
      </c>
      <c r="M25" s="306">
        <v>8.2591058934768882E-2</v>
      </c>
      <c r="N25" s="308">
        <v>1.0046183814034859</v>
      </c>
      <c r="O25" s="304">
        <v>106.14942850121459</v>
      </c>
      <c r="P25" s="309">
        <v>1.0021376707723024</v>
      </c>
      <c r="Q25" s="306">
        <v>92.068191038421361</v>
      </c>
      <c r="R25" s="393">
        <v>0.44638130979763563</v>
      </c>
      <c r="S25" s="304">
        <v>205.41314478569484</v>
      </c>
      <c r="T25" s="310">
        <v>0.9959203888433652</v>
      </c>
      <c r="U25" s="304">
        <v>10465.694643013538</v>
      </c>
      <c r="V25" s="311">
        <v>1.0045164271897715</v>
      </c>
      <c r="W25" s="306">
        <v>1069.1713488807529</v>
      </c>
      <c r="X25" s="312">
        <v>7.0456003221028088E-2</v>
      </c>
      <c r="Y25" s="304">
        <v>14898.658282902399</v>
      </c>
      <c r="Z25" s="310">
        <v>0.98178829527000677</v>
      </c>
      <c r="AA25" s="313">
        <v>0.86084287803822501</v>
      </c>
      <c r="AB25" s="314"/>
    </row>
    <row r="26" spans="2:28" ht="15.75" customHeight="1" x14ac:dyDescent="0.55000000000000004">
      <c r="B26" s="621"/>
      <c r="C26" s="624"/>
      <c r="D26" s="425">
        <v>5</v>
      </c>
      <c r="F26" s="289">
        <v>5</v>
      </c>
      <c r="G26" s="304">
        <v>2.2823487785551775</v>
      </c>
      <c r="H26" s="305">
        <v>0.81871628782949379</v>
      </c>
      <c r="I26" s="306">
        <v>0.54293055937138579</v>
      </c>
      <c r="J26" s="307">
        <v>-1.6315524728396924E-2</v>
      </c>
      <c r="K26" s="306">
        <v>1647415.3592434535</v>
      </c>
      <c r="L26" s="307">
        <v>0.14236303272260536</v>
      </c>
      <c r="M26" s="306">
        <v>9.43296917130408E-2</v>
      </c>
      <c r="N26" s="308">
        <v>1.1474043731766574</v>
      </c>
      <c r="O26" s="304">
        <v>85.22460361661075</v>
      </c>
      <c r="P26" s="309">
        <v>0.80459016093398739</v>
      </c>
      <c r="Q26" s="306">
        <v>76.539566273751603</v>
      </c>
      <c r="R26" s="393">
        <v>0.3710926809712411</v>
      </c>
      <c r="S26" s="304">
        <v>170.77036723439193</v>
      </c>
      <c r="T26" s="310">
        <v>0.82795913920910846</v>
      </c>
      <c r="U26" s="304">
        <v>11953.649032148505</v>
      </c>
      <c r="V26" s="311">
        <v>1.1473329986433425</v>
      </c>
      <c r="W26" s="306">
        <v>1391.3281015721482</v>
      </c>
      <c r="X26" s="312">
        <v>9.1685413482593583E-2</v>
      </c>
      <c r="Y26" s="304">
        <v>15672.380603969879</v>
      </c>
      <c r="Z26" s="310">
        <v>1.0327748676303476</v>
      </c>
      <c r="AA26" s="313">
        <v>0.77705686606017321</v>
      </c>
      <c r="AB26" s="314"/>
    </row>
    <row r="27" spans="2:28" x14ac:dyDescent="0.55000000000000004">
      <c r="B27" s="621"/>
      <c r="C27" s="624"/>
      <c r="D27" s="426" t="s">
        <v>412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3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621"/>
      <c r="C28" s="624"/>
      <c r="D28" s="425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3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621"/>
      <c r="C29" s="624"/>
      <c r="D29" s="426" t="s">
        <v>411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3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621"/>
      <c r="C30" s="624"/>
      <c r="D30" s="425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3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621"/>
      <c r="C31" s="624"/>
      <c r="D31" s="426" t="s">
        <v>414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4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621"/>
      <c r="C32" s="624"/>
      <c r="D32" s="427">
        <v>13.6</v>
      </c>
      <c r="F32" s="327" t="s">
        <v>376</v>
      </c>
      <c r="G32" s="328">
        <v>2.7866354507937272</v>
      </c>
      <c r="H32" s="329">
        <v>0.99961226489326083</v>
      </c>
      <c r="I32" s="330">
        <v>0.54196074719908238</v>
      </c>
      <c r="J32" s="331">
        <v>-1.728533690070037E-2</v>
      </c>
      <c r="K32" s="330">
        <v>1317700.9671771338</v>
      </c>
      <c r="L32" s="331">
        <v>0.11387043641197767</v>
      </c>
      <c r="M32" s="330">
        <v>8.2219910284546061E-2</v>
      </c>
      <c r="N32" s="332">
        <v>1.0001038157706439</v>
      </c>
      <c r="O32" s="328">
        <v>107.38399307063025</v>
      </c>
      <c r="P32" s="333">
        <v>1.0137929729202368</v>
      </c>
      <c r="Q32" s="330">
        <v>92.938462939474206</v>
      </c>
      <c r="R32" s="395">
        <v>0.45060071616036013</v>
      </c>
      <c r="S32" s="328">
        <v>207.35454959558484</v>
      </c>
      <c r="T32" s="334">
        <v>1.0053330514808279</v>
      </c>
      <c r="U32" s="328">
        <v>10418.639615772432</v>
      </c>
      <c r="V32" s="335">
        <v>1</v>
      </c>
      <c r="W32" s="330">
        <v>1060.3159868920338</v>
      </c>
      <c r="X32" s="336">
        <v>6.9872454650021482E-2</v>
      </c>
      <c r="Y32" s="328">
        <v>14940.744629787205</v>
      </c>
      <c r="Z32" s="334">
        <v>0.98456169150324979</v>
      </c>
      <c r="AA32" s="337">
        <v>0.8625751797351553</v>
      </c>
      <c r="AB32" s="329"/>
    </row>
    <row r="33" spans="2:31" ht="14.7" thickBot="1" x14ac:dyDescent="0.6">
      <c r="B33" s="621" t="s">
        <v>404</v>
      </c>
      <c r="C33" s="624" t="s">
        <v>377</v>
      </c>
      <c r="D33" s="643"/>
      <c r="T33" s="390"/>
      <c r="U33" s="390"/>
      <c r="V33" s="390"/>
      <c r="W33" s="390"/>
      <c r="X33" s="390"/>
      <c r="Y33" s="390"/>
      <c r="Z33" s="390"/>
      <c r="AA33" s="390"/>
      <c r="AB33" s="390"/>
    </row>
    <row r="34" spans="2:31" x14ac:dyDescent="0.55000000000000004">
      <c r="B34" s="621"/>
      <c r="C34" s="624"/>
      <c r="D34" s="644"/>
      <c r="F34" s="626" t="s">
        <v>375</v>
      </c>
      <c r="G34" s="627"/>
      <c r="O34" s="260"/>
      <c r="P34" s="260"/>
      <c r="Q34" s="260"/>
      <c r="R34" s="260"/>
      <c r="S34" s="260"/>
      <c r="T34" s="391"/>
      <c r="U34" s="391"/>
      <c r="V34" s="391"/>
      <c r="W34" s="391"/>
      <c r="X34" s="391"/>
      <c r="Y34" s="391"/>
      <c r="Z34" s="391"/>
      <c r="AA34" s="396" t="s">
        <v>418</v>
      </c>
      <c r="AB34" s="396"/>
      <c r="AC34" s="397"/>
      <c r="AD34" s="397"/>
      <c r="AE34" s="260"/>
    </row>
    <row r="35" spans="2:31" x14ac:dyDescent="0.55000000000000004">
      <c r="B35" s="621" t="s">
        <v>409</v>
      </c>
      <c r="C35" s="624" t="s">
        <v>346</v>
      </c>
      <c r="D35" s="644"/>
      <c r="F35" s="628"/>
      <c r="G35" s="629"/>
      <c r="O35" s="384"/>
      <c r="P35" s="386"/>
      <c r="Q35" s="384"/>
      <c r="R35" s="384"/>
      <c r="S35" s="384"/>
      <c r="T35" s="385"/>
      <c r="U35" s="384"/>
      <c r="V35" s="386"/>
      <c r="W35" s="384"/>
      <c r="X35" s="387"/>
      <c r="Y35" s="384"/>
      <c r="Z35" s="385"/>
      <c r="AA35" s="398" t="s">
        <v>419</v>
      </c>
      <c r="AB35" s="383"/>
      <c r="AC35" s="383"/>
      <c r="AD35" s="397"/>
      <c r="AE35" s="260"/>
    </row>
    <row r="36" spans="2:31" ht="14.65" customHeight="1" x14ac:dyDescent="0.55000000000000004">
      <c r="B36" s="621"/>
      <c r="C36" s="624"/>
      <c r="D36" s="644"/>
      <c r="F36" s="630" t="s">
        <v>422</v>
      </c>
      <c r="G36" s="631"/>
      <c r="H36" s="338"/>
      <c r="I36" s="338"/>
      <c r="J36" s="338"/>
      <c r="K36" s="338"/>
      <c r="L36" s="338"/>
      <c r="M36" s="338"/>
      <c r="N36" s="389"/>
      <c r="O36" s="384"/>
      <c r="P36" s="386"/>
      <c r="Q36" s="384"/>
      <c r="R36" s="384"/>
      <c r="S36" s="384"/>
      <c r="T36" s="385"/>
      <c r="U36" s="384"/>
      <c r="V36" s="386"/>
      <c r="W36" s="384"/>
      <c r="X36" s="387"/>
      <c r="Y36" s="384"/>
      <c r="Z36" s="385"/>
      <c r="AA36" s="398" t="s">
        <v>420</v>
      </c>
      <c r="AB36" s="388"/>
      <c r="AC36" s="260"/>
      <c r="AD36" s="260"/>
      <c r="AE36" s="260"/>
    </row>
    <row r="37" spans="2:31" ht="14.65" customHeight="1" thickBot="1" x14ac:dyDescent="0.6">
      <c r="B37" s="621" t="s">
        <v>408</v>
      </c>
      <c r="C37" s="624" t="s">
        <v>377</v>
      </c>
      <c r="D37" s="644"/>
      <c r="F37" s="632"/>
      <c r="G37" s="633"/>
      <c r="N37" s="260"/>
      <c r="O37" s="260"/>
      <c r="P37" s="260"/>
      <c r="Q37" s="384"/>
      <c r="R37" s="384"/>
      <c r="S37" s="384"/>
      <c r="T37" s="385"/>
      <c r="U37" s="260"/>
      <c r="V37" s="260"/>
      <c r="W37" s="260"/>
      <c r="X37" s="260"/>
      <c r="Y37" s="260"/>
      <c r="Z37" s="260"/>
      <c r="AA37" s="382"/>
      <c r="AB37" s="260"/>
      <c r="AC37" s="260"/>
      <c r="AD37" s="260"/>
      <c r="AE37" s="260"/>
    </row>
    <row r="38" spans="2:31" x14ac:dyDescent="0.55000000000000004">
      <c r="B38" s="621"/>
      <c r="C38" s="624"/>
      <c r="D38" s="644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3"/>
      <c r="AB38" s="260"/>
      <c r="AC38" s="260"/>
      <c r="AD38" s="260"/>
      <c r="AE38" s="260"/>
    </row>
    <row r="39" spans="2:31" x14ac:dyDescent="0.55000000000000004">
      <c r="B39" s="621" t="s">
        <v>416</v>
      </c>
      <c r="C39" s="624" t="s">
        <v>346</v>
      </c>
      <c r="D39" s="644"/>
      <c r="O39" s="384"/>
      <c r="P39" s="388"/>
      <c r="Q39" s="384"/>
      <c r="R39" s="384"/>
      <c r="S39" s="384"/>
      <c r="T39" s="384"/>
      <c r="U39" s="384"/>
      <c r="V39" s="388"/>
      <c r="W39" s="260"/>
      <c r="X39" s="260"/>
      <c r="Y39" s="260"/>
      <c r="Z39" s="260"/>
      <c r="AA39" s="383"/>
      <c r="AB39" s="260"/>
      <c r="AC39" s="260"/>
    </row>
    <row r="40" spans="2:31" ht="14.5" customHeight="1" thickBot="1" x14ac:dyDescent="0.6">
      <c r="B40" s="622"/>
      <c r="C40" s="625"/>
      <c r="D40" s="645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3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3"/>
      <c r="AB41" s="260"/>
      <c r="AC41" s="260"/>
    </row>
    <row r="42" spans="2:31" x14ac:dyDescent="0.55000000000000004">
      <c r="D42" s="619" t="s">
        <v>415</v>
      </c>
      <c r="E42" s="619"/>
      <c r="F42" s="619"/>
      <c r="G42" s="619"/>
      <c r="O42" s="384"/>
      <c r="P42" s="386"/>
      <c r="Q42" s="384"/>
      <c r="R42" s="384"/>
      <c r="S42" s="384"/>
      <c r="T42" s="385"/>
      <c r="U42" s="384"/>
      <c r="V42" s="386"/>
      <c r="W42" s="384"/>
      <c r="X42" s="387"/>
      <c r="Y42" s="384"/>
      <c r="Z42" s="385"/>
      <c r="AA42" s="388"/>
      <c r="AB42" s="388"/>
      <c r="AC42" s="260"/>
    </row>
    <row r="43" spans="2:31" x14ac:dyDescent="0.55000000000000004">
      <c r="D43" s="619"/>
      <c r="E43" s="619"/>
      <c r="F43" s="619"/>
      <c r="G43" s="619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47" priority="135">
      <formula>IF($C$23="No",TRUE,FALSE)</formula>
    </cfRule>
    <cfRule type="expression" dxfId="46" priority="136">
      <formula>"C23=No"</formula>
    </cfRule>
  </conditionalFormatting>
  <conditionalFormatting sqref="F22:F23 F26:F31">
    <cfRule type="expression" dxfId="45" priority="122">
      <formula>AND(N22&gt;0.94,N22&lt;1.04)</formula>
    </cfRule>
  </conditionalFormatting>
  <conditionalFormatting sqref="F32">
    <cfRule type="expression" dxfId="44" priority="110">
      <formula>AND(N32&gt;0.94,N32&lt;1.04)</formula>
    </cfRule>
  </conditionalFormatting>
  <conditionalFormatting sqref="H32">
    <cfRule type="expression" dxfId="43" priority="92">
      <formula>AND(AND(P32&gt;0.96,P32&lt;1.04),AND(H32&gt;0.95,H32&lt;1.05))</formula>
    </cfRule>
  </conditionalFormatting>
  <conditionalFormatting sqref="N32">
    <cfRule type="expression" dxfId="42" priority="91">
      <formula>AND(V32&gt;0.96,V32&lt;1.04)</formula>
    </cfRule>
  </conditionalFormatting>
  <conditionalFormatting sqref="H32">
    <cfRule type="expression" dxfId="41" priority="89">
      <formula>AND(AND(N32&gt;0.96,N32&lt;1.04),OR(H32&gt;1.05,H32&lt;0.95))</formula>
    </cfRule>
    <cfRule type="expression" dxfId="40" priority="90">
      <formula>AND(AND(N32&gt;0.96,N32&lt;1.04),AND(H32&lt;1.05,H32&gt;0.95))</formula>
    </cfRule>
  </conditionalFormatting>
  <conditionalFormatting sqref="N32">
    <cfRule type="expression" dxfId="39" priority="84">
      <formula>AND(N32=N10009,N32=N10010)</formula>
    </cfRule>
    <cfRule type="expression" dxfId="38" priority="87">
      <formula>OR(N32&lt;0.96,N32&gt;1.04)</formula>
    </cfRule>
    <cfRule type="expression" dxfId="37" priority="88">
      <formula>AND(N32&gt;0.96,N32&lt;1.04)</formula>
    </cfRule>
  </conditionalFormatting>
  <conditionalFormatting sqref="T32">
    <cfRule type="expression" dxfId="36" priority="85">
      <formula>AND(AND(N32&gt;0.96,N32&lt;1.04),IF(C39="Yes",AND(T32&lt;1),OR(T32&gt;1.05,T32&lt;1)))</formula>
    </cfRule>
    <cfRule type="expression" dxfId="35" priority="86">
      <formula>AND(AND(N32&gt;0.96,N32&lt;1.04),IF(C39="Yes",AND(T32&gt;=1),AND(T32&lt;=1.05,T32&gt;=1)))</formula>
    </cfRule>
  </conditionalFormatting>
  <conditionalFormatting sqref="Z32">
    <cfRule type="expression" dxfId="34" priority="82">
      <formula>AND(AND(N32&gt;0.96,N32&lt;1.04),IF(C39="Yes",AND(Z32&gt;1.04),AND(Z32&gt;1.07)))</formula>
    </cfRule>
    <cfRule type="expression" dxfId="33" priority="83">
      <formula>AND(AND(N32&gt;0.96,N32&lt;1.04),IF(C39="Yes",AND(Z32&lt;=1.04),AND(Z32&lt;=1.07)))</formula>
    </cfRule>
  </conditionalFormatting>
  <conditionalFormatting sqref="T37">
    <cfRule type="expression" dxfId="32" priority="72">
      <formula>AND(AND(N37&gt;0.96,N37&lt;1.04),IF(C44="Yes",AND(T37&lt;1),OR(T37&gt;1.05,T37&lt;1)))</formula>
    </cfRule>
    <cfRule type="expression" dxfId="31" priority="73">
      <formula>AND(AND(N37&gt;0.96,N37&lt;1.04),IF(C44="Yes",AND(T37&gt;=1),AND(T37&lt;=1.05,T37&gt;=1)))</formula>
    </cfRule>
  </conditionalFormatting>
  <conditionalFormatting sqref="P39">
    <cfRule type="expression" dxfId="30" priority="67">
      <formula>AND(AND(X39&gt;0.96,X39&lt;1.04),AND(P39&gt;0.95,P39&lt;1.05))</formula>
    </cfRule>
  </conditionalFormatting>
  <conditionalFormatting sqref="V39">
    <cfRule type="expression" dxfId="29" priority="66">
      <formula>AND(AD39&gt;0.96,AD39&lt;1.04)</formula>
    </cfRule>
  </conditionalFormatting>
  <conditionalFormatting sqref="P39">
    <cfRule type="expression" dxfId="28" priority="64">
      <formula>AND(AND(V39&gt;0.96,V39&lt;1.04),OR(P39&gt;1.05,P39&lt;0.95))</formula>
    </cfRule>
    <cfRule type="expression" dxfId="27" priority="65">
      <formula>AND(AND(V39&gt;0.96,V39&lt;1.04),AND(P39&lt;1.05,P39&gt;0.95))</formula>
    </cfRule>
  </conditionalFormatting>
  <conditionalFormatting sqref="V39">
    <cfRule type="expression" dxfId="26" priority="61">
      <formula>AND(V39=V10016,V39=V10017)</formula>
    </cfRule>
    <cfRule type="expression" dxfId="25" priority="62">
      <formula>OR(V39&lt;0.96,V39&gt;1.04)</formula>
    </cfRule>
    <cfRule type="expression" dxfId="24" priority="63">
      <formula>AND(V39&gt;0.96,V39&lt;1.04)</formula>
    </cfRule>
  </conditionalFormatting>
  <conditionalFormatting sqref="T36">
    <cfRule type="expression" dxfId="23" priority="51">
      <formula>AND(AND(N36&gt;0.96,N36&lt;1.04),IF(C43="Yes",AND(T36&lt;1),OR(T36&gt;1.05,T36&lt;1)))</formula>
    </cfRule>
    <cfRule type="expression" dxfId="22" priority="52">
      <formula>AND(AND(N36&gt;0.96,N36&lt;1.04),IF(C43="Yes",AND(T36&gt;=1),AND(T36&lt;=1.05,T36&gt;=1)))</formula>
    </cfRule>
  </conditionalFormatting>
  <conditionalFormatting sqref="Z36">
    <cfRule type="expression" dxfId="21" priority="49">
      <formula>AND(AND(N36&gt;0.96,N36&lt;1.04),IF(C43="Yes",AND(Z36&gt;1.04),AND(Z36&gt;1.07)))</formula>
    </cfRule>
    <cfRule type="expression" dxfId="20" priority="50">
      <formula>AND(AND(N36&gt;0.96,N36&lt;1.04),IF(C43="Yes",AND(Z36&lt;=1.04),AND(Z36&lt;=1.07)))</formula>
    </cfRule>
  </conditionalFormatting>
  <conditionalFormatting sqref="T35">
    <cfRule type="expression" dxfId="19" priority="35">
      <formula>AND(AND(N35&gt;0.96,N35&lt;1.04),IF(C42="Yes",AND(T35&lt;1),OR(T35&gt;1.05,T35&lt;1)))</formula>
    </cfRule>
    <cfRule type="expression" dxfId="18" priority="36">
      <formula>AND(AND(N35&gt;0.96,N35&lt;1.04),IF(C42="Yes",AND(T35&gt;=1),AND(T35&lt;=1.05,T35&gt;=1)))</formula>
    </cfRule>
  </conditionalFormatting>
  <conditionalFormatting sqref="Z35">
    <cfRule type="expression" dxfId="17" priority="33">
      <formula>AND(AND(N35&gt;0.96,N35&lt;1.04),IF(C42="Yes",AND(Z35&gt;1.04),AND(Z35&gt;1.07)))</formula>
    </cfRule>
    <cfRule type="expression" dxfId="16" priority="34">
      <formula>AND(AND(N35&gt;0.96,N35&lt;1.04),IF(C42="Yes",AND(Z35&lt;=1.04),AND(Z35&lt;=1.07)))</formula>
    </cfRule>
  </conditionalFormatting>
  <conditionalFormatting sqref="F36:G37">
    <cfRule type="cellIs" dxfId="15" priority="1" operator="equal">
      <formula>"Python não encontrado!"</formula>
    </cfRule>
    <cfRule type="expression" dxfId="14" priority="2">
      <formula>AND(F36="Calculando...",F36="Calculando...")</formula>
    </cfRule>
    <cfRule type="expression" dxfId="13" priority="3">
      <formula>AND(F36="Carregando script...",F36="Carregando script...")</formula>
    </cfRule>
    <cfRule type="cellIs" dxfId="12" priority="4" operator="equal">
      <formula>"Carregando bibliotecas..."</formula>
    </cfRule>
    <cfRule type="cellIs" dxfId="11" priority="5" operator="equal">
      <formula>"ERRO!"</formula>
    </cfRule>
    <cfRule type="expression" dxfId="10" priority="6">
      <formula>AND(F36="Calculado",F36="Calculado")</formula>
    </cfRule>
  </conditionalFormatting>
  <conditionalFormatting sqref="T42">
    <cfRule type="expression" dxfId="9" priority="137">
      <formula>AND(AND(N42&gt;0.96,N42&lt;1.04),IF(C48="Yes",AND(T42&lt;1),OR(T42&gt;1.05,T42&lt;1)))</formula>
    </cfRule>
    <cfRule type="expression" dxfId="8" priority="138">
      <formula>AND(AND(N42&gt;0.96,N42&lt;1.04),IF(C48="Yes",AND(T42&gt;=1),AND(T42&lt;=1.05,T42&gt;=1)))</formula>
    </cfRule>
  </conditionalFormatting>
  <conditionalFormatting sqref="Z42">
    <cfRule type="expression" dxfId="7" priority="139">
      <formula>AND(AND(N42&gt;0.96,N42&lt;1.04),IF(C48="Yes",AND(Z42&gt;1.04),AND(Z42&gt;1.07)))</formula>
    </cfRule>
    <cfRule type="expression" dxfId="6" priority="140">
      <formula>AND(AND(N42&gt;0.96,N42&lt;1.04),IF(C48="Yes",AND(Z42&lt;=1.04),AND(Z42&lt;=1.07)))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144780</xdr:colOff>
                    <xdr:row>33</xdr:row>
                    <xdr:rowOff>95250</xdr:rowOff>
                  </from>
                  <to>
                    <xdr:col>8</xdr:col>
                    <xdr:colOff>716280</xdr:colOff>
                    <xdr:row>35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J14" sqref="J14:K14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0" customFormat="1" ht="14.7" thickBot="1" x14ac:dyDescent="0.6"/>
    <row r="3" spans="2:32" ht="14.7" thickBot="1" x14ac:dyDescent="0.6">
      <c r="B3" s="662" t="s">
        <v>403</v>
      </c>
      <c r="C3" s="663"/>
      <c r="D3" s="358">
        <v>1</v>
      </c>
      <c r="F3" s="664" t="s">
        <v>403</v>
      </c>
      <c r="G3" s="665"/>
      <c r="H3" s="358">
        <v>2</v>
      </c>
      <c r="J3" s="662" t="s">
        <v>403</v>
      </c>
      <c r="K3" s="663"/>
      <c r="L3" s="358">
        <v>3</v>
      </c>
      <c r="N3" s="664" t="s">
        <v>403</v>
      </c>
      <c r="O3" s="665"/>
      <c r="P3" s="358">
        <v>4</v>
      </c>
      <c r="R3" s="662" t="s">
        <v>403</v>
      </c>
      <c r="S3" s="663"/>
      <c r="T3" s="358">
        <v>5</v>
      </c>
      <c r="V3" s="664" t="s">
        <v>403</v>
      </c>
      <c r="W3" s="665"/>
      <c r="X3" s="358">
        <v>6</v>
      </c>
      <c r="Z3" s="662" t="s">
        <v>403</v>
      </c>
      <c r="AA3" s="663"/>
      <c r="AB3" s="358">
        <v>7</v>
      </c>
      <c r="AD3" s="664" t="s">
        <v>403</v>
      </c>
      <c r="AE3" s="665"/>
      <c r="AF3" s="358">
        <v>8</v>
      </c>
    </row>
    <row r="4" spans="2:32" x14ac:dyDescent="0.55000000000000004">
      <c r="B4" s="666"/>
      <c r="C4" s="667"/>
      <c r="D4" s="359" t="s">
        <v>294</v>
      </c>
      <c r="F4" s="666"/>
      <c r="G4" s="667"/>
      <c r="H4" s="359" t="s">
        <v>294</v>
      </c>
      <c r="J4" s="666"/>
      <c r="K4" s="667"/>
      <c r="L4" s="359" t="s">
        <v>294</v>
      </c>
      <c r="N4" s="666"/>
      <c r="O4" s="667"/>
      <c r="P4" s="359" t="s">
        <v>294</v>
      </c>
      <c r="R4" s="666"/>
      <c r="S4" s="667"/>
      <c r="T4" s="359" t="s">
        <v>294</v>
      </c>
      <c r="V4" s="666"/>
      <c r="W4" s="667"/>
      <c r="X4" s="359" t="s">
        <v>294</v>
      </c>
      <c r="Z4" s="666"/>
      <c r="AA4" s="667"/>
      <c r="AB4" s="359" t="s">
        <v>294</v>
      </c>
      <c r="AD4" s="666"/>
      <c r="AE4" s="667"/>
      <c r="AF4" s="359" t="s">
        <v>294</v>
      </c>
    </row>
    <row r="5" spans="2:32" x14ac:dyDescent="0.55000000000000004">
      <c r="B5" s="580" t="s">
        <v>484</v>
      </c>
      <c r="C5" s="581" t="s">
        <v>484</v>
      </c>
      <c r="D5" s="244">
        <v>0</v>
      </c>
      <c r="F5" s="580" t="s">
        <v>484</v>
      </c>
      <c r="G5" s="581" t="s">
        <v>484</v>
      </c>
      <c r="H5" s="244">
        <v>0</v>
      </c>
      <c r="J5" s="580" t="s">
        <v>484</v>
      </c>
      <c r="K5" s="581" t="s">
        <v>484</v>
      </c>
      <c r="L5" s="244">
        <v>0</v>
      </c>
      <c r="N5" s="580" t="s">
        <v>484</v>
      </c>
      <c r="O5" s="581" t="s">
        <v>484</v>
      </c>
      <c r="P5" s="244">
        <v>0</v>
      </c>
      <c r="R5" s="580" t="s">
        <v>484</v>
      </c>
      <c r="S5" s="581" t="s">
        <v>484</v>
      </c>
      <c r="T5" s="244">
        <v>0</v>
      </c>
      <c r="V5" s="580" t="s">
        <v>484</v>
      </c>
      <c r="W5" s="581" t="s">
        <v>484</v>
      </c>
      <c r="X5" s="244">
        <v>0</v>
      </c>
      <c r="Z5" s="580" t="s">
        <v>484</v>
      </c>
      <c r="AA5" s="581" t="s">
        <v>484</v>
      </c>
      <c r="AB5" s="244">
        <v>0</v>
      </c>
      <c r="AD5" s="580" t="s">
        <v>484</v>
      </c>
      <c r="AE5" s="581" t="s">
        <v>484</v>
      </c>
      <c r="AF5" s="244">
        <v>0</v>
      </c>
    </row>
    <row r="6" spans="2:32" x14ac:dyDescent="0.55000000000000004">
      <c r="B6" s="580" t="s">
        <v>98</v>
      </c>
      <c r="C6" s="581" t="s">
        <v>484</v>
      </c>
      <c r="D6" s="244">
        <v>0</v>
      </c>
      <c r="F6" s="580" t="s">
        <v>98</v>
      </c>
      <c r="G6" s="581" t="s">
        <v>484</v>
      </c>
      <c r="H6" s="244">
        <v>0</v>
      </c>
      <c r="J6" s="580" t="s">
        <v>98</v>
      </c>
      <c r="K6" s="581" t="s">
        <v>484</v>
      </c>
      <c r="L6" s="244">
        <v>0</v>
      </c>
      <c r="N6" s="580" t="s">
        <v>98</v>
      </c>
      <c r="O6" s="581" t="s">
        <v>484</v>
      </c>
      <c r="P6" s="244">
        <v>0</v>
      </c>
      <c r="R6" s="580" t="s">
        <v>98</v>
      </c>
      <c r="S6" s="581" t="s">
        <v>484</v>
      </c>
      <c r="T6" s="244">
        <v>0</v>
      </c>
      <c r="V6" s="580" t="s">
        <v>98</v>
      </c>
      <c r="W6" s="581" t="s">
        <v>484</v>
      </c>
      <c r="X6" s="244">
        <v>0</v>
      </c>
      <c r="Z6" s="580" t="s">
        <v>98</v>
      </c>
      <c r="AA6" s="581" t="s">
        <v>484</v>
      </c>
      <c r="AB6" s="244">
        <v>0</v>
      </c>
      <c r="AD6" s="580" t="s">
        <v>98</v>
      </c>
      <c r="AE6" s="581" t="s">
        <v>484</v>
      </c>
      <c r="AF6" s="244">
        <v>0</v>
      </c>
    </row>
    <row r="7" spans="2:32" x14ac:dyDescent="0.55000000000000004">
      <c r="B7" s="580" t="s">
        <v>479</v>
      </c>
      <c r="C7" s="581" t="s">
        <v>484</v>
      </c>
      <c r="D7" s="244">
        <v>0</v>
      </c>
      <c r="F7" s="580" t="s">
        <v>479</v>
      </c>
      <c r="G7" s="581" t="s">
        <v>484</v>
      </c>
      <c r="H7" s="244">
        <v>0</v>
      </c>
      <c r="J7" s="580" t="s">
        <v>479</v>
      </c>
      <c r="K7" s="581" t="s">
        <v>484</v>
      </c>
      <c r="L7" s="244">
        <v>0</v>
      </c>
      <c r="N7" s="580" t="s">
        <v>479</v>
      </c>
      <c r="O7" s="581" t="s">
        <v>484</v>
      </c>
      <c r="P7" s="244">
        <v>0</v>
      </c>
      <c r="R7" s="580" t="s">
        <v>479</v>
      </c>
      <c r="S7" s="581" t="s">
        <v>484</v>
      </c>
      <c r="T7" s="244">
        <v>0</v>
      </c>
      <c r="V7" s="580" t="s">
        <v>479</v>
      </c>
      <c r="W7" s="581" t="s">
        <v>484</v>
      </c>
      <c r="X7" s="244">
        <v>0</v>
      </c>
      <c r="Z7" s="580" t="s">
        <v>479</v>
      </c>
      <c r="AA7" s="581" t="s">
        <v>484</v>
      </c>
      <c r="AB7" s="244">
        <v>0</v>
      </c>
      <c r="AD7" s="580" t="s">
        <v>479</v>
      </c>
      <c r="AE7" s="581" t="s">
        <v>484</v>
      </c>
      <c r="AF7" s="244">
        <v>0</v>
      </c>
    </row>
    <row r="8" spans="2:32" x14ac:dyDescent="0.55000000000000004">
      <c r="B8" s="580" t="s">
        <v>99</v>
      </c>
      <c r="C8" s="581" t="s">
        <v>484</v>
      </c>
      <c r="D8" s="244">
        <v>0</v>
      </c>
      <c r="F8" s="580" t="s">
        <v>99</v>
      </c>
      <c r="G8" s="581" t="s">
        <v>484</v>
      </c>
      <c r="H8" s="244">
        <v>0</v>
      </c>
      <c r="J8" s="580" t="s">
        <v>99</v>
      </c>
      <c r="K8" s="581" t="s">
        <v>484</v>
      </c>
      <c r="L8" s="244">
        <v>0</v>
      </c>
      <c r="N8" s="580" t="s">
        <v>99</v>
      </c>
      <c r="O8" s="581" t="s">
        <v>484</v>
      </c>
      <c r="P8" s="244">
        <v>0</v>
      </c>
      <c r="R8" s="580" t="s">
        <v>99</v>
      </c>
      <c r="S8" s="581" t="s">
        <v>484</v>
      </c>
      <c r="T8" s="244">
        <v>0</v>
      </c>
      <c r="V8" s="580" t="s">
        <v>99</v>
      </c>
      <c r="W8" s="581" t="s">
        <v>484</v>
      </c>
      <c r="X8" s="244">
        <v>0</v>
      </c>
      <c r="Z8" s="580" t="s">
        <v>99</v>
      </c>
      <c r="AA8" s="581" t="s">
        <v>484</v>
      </c>
      <c r="AB8" s="244">
        <v>0</v>
      </c>
      <c r="AD8" s="580" t="s">
        <v>99</v>
      </c>
      <c r="AE8" s="581" t="s">
        <v>484</v>
      </c>
      <c r="AF8" s="244">
        <v>0</v>
      </c>
    </row>
    <row r="9" spans="2:32" x14ac:dyDescent="0.55000000000000004">
      <c r="B9" s="580" t="s">
        <v>488</v>
      </c>
      <c r="C9" s="581" t="s">
        <v>484</v>
      </c>
      <c r="D9" s="244">
        <v>0</v>
      </c>
      <c r="F9" s="580" t="s">
        <v>488</v>
      </c>
      <c r="G9" s="581" t="s">
        <v>484</v>
      </c>
      <c r="H9" s="244">
        <v>0</v>
      </c>
      <c r="J9" s="580" t="s">
        <v>488</v>
      </c>
      <c r="K9" s="581" t="s">
        <v>484</v>
      </c>
      <c r="L9" s="244">
        <v>0</v>
      </c>
      <c r="N9" s="580" t="s">
        <v>488</v>
      </c>
      <c r="O9" s="581" t="s">
        <v>484</v>
      </c>
      <c r="P9" s="244">
        <v>0</v>
      </c>
      <c r="R9" s="580" t="s">
        <v>488</v>
      </c>
      <c r="S9" s="581" t="s">
        <v>484</v>
      </c>
      <c r="T9" s="244">
        <v>0</v>
      </c>
      <c r="V9" s="580" t="s">
        <v>488</v>
      </c>
      <c r="W9" s="581" t="s">
        <v>484</v>
      </c>
      <c r="X9" s="244">
        <v>0</v>
      </c>
      <c r="Z9" s="580" t="s">
        <v>488</v>
      </c>
      <c r="AA9" s="581" t="s">
        <v>484</v>
      </c>
      <c r="AB9" s="244">
        <v>0</v>
      </c>
      <c r="AD9" s="580" t="s">
        <v>488</v>
      </c>
      <c r="AE9" s="581" t="s">
        <v>484</v>
      </c>
      <c r="AF9" s="244">
        <v>0</v>
      </c>
    </row>
    <row r="10" spans="2:32" x14ac:dyDescent="0.55000000000000004">
      <c r="B10" s="580" t="s">
        <v>101</v>
      </c>
      <c r="C10" s="581" t="s">
        <v>484</v>
      </c>
      <c r="D10" s="244">
        <v>0</v>
      </c>
      <c r="F10" s="580" t="s">
        <v>101</v>
      </c>
      <c r="G10" s="581" t="s">
        <v>484</v>
      </c>
      <c r="H10" s="244">
        <v>0</v>
      </c>
      <c r="J10" s="580" t="s">
        <v>101</v>
      </c>
      <c r="K10" s="581" t="s">
        <v>484</v>
      </c>
      <c r="L10" s="244">
        <v>0</v>
      </c>
      <c r="N10" s="580" t="s">
        <v>101</v>
      </c>
      <c r="O10" s="581" t="s">
        <v>484</v>
      </c>
      <c r="P10" s="244">
        <v>0</v>
      </c>
      <c r="R10" s="580" t="s">
        <v>101</v>
      </c>
      <c r="S10" s="581" t="s">
        <v>484</v>
      </c>
      <c r="T10" s="244">
        <v>0</v>
      </c>
      <c r="V10" s="580" t="s">
        <v>101</v>
      </c>
      <c r="W10" s="581" t="s">
        <v>484</v>
      </c>
      <c r="X10" s="244">
        <v>0</v>
      </c>
      <c r="Z10" s="580" t="s">
        <v>101</v>
      </c>
      <c r="AA10" s="581" t="s">
        <v>484</v>
      </c>
      <c r="AB10" s="244">
        <v>0</v>
      </c>
      <c r="AD10" s="580" t="s">
        <v>101</v>
      </c>
      <c r="AE10" s="581" t="s">
        <v>484</v>
      </c>
      <c r="AF10" s="244">
        <v>0</v>
      </c>
    </row>
    <row r="11" spans="2:32" x14ac:dyDescent="0.55000000000000004">
      <c r="B11" s="580" t="s">
        <v>100</v>
      </c>
      <c r="C11" s="581" t="s">
        <v>484</v>
      </c>
      <c r="D11" s="244">
        <v>0</v>
      </c>
      <c r="F11" s="580" t="s">
        <v>100</v>
      </c>
      <c r="G11" s="581" t="s">
        <v>484</v>
      </c>
      <c r="H11" s="244">
        <v>0</v>
      </c>
      <c r="J11" s="580" t="s">
        <v>100</v>
      </c>
      <c r="K11" s="581" t="s">
        <v>484</v>
      </c>
      <c r="L11" s="244">
        <v>0</v>
      </c>
      <c r="N11" s="580" t="s">
        <v>100</v>
      </c>
      <c r="O11" s="581" t="s">
        <v>484</v>
      </c>
      <c r="P11" s="244">
        <v>0</v>
      </c>
      <c r="R11" s="580" t="s">
        <v>100</v>
      </c>
      <c r="S11" s="581" t="s">
        <v>484</v>
      </c>
      <c r="T11" s="244">
        <v>0</v>
      </c>
      <c r="V11" s="580" t="s">
        <v>100</v>
      </c>
      <c r="W11" s="581" t="s">
        <v>484</v>
      </c>
      <c r="X11" s="244">
        <v>0</v>
      </c>
      <c r="Z11" s="580" t="s">
        <v>100</v>
      </c>
      <c r="AA11" s="581" t="s">
        <v>484</v>
      </c>
      <c r="AB11" s="244">
        <v>0</v>
      </c>
      <c r="AD11" s="580" t="s">
        <v>100</v>
      </c>
      <c r="AE11" s="581" t="s">
        <v>484</v>
      </c>
      <c r="AF11" s="244">
        <v>0</v>
      </c>
    </row>
    <row r="12" spans="2:32" x14ac:dyDescent="0.55000000000000004">
      <c r="B12" s="580" t="s">
        <v>103</v>
      </c>
      <c r="C12" s="581" t="s">
        <v>484</v>
      </c>
      <c r="D12" s="244">
        <v>0</v>
      </c>
      <c r="F12" s="580" t="s">
        <v>103</v>
      </c>
      <c r="G12" s="581" t="s">
        <v>484</v>
      </c>
      <c r="H12" s="244">
        <v>0</v>
      </c>
      <c r="J12" s="580" t="s">
        <v>103</v>
      </c>
      <c r="K12" s="581" t="s">
        <v>484</v>
      </c>
      <c r="L12" s="244">
        <v>0</v>
      </c>
      <c r="N12" s="580" t="s">
        <v>103</v>
      </c>
      <c r="O12" s="581" t="s">
        <v>484</v>
      </c>
      <c r="P12" s="244">
        <v>0</v>
      </c>
      <c r="R12" s="580" t="s">
        <v>103</v>
      </c>
      <c r="S12" s="581" t="s">
        <v>484</v>
      </c>
      <c r="T12" s="244">
        <v>0</v>
      </c>
      <c r="V12" s="580" t="s">
        <v>103</v>
      </c>
      <c r="W12" s="581" t="s">
        <v>484</v>
      </c>
      <c r="X12" s="244">
        <v>0</v>
      </c>
      <c r="Z12" s="580" t="s">
        <v>103</v>
      </c>
      <c r="AA12" s="581" t="s">
        <v>484</v>
      </c>
      <c r="AB12" s="244">
        <v>0</v>
      </c>
      <c r="AD12" s="580" t="s">
        <v>103</v>
      </c>
      <c r="AE12" s="581" t="s">
        <v>484</v>
      </c>
      <c r="AF12" s="244">
        <v>0</v>
      </c>
    </row>
    <row r="13" spans="2:32" x14ac:dyDescent="0.55000000000000004">
      <c r="B13" s="580" t="s">
        <v>102</v>
      </c>
      <c r="C13" s="581" t="s">
        <v>484</v>
      </c>
      <c r="D13" s="244">
        <v>0</v>
      </c>
      <c r="F13" s="580" t="s">
        <v>102</v>
      </c>
      <c r="G13" s="581" t="s">
        <v>484</v>
      </c>
      <c r="H13" s="244">
        <v>0</v>
      </c>
      <c r="J13" s="580" t="s">
        <v>102</v>
      </c>
      <c r="K13" s="581" t="s">
        <v>484</v>
      </c>
      <c r="L13" s="244">
        <v>0</v>
      </c>
      <c r="N13" s="580" t="s">
        <v>102</v>
      </c>
      <c r="O13" s="581" t="s">
        <v>484</v>
      </c>
      <c r="P13" s="244">
        <v>0</v>
      </c>
      <c r="R13" s="580" t="s">
        <v>102</v>
      </c>
      <c r="S13" s="581" t="s">
        <v>484</v>
      </c>
      <c r="T13" s="244">
        <v>0</v>
      </c>
      <c r="V13" s="580" t="s">
        <v>102</v>
      </c>
      <c r="W13" s="581" t="s">
        <v>484</v>
      </c>
      <c r="X13" s="244">
        <v>0</v>
      </c>
      <c r="Z13" s="580" t="s">
        <v>102</v>
      </c>
      <c r="AA13" s="581" t="s">
        <v>484</v>
      </c>
      <c r="AB13" s="244">
        <v>0</v>
      </c>
      <c r="AD13" s="580" t="s">
        <v>102</v>
      </c>
      <c r="AE13" s="581" t="s">
        <v>484</v>
      </c>
      <c r="AF13" s="244">
        <v>0</v>
      </c>
    </row>
    <row r="14" spans="2:32" x14ac:dyDescent="0.55000000000000004">
      <c r="B14" s="580" t="s">
        <v>490</v>
      </c>
      <c r="C14" s="581" t="s">
        <v>484</v>
      </c>
      <c r="D14" s="244">
        <v>0</v>
      </c>
      <c r="F14" s="580" t="s">
        <v>490</v>
      </c>
      <c r="G14" s="581" t="s">
        <v>484</v>
      </c>
      <c r="H14" s="244">
        <v>0</v>
      </c>
      <c r="J14" s="580" t="s">
        <v>490</v>
      </c>
      <c r="K14" s="581" t="s">
        <v>484</v>
      </c>
      <c r="L14" s="244">
        <v>0</v>
      </c>
      <c r="N14" s="580" t="s">
        <v>490</v>
      </c>
      <c r="O14" s="581" t="s">
        <v>484</v>
      </c>
      <c r="P14" s="244">
        <v>0</v>
      </c>
      <c r="R14" s="580" t="s">
        <v>490</v>
      </c>
      <c r="S14" s="581" t="s">
        <v>484</v>
      </c>
      <c r="T14" s="244">
        <v>0</v>
      </c>
      <c r="V14" s="580" t="s">
        <v>490</v>
      </c>
      <c r="W14" s="581" t="s">
        <v>484</v>
      </c>
      <c r="X14" s="244">
        <v>0</v>
      </c>
      <c r="Z14" s="580" t="s">
        <v>490</v>
      </c>
      <c r="AA14" s="581" t="s">
        <v>484</v>
      </c>
      <c r="AB14" s="244">
        <v>0</v>
      </c>
      <c r="AD14" s="580" t="s">
        <v>490</v>
      </c>
      <c r="AE14" s="581" t="s">
        <v>484</v>
      </c>
      <c r="AF14" s="244">
        <v>0</v>
      </c>
    </row>
    <row r="15" spans="2:32" x14ac:dyDescent="0.55000000000000004">
      <c r="B15" s="580" t="s">
        <v>469</v>
      </c>
      <c r="C15" s="581" t="s">
        <v>484</v>
      </c>
      <c r="D15" s="244">
        <v>0</v>
      </c>
      <c r="F15" s="580" t="s">
        <v>469</v>
      </c>
      <c r="G15" s="581" t="s">
        <v>484</v>
      </c>
      <c r="H15" s="244">
        <v>0</v>
      </c>
      <c r="J15" s="580" t="s">
        <v>469</v>
      </c>
      <c r="K15" s="581" t="s">
        <v>484</v>
      </c>
      <c r="L15" s="244">
        <v>0</v>
      </c>
      <c r="N15" s="580" t="s">
        <v>469</v>
      </c>
      <c r="O15" s="581" t="s">
        <v>484</v>
      </c>
      <c r="P15" s="244">
        <v>0</v>
      </c>
      <c r="R15" s="580" t="s">
        <v>469</v>
      </c>
      <c r="S15" s="581" t="s">
        <v>484</v>
      </c>
      <c r="T15" s="244">
        <v>0</v>
      </c>
      <c r="V15" s="580" t="s">
        <v>469</v>
      </c>
      <c r="W15" s="581" t="s">
        <v>484</v>
      </c>
      <c r="X15" s="244">
        <v>0</v>
      </c>
      <c r="Z15" s="580" t="s">
        <v>469</v>
      </c>
      <c r="AA15" s="581" t="s">
        <v>484</v>
      </c>
      <c r="AB15" s="244">
        <v>0</v>
      </c>
      <c r="AD15" s="580" t="s">
        <v>469</v>
      </c>
      <c r="AE15" s="581" t="s">
        <v>484</v>
      </c>
      <c r="AF15" s="244">
        <v>0</v>
      </c>
    </row>
    <row r="16" spans="2:32" x14ac:dyDescent="0.55000000000000004">
      <c r="B16" s="580" t="s">
        <v>474</v>
      </c>
      <c r="C16" s="581" t="s">
        <v>484</v>
      </c>
      <c r="D16" s="244">
        <v>1</v>
      </c>
      <c r="F16" s="580" t="s">
        <v>474</v>
      </c>
      <c r="G16" s="581" t="s">
        <v>484</v>
      </c>
      <c r="H16" s="244">
        <v>1</v>
      </c>
      <c r="J16" s="580" t="s">
        <v>474</v>
      </c>
      <c r="K16" s="581" t="s">
        <v>484</v>
      </c>
      <c r="L16" s="244">
        <v>1</v>
      </c>
      <c r="N16" s="580" t="s">
        <v>474</v>
      </c>
      <c r="O16" s="581" t="s">
        <v>484</v>
      </c>
      <c r="P16" s="244">
        <v>1</v>
      </c>
      <c r="R16" s="580" t="s">
        <v>474</v>
      </c>
      <c r="S16" s="581" t="s">
        <v>484</v>
      </c>
      <c r="T16" s="244">
        <v>1</v>
      </c>
      <c r="V16" s="580" t="s">
        <v>474</v>
      </c>
      <c r="W16" s="581" t="s">
        <v>484</v>
      </c>
      <c r="X16" s="244">
        <v>1</v>
      </c>
      <c r="Z16" s="580" t="s">
        <v>474</v>
      </c>
      <c r="AA16" s="581" t="s">
        <v>484</v>
      </c>
      <c r="AB16" s="244">
        <v>1</v>
      </c>
      <c r="AD16" s="580" t="s">
        <v>474</v>
      </c>
      <c r="AE16" s="581" t="s">
        <v>484</v>
      </c>
      <c r="AF16" s="244">
        <v>1</v>
      </c>
    </row>
    <row r="17" spans="2:32" x14ac:dyDescent="0.55000000000000004">
      <c r="B17" s="580" t="s">
        <v>492</v>
      </c>
      <c r="C17" s="581" t="s">
        <v>484</v>
      </c>
      <c r="D17" s="244">
        <v>0</v>
      </c>
      <c r="F17" s="580" t="s">
        <v>492</v>
      </c>
      <c r="G17" s="581" t="s">
        <v>484</v>
      </c>
      <c r="H17" s="244">
        <v>0</v>
      </c>
      <c r="J17" s="580" t="s">
        <v>492</v>
      </c>
      <c r="K17" s="581" t="s">
        <v>484</v>
      </c>
      <c r="L17" s="244">
        <v>0</v>
      </c>
      <c r="N17" s="580" t="s">
        <v>492</v>
      </c>
      <c r="O17" s="581" t="s">
        <v>484</v>
      </c>
      <c r="P17" s="244">
        <v>0</v>
      </c>
      <c r="R17" s="580" t="s">
        <v>492</v>
      </c>
      <c r="S17" s="581" t="s">
        <v>484</v>
      </c>
      <c r="T17" s="244">
        <v>0</v>
      </c>
      <c r="V17" s="580" t="s">
        <v>492</v>
      </c>
      <c r="W17" s="581" t="s">
        <v>484</v>
      </c>
      <c r="X17" s="244">
        <v>0</v>
      </c>
      <c r="Z17" s="580" t="s">
        <v>492</v>
      </c>
      <c r="AA17" s="581" t="s">
        <v>484</v>
      </c>
      <c r="AB17" s="244">
        <v>0</v>
      </c>
      <c r="AD17" s="580" t="s">
        <v>492</v>
      </c>
      <c r="AE17" s="581" t="s">
        <v>484</v>
      </c>
      <c r="AF17" s="244">
        <v>0</v>
      </c>
    </row>
    <row r="18" spans="2:32" x14ac:dyDescent="0.55000000000000004">
      <c r="B18" s="580" t="s">
        <v>107</v>
      </c>
      <c r="C18" s="581" t="s">
        <v>484</v>
      </c>
      <c r="D18" s="244">
        <v>0</v>
      </c>
      <c r="F18" s="580" t="s">
        <v>107</v>
      </c>
      <c r="G18" s="581" t="s">
        <v>484</v>
      </c>
      <c r="H18" s="244">
        <v>0</v>
      </c>
      <c r="J18" s="580" t="s">
        <v>107</v>
      </c>
      <c r="K18" s="581" t="s">
        <v>484</v>
      </c>
      <c r="L18" s="244">
        <v>0</v>
      </c>
      <c r="N18" s="580" t="s">
        <v>107</v>
      </c>
      <c r="O18" s="581" t="s">
        <v>484</v>
      </c>
      <c r="P18" s="244">
        <v>0</v>
      </c>
      <c r="R18" s="580" t="s">
        <v>107</v>
      </c>
      <c r="S18" s="581" t="s">
        <v>484</v>
      </c>
      <c r="T18" s="244">
        <v>0</v>
      </c>
      <c r="V18" s="580" t="s">
        <v>107</v>
      </c>
      <c r="W18" s="581" t="s">
        <v>484</v>
      </c>
      <c r="X18" s="244">
        <v>0</v>
      </c>
      <c r="Z18" s="580" t="s">
        <v>107</v>
      </c>
      <c r="AA18" s="581" t="s">
        <v>484</v>
      </c>
      <c r="AB18" s="244">
        <v>0</v>
      </c>
      <c r="AD18" s="580" t="s">
        <v>107</v>
      </c>
      <c r="AE18" s="581" t="s">
        <v>484</v>
      </c>
      <c r="AF18" s="244">
        <v>0</v>
      </c>
    </row>
    <row r="19" spans="2:32" x14ac:dyDescent="0.55000000000000004">
      <c r="B19" s="580" t="s">
        <v>108</v>
      </c>
      <c r="C19" s="581" t="s">
        <v>484</v>
      </c>
      <c r="D19" s="244">
        <v>0</v>
      </c>
      <c r="F19" s="580" t="s">
        <v>108</v>
      </c>
      <c r="G19" s="581" t="s">
        <v>484</v>
      </c>
      <c r="H19" s="244">
        <v>0</v>
      </c>
      <c r="J19" s="580" t="s">
        <v>108</v>
      </c>
      <c r="K19" s="581" t="s">
        <v>484</v>
      </c>
      <c r="L19" s="244">
        <v>0</v>
      </c>
      <c r="N19" s="580" t="s">
        <v>108</v>
      </c>
      <c r="O19" s="581" t="s">
        <v>484</v>
      </c>
      <c r="P19" s="244">
        <v>0</v>
      </c>
      <c r="R19" s="580" t="s">
        <v>108</v>
      </c>
      <c r="S19" s="581" t="s">
        <v>484</v>
      </c>
      <c r="T19" s="244">
        <v>0</v>
      </c>
      <c r="V19" s="580" t="s">
        <v>108</v>
      </c>
      <c r="W19" s="581" t="s">
        <v>484</v>
      </c>
      <c r="X19" s="244">
        <v>0</v>
      </c>
      <c r="Z19" s="580" t="s">
        <v>108</v>
      </c>
      <c r="AA19" s="581" t="s">
        <v>484</v>
      </c>
      <c r="AB19" s="244">
        <v>0</v>
      </c>
      <c r="AD19" s="580" t="s">
        <v>108</v>
      </c>
      <c r="AE19" s="581" t="s">
        <v>484</v>
      </c>
      <c r="AF19" s="244">
        <v>0</v>
      </c>
    </row>
    <row r="20" spans="2:32" x14ac:dyDescent="0.55000000000000004">
      <c r="B20" s="580" t="s">
        <v>481</v>
      </c>
      <c r="C20" s="581" t="s">
        <v>484</v>
      </c>
      <c r="D20" s="244">
        <v>0</v>
      </c>
      <c r="F20" s="580" t="s">
        <v>481</v>
      </c>
      <c r="G20" s="581" t="s">
        <v>484</v>
      </c>
      <c r="H20" s="244">
        <v>0</v>
      </c>
      <c r="J20" s="580" t="s">
        <v>481</v>
      </c>
      <c r="K20" s="581" t="s">
        <v>484</v>
      </c>
      <c r="L20" s="244">
        <v>0</v>
      </c>
      <c r="N20" s="580" t="s">
        <v>481</v>
      </c>
      <c r="O20" s="581" t="s">
        <v>484</v>
      </c>
      <c r="P20" s="244">
        <v>0</v>
      </c>
      <c r="R20" s="580" t="s">
        <v>481</v>
      </c>
      <c r="S20" s="581" t="s">
        <v>484</v>
      </c>
      <c r="T20" s="244">
        <v>0</v>
      </c>
      <c r="V20" s="580" t="s">
        <v>481</v>
      </c>
      <c r="W20" s="581" t="s">
        <v>484</v>
      </c>
      <c r="X20" s="244">
        <v>0</v>
      </c>
      <c r="Z20" s="580" t="s">
        <v>481</v>
      </c>
      <c r="AA20" s="581" t="s">
        <v>484</v>
      </c>
      <c r="AB20" s="244">
        <v>0</v>
      </c>
      <c r="AD20" s="580" t="s">
        <v>481</v>
      </c>
      <c r="AE20" s="581" t="s">
        <v>484</v>
      </c>
      <c r="AF20" s="244">
        <v>0</v>
      </c>
    </row>
    <row r="21" spans="2:32" x14ac:dyDescent="0.55000000000000004">
      <c r="B21" s="580" t="s">
        <v>487</v>
      </c>
      <c r="C21" s="581" t="s">
        <v>484</v>
      </c>
      <c r="D21" s="244">
        <v>0</v>
      </c>
      <c r="F21" s="580" t="s">
        <v>487</v>
      </c>
      <c r="G21" s="581" t="s">
        <v>484</v>
      </c>
      <c r="H21" s="244">
        <v>0</v>
      </c>
      <c r="J21" s="580" t="s">
        <v>487</v>
      </c>
      <c r="K21" s="581" t="s">
        <v>484</v>
      </c>
      <c r="L21" s="244">
        <v>0</v>
      </c>
      <c r="N21" s="580" t="s">
        <v>487</v>
      </c>
      <c r="O21" s="581" t="s">
        <v>484</v>
      </c>
      <c r="P21" s="244">
        <v>0</v>
      </c>
      <c r="R21" s="580" t="s">
        <v>487</v>
      </c>
      <c r="S21" s="581" t="s">
        <v>484</v>
      </c>
      <c r="T21" s="244">
        <v>0</v>
      </c>
      <c r="V21" s="580" t="s">
        <v>487</v>
      </c>
      <c r="W21" s="581" t="s">
        <v>484</v>
      </c>
      <c r="X21" s="244">
        <v>0</v>
      </c>
      <c r="Z21" s="580" t="s">
        <v>487</v>
      </c>
      <c r="AA21" s="581" t="s">
        <v>484</v>
      </c>
      <c r="AB21" s="244">
        <v>0</v>
      </c>
      <c r="AD21" s="580" t="s">
        <v>487</v>
      </c>
      <c r="AE21" s="581" t="s">
        <v>484</v>
      </c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M12" sqref="M12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78125" customWidth="1"/>
  </cols>
  <sheetData>
    <row r="2" spans="2:13" ht="14.7" thickBot="1" x14ac:dyDescent="0.6"/>
    <row r="3" spans="2:13" x14ac:dyDescent="0.55000000000000004">
      <c r="B3" s="591" t="s">
        <v>388</v>
      </c>
      <c r="C3" s="350" t="s">
        <v>95</v>
      </c>
      <c r="D3" s="350" t="s">
        <v>389</v>
      </c>
      <c r="E3" s="350" t="s">
        <v>390</v>
      </c>
      <c r="F3" s="350" t="s">
        <v>391</v>
      </c>
      <c r="G3" s="350" t="s">
        <v>392</v>
      </c>
      <c r="H3" s="669" t="s">
        <v>393</v>
      </c>
      <c r="I3" s="351" t="s">
        <v>296</v>
      </c>
      <c r="J3" s="671" t="s">
        <v>394</v>
      </c>
    </row>
    <row r="4" spans="2:13" ht="14.7" thickBot="1" x14ac:dyDescent="0.6">
      <c r="B4" s="668"/>
      <c r="C4" s="352" t="s">
        <v>395</v>
      </c>
      <c r="D4" s="352" t="s">
        <v>395</v>
      </c>
      <c r="E4" s="352" t="s">
        <v>334</v>
      </c>
      <c r="F4" s="352" t="s">
        <v>305</v>
      </c>
      <c r="G4" s="352" t="s">
        <v>396</v>
      </c>
      <c r="H4" s="670"/>
      <c r="I4" s="353" t="s">
        <v>303</v>
      </c>
      <c r="J4" s="672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397</v>
      </c>
      <c r="I5" s="357">
        <v>17110.347257787751</v>
      </c>
      <c r="J5" s="274" t="s">
        <v>398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397</v>
      </c>
      <c r="I6" s="357">
        <v>24694.33216871996</v>
      </c>
      <c r="J6" s="274" t="s">
        <v>399</v>
      </c>
      <c r="L6" s="626" t="s">
        <v>375</v>
      </c>
      <c r="M6" s="627"/>
    </row>
    <row r="7" spans="2:13" ht="14.5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397</v>
      </c>
      <c r="I7" s="357">
        <v>34634.410001950651</v>
      </c>
      <c r="J7" s="274" t="s">
        <v>400</v>
      </c>
      <c r="L7" s="628"/>
      <c r="M7" s="629"/>
    </row>
    <row r="8" spans="2:13" ht="14.5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397</v>
      </c>
      <c r="I8" s="357">
        <v>35991.544205332109</v>
      </c>
      <c r="J8" s="274" t="s">
        <v>401</v>
      </c>
      <c r="L8" s="630" t="s">
        <v>422</v>
      </c>
      <c r="M8" s="631"/>
    </row>
    <row r="9" spans="2:13" ht="14.5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397</v>
      </c>
      <c r="I9" s="357">
        <v>50853.520435002218</v>
      </c>
      <c r="J9" s="274" t="s">
        <v>402</v>
      </c>
      <c r="L9" s="632"/>
      <c r="M9" s="633"/>
    </row>
    <row r="10" spans="2:13" ht="14.65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397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397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397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397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397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397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397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397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397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397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397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397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397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397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397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397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397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397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397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397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397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397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397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397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397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397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397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397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397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397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397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397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397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397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397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397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397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397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397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397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397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397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397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397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397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397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397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397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397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397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397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397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397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397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397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397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397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397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397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397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397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397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397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397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397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397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397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397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397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397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397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397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397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397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397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397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397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397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397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397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397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397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397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397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397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397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397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397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397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397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397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397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397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397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397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397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397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397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397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397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397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397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397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397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397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397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397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397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397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397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397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397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397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397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397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397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397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397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397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397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397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397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397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397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397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397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397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397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397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397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397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397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397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397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397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397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397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397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397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397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397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397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397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397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397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397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397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397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397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397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397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397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397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397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397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397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397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397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397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397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397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397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397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397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397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397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397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397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397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397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397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397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397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397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397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397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397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397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397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397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397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397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397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397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397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397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397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397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397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397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397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397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397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397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397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397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397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397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397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397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397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397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397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397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397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397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397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397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397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397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397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397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397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397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397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397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397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397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397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397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397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397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397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397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397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397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397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397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397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397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397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397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397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397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397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397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397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397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397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397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397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397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397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397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397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397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397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397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397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397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397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397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397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397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397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397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397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397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397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397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397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397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397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397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397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397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397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397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397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397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397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397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397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397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397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397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397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397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397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397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397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397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397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397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397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397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397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397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397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397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397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397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397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397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397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397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397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397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397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397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397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397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397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397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397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397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397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397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397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397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397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397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397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397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397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397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397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397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397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397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397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397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397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397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397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397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397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397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397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397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397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397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397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397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397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397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397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397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397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397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397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397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397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397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397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397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397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397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397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397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397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397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397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397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397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397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397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397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397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397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397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397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397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397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397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397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397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397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397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397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397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397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397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397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397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397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397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397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397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397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397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397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397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397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397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397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397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397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397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397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397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397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397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397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397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397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397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397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397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397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397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397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397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397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397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397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397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397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397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397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397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397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397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397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397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397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397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397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397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397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397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397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397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397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397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397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397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397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397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397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397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397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397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397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397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397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397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397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397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397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397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397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397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397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397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397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397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397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397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397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397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397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397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397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397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397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397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397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397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397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397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397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397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397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397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397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397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397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397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397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397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397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397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397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397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397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397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397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397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397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397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397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397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397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397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397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397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397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397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397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397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4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F4" xr:uid="{D57C2CEE-FB37-4F39-82AB-B81A1DECBD9F}">
      <formula1>$F$5:$F$9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68359375" defaultRowHeight="14.4" x14ac:dyDescent="0.55000000000000004"/>
  <cols>
    <col min="1" max="1" width="5.47265625" style="415" customWidth="1"/>
    <col min="2" max="2" width="9.5234375" style="415" bestFit="1" customWidth="1"/>
    <col min="3" max="3" width="12.41796875" style="415" customWidth="1"/>
    <col min="4" max="4" width="13.578125" style="415" bestFit="1" customWidth="1"/>
    <col min="5" max="5" width="9.26171875" style="415" customWidth="1"/>
    <col min="6" max="6" width="12.5234375" style="415" customWidth="1"/>
    <col min="7" max="7" width="8.68359375" style="415" bestFit="1" customWidth="1"/>
    <col min="8" max="8" width="13.26171875" style="415" customWidth="1"/>
    <col min="9" max="9" width="11.26171875" style="415" bestFit="1" customWidth="1"/>
    <col min="10" max="10" width="12.26171875" style="415" bestFit="1" customWidth="1"/>
    <col min="11" max="11" width="16.26171875" style="415" customWidth="1"/>
    <col min="12" max="16384" width="8.68359375" style="415"/>
  </cols>
  <sheetData>
    <row r="1" spans="2:11" ht="12" customHeight="1" x14ac:dyDescent="0.55000000000000004">
      <c r="C1" s="434"/>
      <c r="D1" s="435"/>
      <c r="E1" s="435"/>
      <c r="F1" s="435"/>
      <c r="G1" s="435"/>
      <c r="H1" s="435"/>
    </row>
    <row r="2" spans="2:11" ht="14.5" customHeight="1" x14ac:dyDescent="0.55000000000000004">
      <c r="B2" s="416" t="s">
        <v>423</v>
      </c>
      <c r="C2" s="416" t="s">
        <v>424</v>
      </c>
      <c r="D2" s="416" t="s">
        <v>425</v>
      </c>
      <c r="E2" s="443" t="s">
        <v>426</v>
      </c>
      <c r="F2" s="443" t="s">
        <v>466</v>
      </c>
      <c r="G2" s="417" t="s">
        <v>427</v>
      </c>
      <c r="H2" s="418" t="s">
        <v>467</v>
      </c>
      <c r="I2" s="419" t="s">
        <v>468</v>
      </c>
      <c r="J2" s="419" t="s">
        <v>428</v>
      </c>
      <c r="K2" s="440" t="s">
        <v>470</v>
      </c>
    </row>
    <row r="3" spans="2:11" x14ac:dyDescent="0.55000000000000004">
      <c r="B3" s="421" t="s">
        <v>304</v>
      </c>
      <c r="C3" s="420" t="s">
        <v>430</v>
      </c>
      <c r="D3" s="421" t="s">
        <v>303</v>
      </c>
      <c r="E3" s="421" t="s">
        <v>382</v>
      </c>
      <c r="F3" s="421" t="s">
        <v>431</v>
      </c>
      <c r="G3" s="421" t="s">
        <v>432</v>
      </c>
      <c r="H3" s="421" t="s">
        <v>311</v>
      </c>
      <c r="I3" s="421" t="s">
        <v>305</v>
      </c>
      <c r="J3" s="421" t="s">
        <v>395</v>
      </c>
      <c r="K3" s="436" t="s">
        <v>471</v>
      </c>
    </row>
    <row r="4" spans="2:11" x14ac:dyDescent="0.55000000000000004">
      <c r="B4" s="421" t="s">
        <v>433</v>
      </c>
      <c r="C4" s="420" t="s">
        <v>434</v>
      </c>
      <c r="D4" s="421" t="s">
        <v>435</v>
      </c>
      <c r="E4" s="421" t="s">
        <v>354</v>
      </c>
      <c r="F4" s="421" t="s">
        <v>436</v>
      </c>
      <c r="G4" s="421" t="s">
        <v>67</v>
      </c>
      <c r="H4" s="421" t="s">
        <v>97</v>
      </c>
      <c r="I4" s="421" t="s">
        <v>437</v>
      </c>
      <c r="J4" s="421" t="s">
        <v>136</v>
      </c>
      <c r="K4" s="436" t="s">
        <v>472</v>
      </c>
    </row>
    <row r="5" spans="2:11" x14ac:dyDescent="0.55000000000000004">
      <c r="B5" s="421"/>
      <c r="C5" s="420" t="s">
        <v>313</v>
      </c>
      <c r="D5" s="421" t="s">
        <v>438</v>
      </c>
      <c r="E5" s="421" t="s">
        <v>439</v>
      </c>
      <c r="F5" s="421" t="s">
        <v>440</v>
      </c>
      <c r="G5" s="421"/>
      <c r="H5" s="421" t="s">
        <v>441</v>
      </c>
      <c r="I5" s="421" t="s">
        <v>442</v>
      </c>
      <c r="J5" s="421" t="s">
        <v>443</v>
      </c>
      <c r="K5" s="437" t="s">
        <v>473</v>
      </c>
    </row>
    <row r="6" spans="2:11" x14ac:dyDescent="0.55000000000000004">
      <c r="B6" s="421"/>
      <c r="C6" s="420" t="s">
        <v>444</v>
      </c>
      <c r="D6" s="421" t="s">
        <v>445</v>
      </c>
      <c r="E6" s="421" t="s">
        <v>429</v>
      </c>
      <c r="F6" s="421" t="s">
        <v>334</v>
      </c>
      <c r="G6" s="421"/>
      <c r="H6" s="421" t="s">
        <v>446</v>
      </c>
      <c r="I6" s="421"/>
      <c r="J6" s="421" t="s">
        <v>447</v>
      </c>
      <c r="K6" s="438" t="s">
        <v>100</v>
      </c>
    </row>
    <row r="7" spans="2:11" x14ac:dyDescent="0.55000000000000004">
      <c r="B7" s="421"/>
      <c r="C7" s="420" t="s">
        <v>448</v>
      </c>
      <c r="D7" s="421" t="s">
        <v>449</v>
      </c>
      <c r="E7" s="421" t="s">
        <v>450</v>
      </c>
      <c r="F7" s="421" t="s">
        <v>451</v>
      </c>
      <c r="G7" s="421"/>
      <c r="H7" s="421"/>
      <c r="I7" s="421"/>
      <c r="J7" s="421" t="s">
        <v>452</v>
      </c>
      <c r="K7" s="437" t="s">
        <v>474</v>
      </c>
    </row>
    <row r="8" spans="2:11" x14ac:dyDescent="0.55000000000000004">
      <c r="B8" s="421"/>
      <c r="C8" s="420" t="s">
        <v>453</v>
      </c>
      <c r="D8" s="421" t="s">
        <v>454</v>
      </c>
      <c r="E8" s="421" t="s">
        <v>455</v>
      </c>
      <c r="F8" s="421" t="s">
        <v>456</v>
      </c>
      <c r="G8" s="421"/>
      <c r="H8" s="421"/>
      <c r="I8" s="421"/>
      <c r="J8" s="421"/>
      <c r="K8" s="437" t="s">
        <v>475</v>
      </c>
    </row>
    <row r="9" spans="2:11" x14ac:dyDescent="0.55000000000000004">
      <c r="B9" s="421"/>
      <c r="C9" s="420" t="s">
        <v>457</v>
      </c>
      <c r="D9" s="421" t="s">
        <v>458</v>
      </c>
      <c r="E9" s="421" t="s">
        <v>459</v>
      </c>
      <c r="F9" s="421" t="s">
        <v>460</v>
      </c>
      <c r="G9" s="421"/>
      <c r="H9" s="421"/>
      <c r="I9" s="421"/>
      <c r="J9" s="421"/>
      <c r="K9" s="437" t="s">
        <v>476</v>
      </c>
    </row>
    <row r="10" spans="2:11" x14ac:dyDescent="0.55000000000000004">
      <c r="B10" s="421"/>
      <c r="C10" s="420" t="s">
        <v>461</v>
      </c>
      <c r="D10" s="421" t="s">
        <v>462</v>
      </c>
      <c r="E10" s="421" t="s">
        <v>463</v>
      </c>
      <c r="F10" s="421"/>
      <c r="G10" s="421"/>
      <c r="H10" s="421"/>
      <c r="I10" s="421"/>
      <c r="J10" s="421"/>
      <c r="K10" s="437" t="s">
        <v>469</v>
      </c>
    </row>
    <row r="11" spans="2:11" x14ac:dyDescent="0.55000000000000004">
      <c r="B11" s="421"/>
      <c r="C11" s="420" t="s">
        <v>464</v>
      </c>
      <c r="D11" s="421" t="s">
        <v>465</v>
      </c>
      <c r="E11" s="421"/>
      <c r="F11" s="421"/>
      <c r="G11" s="421"/>
      <c r="H11" s="421"/>
      <c r="I11" s="421"/>
      <c r="J11" s="421"/>
      <c r="K11" s="436" t="s">
        <v>477</v>
      </c>
    </row>
    <row r="12" spans="2:11" x14ac:dyDescent="0.55000000000000004">
      <c r="B12" s="421"/>
      <c r="C12" s="421"/>
      <c r="D12" s="421"/>
      <c r="E12" s="421"/>
      <c r="F12" s="421"/>
      <c r="G12" s="421"/>
      <c r="H12" s="421"/>
      <c r="I12" s="421"/>
      <c r="J12" s="421"/>
      <c r="K12" s="437" t="s">
        <v>478</v>
      </c>
    </row>
    <row r="13" spans="2:11" x14ac:dyDescent="0.55000000000000004">
      <c r="B13" s="421"/>
      <c r="C13" s="421"/>
      <c r="D13" s="421"/>
      <c r="E13" s="421"/>
      <c r="F13" s="421"/>
      <c r="G13" s="421"/>
      <c r="H13" s="421"/>
      <c r="I13" s="421"/>
      <c r="J13" s="421"/>
      <c r="K13" s="438" t="s">
        <v>98</v>
      </c>
    </row>
    <row r="14" spans="2:11" x14ac:dyDescent="0.55000000000000004">
      <c r="B14" s="421"/>
      <c r="C14" s="420"/>
      <c r="D14" s="421"/>
      <c r="E14" s="421"/>
      <c r="F14" s="421"/>
      <c r="G14" s="421"/>
      <c r="H14" s="421"/>
      <c r="I14" s="421"/>
      <c r="J14" s="421"/>
      <c r="K14" s="438" t="s">
        <v>479</v>
      </c>
    </row>
    <row r="15" spans="2:11" ht="14.5" customHeight="1" x14ac:dyDescent="0.55000000000000004">
      <c r="B15" s="421"/>
      <c r="C15" s="422"/>
      <c r="D15" s="422"/>
      <c r="E15" s="421"/>
      <c r="F15" s="422"/>
      <c r="G15" s="421"/>
      <c r="H15" s="422"/>
      <c r="I15" s="422"/>
      <c r="J15" s="422"/>
      <c r="K15" s="436" t="s">
        <v>480</v>
      </c>
    </row>
    <row r="16" spans="2:11" x14ac:dyDescent="0.55000000000000004">
      <c r="B16" s="421"/>
      <c r="C16" s="421"/>
      <c r="D16" s="422"/>
      <c r="E16" s="421"/>
      <c r="F16" s="422"/>
      <c r="G16" s="421"/>
      <c r="H16" s="422"/>
      <c r="I16" s="422"/>
      <c r="J16" s="422"/>
      <c r="K16" s="437" t="s">
        <v>105</v>
      </c>
    </row>
    <row r="17" spans="2:11" x14ac:dyDescent="0.55000000000000004">
      <c r="B17" s="421"/>
      <c r="C17" s="421"/>
      <c r="D17" s="421"/>
      <c r="E17" s="421"/>
      <c r="F17" s="421"/>
      <c r="G17" s="421"/>
      <c r="H17" s="421"/>
      <c r="I17" s="421"/>
      <c r="J17" s="421"/>
      <c r="K17" s="437" t="s">
        <v>481</v>
      </c>
    </row>
    <row r="18" spans="2:11" x14ac:dyDescent="0.55000000000000004">
      <c r="B18" s="421"/>
      <c r="C18" s="421"/>
      <c r="D18" s="421"/>
      <c r="E18" s="421"/>
      <c r="F18" s="421"/>
      <c r="G18" s="421"/>
      <c r="H18" s="421"/>
      <c r="I18" s="421"/>
      <c r="J18" s="421"/>
      <c r="K18" s="437" t="s">
        <v>108</v>
      </c>
    </row>
    <row r="19" spans="2:11" x14ac:dyDescent="0.55000000000000004">
      <c r="B19" s="421"/>
      <c r="C19" s="421"/>
      <c r="D19" s="421"/>
      <c r="E19" s="421"/>
      <c r="F19" s="421"/>
      <c r="G19" s="421"/>
      <c r="H19" s="421"/>
      <c r="I19" s="421"/>
      <c r="J19" s="421"/>
      <c r="K19" s="438" t="s">
        <v>101</v>
      </c>
    </row>
    <row r="20" spans="2:11" x14ac:dyDescent="0.55000000000000004">
      <c r="B20" s="421"/>
      <c r="C20" s="421"/>
      <c r="D20" s="421"/>
      <c r="E20" s="421"/>
      <c r="F20" s="421"/>
      <c r="G20" s="421"/>
      <c r="H20" s="421"/>
      <c r="I20" s="421"/>
      <c r="J20" s="421"/>
      <c r="K20" s="436" t="s">
        <v>482</v>
      </c>
    </row>
    <row r="21" spans="2:11" x14ac:dyDescent="0.55000000000000004">
      <c r="B21" s="421"/>
      <c r="C21" s="421"/>
      <c r="D21" s="421"/>
      <c r="E21" s="421"/>
      <c r="F21" s="421"/>
      <c r="G21" s="421"/>
      <c r="H21" s="421"/>
      <c r="I21" s="421"/>
      <c r="J21" s="421"/>
      <c r="K21" s="436" t="s">
        <v>483</v>
      </c>
    </row>
    <row r="22" spans="2:11" x14ac:dyDescent="0.55000000000000004">
      <c r="B22" s="421"/>
      <c r="C22" s="421"/>
      <c r="D22" s="421"/>
      <c r="E22" s="421"/>
      <c r="F22" s="421"/>
      <c r="G22" s="421"/>
      <c r="H22" s="421"/>
      <c r="I22" s="421"/>
      <c r="J22" s="421"/>
      <c r="K22" s="437" t="s">
        <v>103</v>
      </c>
    </row>
    <row r="23" spans="2:11" x14ac:dyDescent="0.55000000000000004">
      <c r="B23" s="421"/>
      <c r="C23" s="421"/>
      <c r="D23" s="421"/>
      <c r="E23" s="421"/>
      <c r="F23" s="421"/>
      <c r="G23" s="421"/>
      <c r="H23" s="421"/>
      <c r="I23" s="421"/>
      <c r="J23" s="421"/>
      <c r="K23" s="438" t="s">
        <v>484</v>
      </c>
    </row>
    <row r="24" spans="2:11" x14ac:dyDescent="0.55000000000000004">
      <c r="B24" s="441"/>
      <c r="C24" s="441"/>
      <c r="D24" s="441"/>
      <c r="E24" s="441"/>
      <c r="F24" s="441"/>
      <c r="G24" s="441"/>
      <c r="H24" s="441"/>
      <c r="I24" s="441"/>
      <c r="J24" s="441"/>
      <c r="K24" s="437" t="s">
        <v>107</v>
      </c>
    </row>
    <row r="25" spans="2:11" ht="14.5" customHeight="1" x14ac:dyDescent="0.55000000000000004">
      <c r="B25" s="441"/>
      <c r="C25" s="673"/>
      <c r="D25" s="422"/>
      <c r="E25" s="444"/>
      <c r="F25" s="444"/>
      <c r="G25" s="441"/>
      <c r="H25" s="444"/>
      <c r="I25" s="441"/>
      <c r="J25" s="441"/>
      <c r="K25" s="436" t="s">
        <v>485</v>
      </c>
    </row>
    <row r="26" spans="2:11" x14ac:dyDescent="0.55000000000000004">
      <c r="B26" s="441"/>
      <c r="C26" s="673"/>
      <c r="D26" s="422"/>
      <c r="E26" s="441"/>
      <c r="F26" s="441"/>
      <c r="G26" s="441"/>
      <c r="H26" s="444"/>
      <c r="I26" s="441"/>
      <c r="J26" s="441"/>
      <c r="K26" s="436" t="s">
        <v>486</v>
      </c>
    </row>
    <row r="27" spans="2:11" x14ac:dyDescent="0.55000000000000004">
      <c r="B27" s="441"/>
      <c r="C27" s="441"/>
      <c r="D27" s="441"/>
      <c r="E27" s="441"/>
      <c r="F27" s="445"/>
      <c r="G27" s="441"/>
      <c r="H27" s="441"/>
      <c r="I27" s="441"/>
      <c r="J27" s="441"/>
      <c r="K27" s="438" t="s">
        <v>487</v>
      </c>
    </row>
    <row r="28" spans="2:11" x14ac:dyDescent="0.55000000000000004">
      <c r="B28" s="441"/>
      <c r="C28" s="441"/>
      <c r="D28" s="441"/>
      <c r="E28" s="441"/>
      <c r="F28" s="441"/>
      <c r="G28" s="441"/>
      <c r="H28" s="441"/>
      <c r="I28" s="441"/>
      <c r="J28" s="441"/>
      <c r="K28" s="437" t="s">
        <v>102</v>
      </c>
    </row>
    <row r="29" spans="2:11" x14ac:dyDescent="0.55000000000000004">
      <c r="B29" s="441"/>
      <c r="C29" s="441"/>
      <c r="D29" s="441"/>
      <c r="E29" s="441"/>
      <c r="F29" s="441"/>
      <c r="G29" s="441"/>
      <c r="H29" s="441"/>
      <c r="I29" s="441"/>
      <c r="J29" s="441"/>
      <c r="K29" s="438" t="s">
        <v>99</v>
      </c>
    </row>
    <row r="30" spans="2:11" x14ac:dyDescent="0.55000000000000004">
      <c r="B30" s="441"/>
      <c r="C30" s="441"/>
      <c r="D30" s="441"/>
      <c r="E30" s="441"/>
      <c r="F30" s="441"/>
      <c r="G30" s="441"/>
      <c r="H30" s="441"/>
      <c r="I30" s="441"/>
      <c r="J30" s="441"/>
      <c r="K30" s="438" t="s">
        <v>488</v>
      </c>
    </row>
    <row r="31" spans="2:11" x14ac:dyDescent="0.55000000000000004">
      <c r="B31" s="441"/>
      <c r="C31" s="441"/>
      <c r="D31" s="441"/>
      <c r="E31" s="441"/>
      <c r="F31" s="441"/>
      <c r="G31" s="441"/>
      <c r="H31" s="441"/>
      <c r="I31" s="441"/>
      <c r="J31" s="441"/>
      <c r="K31" s="437" t="s">
        <v>489</v>
      </c>
    </row>
    <row r="32" spans="2:11" x14ac:dyDescent="0.55000000000000004">
      <c r="B32" s="441"/>
      <c r="C32" s="441"/>
      <c r="D32" s="441"/>
      <c r="E32" s="441"/>
      <c r="F32" s="441"/>
      <c r="G32" s="441"/>
      <c r="H32" s="441"/>
      <c r="I32" s="441"/>
      <c r="J32" s="441"/>
      <c r="K32" s="437" t="s">
        <v>490</v>
      </c>
    </row>
    <row r="33" spans="2:11" x14ac:dyDescent="0.55000000000000004">
      <c r="B33" s="441"/>
      <c r="C33" s="441"/>
      <c r="D33" s="441"/>
      <c r="E33" s="441"/>
      <c r="F33" s="441"/>
      <c r="G33" s="441"/>
      <c r="H33" s="441"/>
      <c r="I33" s="441"/>
      <c r="J33" s="441"/>
      <c r="K33" s="436" t="s">
        <v>491</v>
      </c>
    </row>
    <row r="34" spans="2:11" x14ac:dyDescent="0.55000000000000004">
      <c r="B34" s="442"/>
      <c r="C34" s="442"/>
      <c r="D34" s="442"/>
      <c r="E34" s="442"/>
      <c r="F34" s="442"/>
      <c r="G34" s="442"/>
      <c r="H34" s="442"/>
      <c r="I34" s="442"/>
      <c r="J34" s="442"/>
      <c r="K34" s="439" t="s">
        <v>492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74" t="s">
        <v>326</v>
      </c>
      <c r="B1" s="674"/>
      <c r="C1" s="674"/>
      <c r="D1" s="674"/>
      <c r="E1" s="261"/>
      <c r="F1" s="261"/>
      <c r="G1" s="674" t="s">
        <v>327</v>
      </c>
      <c r="H1" s="674"/>
      <c r="I1" s="674"/>
    </row>
    <row r="2" spans="1:15" x14ac:dyDescent="0.55000000000000004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417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1">
        <f>IF('Actual Test Data'!$C$23="Yes",'Actual Test Data'!AB22,'Actual Test Data'!AA22)</f>
        <v>0.7506432079760964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1">
        <f>IF('Actual Test Data'!$C$23="Yes",'Actual Test Data'!AB23,'Actual Test Data'!AA23)</f>
        <v>0.81979078103720937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1">
        <f>IF('Actual Test Data'!$C$23="Yes",'Actual Test Data'!AB24,'Actual Test Data'!AA24)</f>
        <v>0.86508301761014039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1">
        <f>IF('Actual Test Data'!$C$23="Yes",'Actual Test Data'!AB25,'Actual Test Data'!AA25)</f>
        <v>0.86084287803822501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1">
        <f>IF('Actual Test Data'!$C$23="Yes",'Actual Test Data'!AB26,'Actual Test Data'!AA26)</f>
        <v>0.77705686606017321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1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1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1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1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1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2022-12-07T16:09:32Z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