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p49\ccp\scripts\Performance-Test\"/>
    </mc:Choice>
  </mc:AlternateContent>
  <xr:revisionPtr revIDLastSave="0" documentId="13_ncr:1_{0E988A4B-A8D7-4413-AF60-3D682E78CC91}" xr6:coauthVersionLast="47" xr6:coauthVersionMax="47" xr10:uidLastSave="{00000000-0000-0000-0000-000000000000}"/>
  <bookViews>
    <workbookView xWindow="-120" yWindow="17880" windowWidth="29040" windowHeight="15840" firstSheet="1" activeTab="3" xr2:uid="{00000000-000D-0000-FFFF-FFFF00000000}"/>
  </bookViews>
  <sheets>
    <sheet name="auxiliar" sheetId="11" state="hidden" r:id="rId1"/>
    <sheet name="DataSheet" sheetId="1" r:id="rId2"/>
    <sheet name="Test Procedure Data" sheetId="2" r:id="rId3"/>
    <sheet name="Actual Test Data" sheetId="8" r:id="rId4"/>
    <sheet name="Test Gas" sheetId="10" r:id="rId5"/>
    <sheet name="Tools" sheetId="5" state="hidden" r:id="rId6"/>
    <sheet name="CalcFlow" sheetId="9" r:id="rId7"/>
    <sheet name="GRAF" sheetId="4" state="hidden" r:id="rId8"/>
  </sheets>
  <functionGroups builtInGroupCount="19"/>
  <definedNames>
    <definedName name="_xlnm._FilterDatabase" localSheetId="0" hidden="1">auxiliar!$K$2:$K$34</definedName>
    <definedName name="ccpPath">DataSheet!$D$3</definedName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DataSheet!$D$2</definedName>
    <definedName name="razão_de_compressão">auxiliar!#REF!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9" i="1" l="1"/>
  <c r="K89" i="1" l="1"/>
  <c r="N89" i="1" l="1"/>
  <c r="D5" i="5"/>
  <c r="D13" i="5"/>
  <c r="D11" i="5"/>
  <c r="D9" i="5"/>
  <c r="D7" i="5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D29" i="4" s="1"/>
  <c r="B28" i="4"/>
  <c r="D28" i="4" s="1"/>
  <c r="D27" i="4"/>
  <c r="B27" i="4"/>
  <c r="B26" i="4"/>
  <c r="D26" i="4" s="1"/>
  <c r="D25" i="4"/>
  <c r="B25" i="4"/>
  <c r="D24" i="4"/>
  <c r="B24" i="4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A123" i="1" l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l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tc={8A692AED-CFFF-4303-915A-541D21DF340F}</author>
    <author>tc={BC7E1AA6-5F0D-451B-A0B9-ECFE305FB367}</author>
    <author>Richard A. Lewis</author>
  </authors>
  <commentList>
    <comment ref="A2" authorId="0" shapeId="0" xr:uid="{8A692AED-CFFF-4303-915A-541D21DF340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A3" authorId="1" shapeId="0" xr:uid="{BC7E1AA6-5F0D-451B-A0B9-ECFE305FB36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2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2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 xr:uid="{E4E135DA-5D8A-447D-88AD-DDE2967FFFE9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 xr:uid="{FF1E173E-B275-4E1F-970F-00AB789C16E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 xr:uid="{38E460AB-686F-45A7-8B14-411684F3073B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 xr:uid="{3F714ACC-F33B-4EF4-8E1C-1F2BED6E2A56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 xr:uid="{A2A1B485-9BFA-4611-944E-9D18242FAAF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M5" authorId="1" shapeId="0" xr:uid="{4AE0011D-8C4E-43D9-93A3-AB82E6E8B7A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N5" authorId="1" shapeId="0" xr:uid="{3814C972-CEF9-4D26-9667-DA55E00BC662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do fluido buffer</t>
        </r>
      </text>
    </comment>
    <comment ref="O5" authorId="1" shapeId="0" xr:uid="{7025F820-5CBD-4D3C-992C-6F23D01C4E1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P5" authorId="1" shapeId="0" xr:uid="{A4B512C7-9281-4432-BB0D-C3F31628D62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do end seal.</t>
        </r>
      </text>
    </comment>
    <comment ref="Q5" authorId="1" shapeId="0" xr:uid="{FDCBFE94-40D1-4EE9-AE9B-A71FC0760307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do end seal.</t>
        </r>
      </text>
    </comment>
    <comment ref="R5" authorId="1" shapeId="0" xr:uid="{718F62B9-E3B9-4411-BEE8-D9C19B034F6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division wall Fornecer está vazão ou a vazão de descarga na primeira seção.</t>
        </r>
      </text>
    </comment>
    <comment ref="S5" authorId="1" shapeId="0" xr:uid="{C7585AB1-95F4-483C-B3C1-802507C2773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da division wall.</t>
        </r>
      </text>
    </comment>
    <comment ref="T5" authorId="1" shapeId="0" xr:uid="{E41B5673-9F40-4947-8BCF-89EF0907804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da division wall.</t>
        </r>
      </text>
    </comment>
    <comment ref="U5" authorId="1" shapeId="0" xr:uid="{1C59B425-6865-4677-8E36-4392E77D63CC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descarga da primeira seção. Fornecer está vazão ou a vazão pelo division wall.</t>
        </r>
      </text>
    </comment>
    <comment ref="W5" authorId="1" shapeId="0" xr:uid="{6976A20E-D0E9-4924-BEB7-3194B54C2EA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E5" authorId="0" shapeId="0" xr:uid="{38757F57-1ED4-43C9-BBD7-2C2BFBBAB1F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segunda seção</t>
        </r>
      </text>
    </comment>
    <comment ref="AF5" authorId="0" shapeId="0" xr:uid="{BEF327B5-B567-4ECB-8C03-AE4F36E01E32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segunda seção</t>
        </r>
      </text>
    </comment>
    <comment ref="AG5" authorId="0" shapeId="0" xr:uid="{0EE952E9-C94C-4732-B9B2-49FED98D100C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segunda seção</t>
        </r>
      </text>
    </comment>
    <comment ref="AH5" authorId="0" shapeId="0" xr:uid="{CAB1F385-E167-477F-9F41-3F84BE582FE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AI5" authorId="0" shapeId="0" xr:uid="{B3AD2B91-C932-44E7-BF1D-D8E08CE71331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segunda seção</t>
        </r>
      </text>
    </comment>
    <comment ref="AJ5" authorId="0" shapeId="0" xr:uid="{32DF5471-AD6D-438C-A9DA-8299E1EEF92F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segunda seção</t>
        </r>
      </text>
    </comment>
    <comment ref="AK5" authorId="1" shapeId="0" xr:uid="{94AC258D-8DC2-4110-ABEA-A4D9B2AE6AB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AL5" authorId="1" shapeId="0" xr:uid="{AC85E8CC-61DB-44F8-AE34-270879A2D3E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AN5" authorId="1" shapeId="0" xr:uid="{E2F93FEF-1CB0-41DA-BE31-C1CE36C786E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40875DC4-8898-4A36-8BCC-81603C35D6FD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D2AEE17E-AE1A-4DCA-83F8-FD5F532C63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D9970493-97A4-4F16-AE21-E004287C9F2E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8A70121F-0B37-454C-94FD-90974E78B6F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017DBC48-9BFA-4D8D-B411-C0A69F54FA5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2C0FA295-93BF-46CB-AA1F-2E248EDB7CE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AEAE323B-B1EA-4C86-A6FC-C3762ED7938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<sst xmlns="http://schemas.openxmlformats.org/spreadsheetml/2006/main" count="1636" uniqueCount="518">
  <si>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</si>
  <si>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</si>
  <si>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</si>
  <si>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</si>
  <si>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</si>
  <si>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</si>
  <si>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</si>
  <si>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</si>
  <si>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</si>
  <si>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</si>
  <si>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</si>
  <si>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</si>
  <si>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</si>
  <si>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</si>
  <si>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</si>
  <si>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</si>
  <si>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</si>
  <si>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</si>
  <si>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</si>
  <si>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</si>
  <si>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</si>
  <si>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</si>
  <si>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</si>
  <si>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</si>
  <si>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</si>
  <si>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</si>
  <si>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</si>
  <si>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</si>
  <si>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</si>
  <si>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</si>
  <si>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</si>
  <si>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</si>
  <si>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</si>
  <si>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</si>
  <si>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</si>
  <si>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</si>
  <si>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</si>
  <si>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</si>
  <si>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</si>
  <si>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</si>
  <si>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</si>
  <si>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</si>
  <si>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</si>
  <si>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</si>
  <si>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</si>
  <si>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</si>
  <si>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</si>
  <si>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</si>
  <si>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</si>
  <si>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</si>
  <si>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</si>
  <si>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</si>
  <si>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</si>
  <si>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</si>
  <si>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</si>
  <si>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</si>
  <si>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</si>
  <si>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</si>
  <si>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</si>
  <si>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</si>
  <si>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</si>
  <si>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</si>
  <si>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</si>
  <si>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</si>
  <si>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</si>
  <si>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</si>
  <si>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</si>
  <si>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</si>
  <si>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</si>
  <si>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</si>
  <si>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</si>
  <si>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</si>
  <si>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</si>
  <si>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</si>
  <si>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</si>
  <si>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</si>
  <si>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</si>
  <si>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</si>
  <si>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</si>
  <si>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</si>
  <si>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</si>
  <si>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</si>
  <si>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</si>
  <si>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</si>
  <si>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</si>
  <si>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</si>
  <si>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</si>
  <si>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</si>
  <si>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</si>
  <si>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</si>
  <si>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</si>
  <si>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</si>
  <si>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</si>
  <si>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</si>
  <si>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</si>
  <si>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</si>
  <si>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</si>
  <si>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</si>
  <si>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</si>
  <si>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</si>
  <si>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</si>
  <si>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</si>
  <si>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</si>
  <si>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</si>
  <si>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</si>
  <si>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</si>
  <si>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</si>
  <si>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</si>
  <si>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</si>
  <si>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</si>
  <si>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</si>
  <si>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</si>
  <si>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</si>
  <si>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</si>
  <si>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</si>
  <si>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</si>
  <si>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</si>
  <si>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</si>
  <si>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</si>
  <si>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</si>
  <si>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</si>
  <si>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</si>
  <si>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</si>
  <si>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</si>
  <si>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</si>
  <si>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</si>
  <si>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</si>
  <si>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</si>
  <si>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</si>
  <si>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</si>
  <si>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</si>
  <si>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</si>
  <si>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</si>
  <si>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</si>
  <si>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</si>
  <si>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</si>
  <si>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</si>
  <si>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</si>
  <si>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</si>
  <si>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</si>
  <si>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</si>
  <si>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</si>
  <si>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</si>
  <si>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</si>
  <si>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</si>
  <si>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</si>
  <si>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</si>
  <si>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</si>
  <si>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</si>
  <si>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</si>
  <si>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</si>
  <si>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</si>
  <si>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</si>
  <si>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</si>
  <si>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</si>
  <si>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</si>
  <si>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</si>
  <si>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</si>
  <si>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</si>
  <si>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</si>
  <si>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</si>
  <si>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</si>
  <si>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</si>
  <si>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</si>
  <si>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</si>
  <si>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</si>
  <si>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</si>
  <si>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</si>
  <si>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</si>
  <si>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</si>
  <si>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</si>
  <si>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</si>
  <si>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</si>
  <si>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</si>
  <si>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</si>
  <si>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</si>
  <si>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</si>
  <si>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</si>
  <si>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</si>
  <si>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</si>
  <si>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</si>
  <si>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</si>
  <si>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</si>
  <si>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</si>
  <si>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</si>
  <si>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</si>
  <si>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</si>
  <si>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</si>
  <si>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</si>
  <si>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</si>
  <si>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</si>
  <si>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</si>
  <si>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</si>
  <si>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</si>
  <si>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</si>
  <si>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</si>
  <si>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</si>
  <si>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</si>
  <si>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</si>
  <si>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</si>
  <si>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</si>
  <si>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</si>
  <si>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</si>
  <si>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</si>
  <si>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</si>
  <si>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</si>
  <si>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</si>
  <si>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</si>
  <si>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</si>
  <si>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</si>
  <si>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</si>
  <si>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</si>
  <si>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</si>
  <si>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</si>
  <si>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</si>
  <si>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</si>
  <si>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</si>
  <si>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</si>
  <si>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</si>
  <si>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</si>
  <si>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</si>
  <si>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</si>
  <si>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</si>
  <si>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</si>
  <si>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</si>
  <si>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</si>
  <si>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</si>
  <si>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</si>
  <si>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</si>
  <si>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</si>
  <si>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</si>
  <si>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</si>
  <si>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</si>
  <si>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</si>
  <si>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</si>
  <si>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</si>
  <si>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</si>
  <si>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</si>
  <si>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</si>
  <si>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</si>
  <si>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</si>
  <si>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</si>
  <si>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</si>
  <si>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</si>
  <si>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</si>
  <si>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</si>
  <si>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</si>
  <si>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</si>
  <si>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</si>
  <si>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</si>
  <si>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</si>
  <si>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</si>
  <si>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</si>
  <si>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</si>
  <si>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</si>
  <si>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</si>
  <si>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</si>
  <si>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</si>
  <si>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</si>
  <si>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</si>
  <si>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</si>
  <si>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</si>
  <si>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</si>
  <si>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</si>
  <si>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</si>
  <si>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</si>
  <si>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</si>
  <si>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</si>
  <si>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</si>
  <si>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</si>
  <si>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</si>
  <si>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</si>
  <si>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</si>
  <si>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</si>
  <si>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</si>
  <si>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</si>
  <si>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</si>
  <si>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</si>
  <si>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</si>
  <si>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</si>
  <si>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</si>
  <si>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</si>
  <si>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</si>
  <si>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</si>
  <si>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</si>
  <si>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</si>
  <si>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</si>
  <si>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</si>
  <si>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</si>
  <si>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</si>
  <si>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</si>
  <si>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</si>
  <si>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</si>
  <si>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</si>
  <si>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</si>
  <si>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</si>
  <si>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</si>
  <si>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</si>
  <si>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</si>
  <si>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</si>
  <si>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</si>
  <si>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</si>
  <si>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</si>
  <si>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</si>
  <si>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</si>
  <si>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</si>
  <si>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</si>
  <si>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</si>
  <si>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</si>
  <si>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</si>
  <si>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</si>
  <si>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</si>
  <si>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</si>
  <si>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</si>
  <si>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</si>
  <si>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</si>
  <si>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</si>
  <si>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</si>
  <si>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</si>
  <si>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</si>
  <si>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</si>
  <si>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</si>
  <si>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</si>
  <si>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</si>
  <si>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</si>
  <si>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</si>
  <si>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</si>
  <si>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</si>
  <si>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</si>
  <si>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</si>
  <si>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</si>
  <si>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</si>
  <si>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</si>
  <si>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Head (kJ/kg)</t>
  </si>
  <si>
    <t>Ht/Hsp</t>
  </si>
  <si>
    <t>Head conv. (kJ/kg)</t>
  </si>
  <si>
    <t>Hconv/Hsp</t>
  </si>
  <si>
    <t>Power conv. (KW)</t>
  </si>
  <si>
    <t>Wconv/Wsp</t>
  </si>
  <si>
    <t>Inlet Volume Flow</t>
  </si>
  <si>
    <t>Section 2 Inlet Temp.</t>
  </si>
  <si>
    <t>kPa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</si>
  <si>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</si>
  <si>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</si>
  <si>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</si>
  <si>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</si>
  <si>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</si>
  <si>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</si>
  <si>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</si>
  <si>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</si>
  <si>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</si>
  <si>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</si>
  <si>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</si>
  <si>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</si>
  <si>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</si>
  <si>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</si>
  <si>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</si>
  <si>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</si>
  <si>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</si>
  <si>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</si>
  <si>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</si>
  <si>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</si>
  <si>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</si>
  <si>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</si>
  <si>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</si>
  <si>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</si>
  <si>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</si>
  <si>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</si>
  <si>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</si>
  <si>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</si>
  <si>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</si>
  <si>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</si>
  <si>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</si>
  <si>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</si>
  <si>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</si>
  <si>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</si>
  <si>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</si>
  <si>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</si>
  <si>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</si>
  <si>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</si>
  <si>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</si>
  <si>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</si>
  <si>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</si>
  <si>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</si>
  <si>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</si>
  <si>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</si>
  <si>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</si>
  <si>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No</t>
  </si>
  <si>
    <t>Status</t>
  </si>
  <si>
    <t>Polytropic head</t>
  </si>
  <si>
    <t>T_disch</t>
  </si>
  <si>
    <t>Gas power (eff)</t>
  </si>
  <si>
    <t>Gas Power (Td)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</si>
  <si>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</si>
  <si>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</si>
  <si>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J/kg</t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</si>
  <si>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</si>
  <si>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</si>
  <si>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</si>
  <si>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</si>
  <si>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</si>
  <si>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</si>
  <si>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</si>
  <si>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</si>
  <si>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</si>
  <si>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</si>
  <si>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</si>
  <si>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</si>
  <si>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</si>
  <si>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</si>
  <si>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</si>
  <si>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</si>
  <si>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</si>
  <si>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</si>
  <si>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>OFF</t>
  </si>
  <si>
    <t>Mbal</t>
  </si>
  <si>
    <t>Mbuf</t>
  </si>
  <si>
    <t>Md1f</t>
  </si>
  <si>
    <t>Tbuf</t>
  </si>
  <si>
    <t>Gas Selection</t>
  </si>
  <si>
    <t xml:space="preserve">Gas </t>
  </si>
  <si>
    <t>Curve Shape</t>
  </si>
  <si>
    <t>Tend</t>
  </si>
  <si>
    <t>Pend</t>
  </si>
  <si>
    <t>Buffer Flow leakage</t>
  </si>
  <si>
    <t>Mdiv</t>
  </si>
  <si>
    <t>Tdiv</t>
  </si>
  <si>
    <t>Pdiv</t>
  </si>
  <si>
    <t>Python:</t>
  </si>
  <si>
    <t>Velocidade</t>
  </si>
  <si>
    <t>Vazão_vol.</t>
  </si>
  <si>
    <t>Vazão_mássica</t>
  </si>
  <si>
    <t>Head</t>
  </si>
  <si>
    <t>Pressão</t>
  </si>
  <si>
    <t>Eficiência</t>
  </si>
  <si>
    <t>Potência</t>
  </si>
  <si>
    <t>Temperatura</t>
  </si>
  <si>
    <t>Comprimento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</si>
  <si>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</si>
  <si>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</si>
  <si>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</si>
  <si>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</si>
  <si>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</si>
  <si>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</si>
  <si>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</si>
  <si>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</si>
  <si>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</si>
  <si>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</si>
  <si>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</si>
  <si>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</si>
  <si>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</si>
  <si>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</si>
  <si>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</si>
  <si>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</si>
  <si>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km*g0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</si>
  <si>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</si>
  <si>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</si>
  <si>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</si>
  <si>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</si>
  <si>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</si>
  <si>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</si>
  <si>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</si>
  <si>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</si>
  <si>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</si>
  <si>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</si>
  <si>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</si>
  <si>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</si>
  <si>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</si>
  <si>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</si>
  <si>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</si>
  <si>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</si>
  <si>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</si>
  <si>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</si>
  <si>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</si>
  <si>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</si>
  <si>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Casing area [m²]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</si>
  <si>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</si>
  <si>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Ambient Temperature [ °C ]</t>
  </si>
  <si>
    <t>Heat T. Constant [W/m²k]</t>
  </si>
  <si>
    <t>ERRO!</t>
  </si>
  <si>
    <t>CO</t>
  </si>
  <si>
    <t>Rugosidade [in] - Case 2</t>
  </si>
  <si>
    <t>Rugosidade [in] - Case 1</t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</si>
  <si>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</si>
  <si>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Fluidos</t>
  </si>
  <si>
    <t>CARBON DIOXIDE</t>
  </si>
  <si>
    <t>WATER</t>
  </si>
  <si>
    <t>METHANE</t>
  </si>
  <si>
    <t>ETHYLENE</t>
  </si>
  <si>
    <t>PROPYLENE</t>
  </si>
  <si>
    <t>HYDROGEN</t>
  </si>
  <si>
    <t>OXYGEN</t>
  </si>
  <si>
    <t>HEPTANE</t>
  </si>
  <si>
    <t>ISOHEPTANE</t>
  </si>
  <si>
    <t>OCTANE</t>
  </si>
  <si>
    <t>NONANE</t>
  </si>
  <si>
    <t>DECANE</t>
  </si>
  <si>
    <t>UNDECANE</t>
  </si>
  <si>
    <t>ISOBUTENE</t>
  </si>
  <si>
    <t>AIR</t>
  </si>
  <si>
    <t>1-BUTENE</t>
  </si>
  <si>
    <t>DYMETHYLCARBONATE</t>
  </si>
  <si>
    <t>AMONIA</t>
  </si>
  <si>
    <t>CIS-2-BUTENE</t>
  </si>
  <si>
    <t>R1234ZE</t>
  </si>
  <si>
    <t>CARBONYLSULFIDE</t>
  </si>
  <si>
    <t>R134A</t>
  </si>
  <si>
    <t>Ordenar por:</t>
  </si>
  <si>
    <t>Vazão Seção 1</t>
  </si>
  <si>
    <t>Calculado</t>
  </si>
  <si>
    <t>Mdiv (kg/h)</t>
  </si>
  <si>
    <t>Mdiv_sp</t>
  </si>
  <si>
    <t>Guarantee</t>
  </si>
  <si>
    <t xml:space="preserve"> - </t>
  </si>
  <si>
    <t>Balance line and div. wall leakage</t>
  </si>
  <si>
    <t>Variable Speed</t>
  </si>
  <si>
    <t>Overall</t>
  </si>
  <si>
    <t>ccp_path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</si>
</sst>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  <numFmt numFmtId="171" formatCode="0.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7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499984740745262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  <xf numFmtId="164" fontId="1" fillId="0" borderId="0"/>
  </cellStyleXfs>
  <cellXfs count="744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0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0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0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0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8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7" fillId="3" borderId="20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0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0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0" fillId="3" borderId="21" xfId="1" applyFont="1" applyFill="1" applyBorder="1" applyAlignment="1" applyProtection="1">
      <alignment horizontal="center" vertical="center"/>
    </xf>
    <xf numFmtId="9" fontId="22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67" fontId="8" fillId="8" borderId="25" xfId="1" applyNumberFormat="1" applyFont="1" applyFill="1" applyBorder="1" applyProtection="1"/>
    <xf numFmtId="165" fontId="8" fillId="8" borderId="27" xfId="2" applyNumberFormat="1" applyFont="1" applyFill="1" applyBorder="1" applyProtection="1"/>
    <xf numFmtId="169" fontId="8" fillId="8" borderId="34" xfId="2" applyNumberFormat="1" applyFont="1" applyFill="1" applyBorder="1" applyProtection="1"/>
    <xf numFmtId="0" fontId="25" fillId="11" borderId="24" xfId="0" applyFont="1" applyFill="1" applyBorder="1" applyAlignment="1">
      <alignment horizontal="center" vertical="center"/>
    </xf>
    <xf numFmtId="0" fontId="25" fillId="11" borderId="25" xfId="0" applyFont="1" applyFill="1" applyBorder="1" applyAlignment="1">
      <alignment horizontal="center" vertical="center"/>
    </xf>
    <xf numFmtId="0" fontId="25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/>
    <xf numFmtId="0" fontId="0" fillId="12" borderId="59" xfId="0" applyFill="1" applyBorder="1"/>
    <xf numFmtId="0" fontId="0" fillId="12" borderId="60" xfId="0" applyFill="1" applyBorder="1"/>
    <xf numFmtId="0" fontId="10" fillId="8" borderId="63" xfId="2" applyNumberFormat="1" applyFont="1" applyFill="1" applyBorder="1" applyAlignment="1" applyProtection="1">
      <alignment horizontal="center" vertical="center"/>
    </xf>
    <xf numFmtId="0" fontId="0" fillId="14" borderId="58" xfId="0" applyFill="1" applyBorder="1"/>
    <xf numFmtId="0" fontId="25" fillId="6" borderId="34" xfId="0" applyFont="1" applyFill="1" applyBorder="1" applyAlignment="1">
      <alignment horizontal="center" vertical="center"/>
    </xf>
    <xf numFmtId="11" fontId="8" fillId="8" borderId="25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7" xfId="0" applyFill="1" applyBorder="1"/>
    <xf numFmtId="0" fontId="0" fillId="0" borderId="25" xfId="0" applyBorder="1"/>
    <xf numFmtId="0" fontId="25" fillId="0" borderId="21" xfId="0" applyFont="1" applyBorder="1"/>
    <xf numFmtId="0" fontId="25" fillId="0" borderId="25" xfId="0" applyFont="1" applyBorder="1"/>
    <xf numFmtId="0" fontId="0" fillId="12" borderId="25" xfId="0" applyFill="1" applyBorder="1"/>
    <xf numFmtId="0" fontId="0" fillId="12" borderId="16" xfId="0" applyFill="1" applyBorder="1"/>
    <xf numFmtId="0" fontId="0" fillId="6" borderId="67" xfId="0" applyFill="1" applyBorder="1"/>
    <xf numFmtId="0" fontId="0" fillId="0" borderId="68" xfId="0" applyBorder="1"/>
    <xf numFmtId="0" fontId="0" fillId="12" borderId="69" xfId="0" applyFill="1" applyBorder="1"/>
    <xf numFmtId="0" fontId="0" fillId="0" borderId="69" xfId="0" applyBorder="1"/>
    <xf numFmtId="0" fontId="0" fillId="0" borderId="70" xfId="0" applyBorder="1"/>
    <xf numFmtId="0" fontId="0" fillId="13" borderId="16" xfId="0" applyFill="1" applyBorder="1"/>
    <xf numFmtId="0" fontId="0" fillId="13" borderId="32" xfId="0" applyFill="1" applyBorder="1"/>
    <xf numFmtId="0" fontId="23" fillId="0" borderId="23" xfId="0" applyFont="1" applyBorder="1" applyAlignment="1">
      <alignment horizontal="center" vertical="center"/>
    </xf>
    <xf numFmtId="11" fontId="23" fillId="0" borderId="27" xfId="0" applyNumberFormat="1" applyFont="1" applyBorder="1" applyAlignment="1">
      <alignment vertical="center"/>
    </xf>
    <xf numFmtId="10" fontId="2" fillId="0" borderId="27" xfId="1" applyNumberFormat="1" applyFont="1" applyFill="1" applyBorder="1" applyAlignment="1">
      <alignment horizontal="right"/>
    </xf>
    <xf numFmtId="10" fontId="2" fillId="0" borderId="32" xfId="1" applyNumberFormat="1" applyFont="1" applyFill="1" applyBorder="1" applyAlignment="1">
      <alignment horizontal="right"/>
    </xf>
    <xf numFmtId="10" fontId="2" fillId="0" borderId="51" xfId="1" applyNumberFormat="1" applyFont="1" applyBorder="1" applyAlignment="1">
      <alignment horizontal="right"/>
    </xf>
    <xf numFmtId="0" fontId="2" fillId="0" borderId="26" xfId="0" applyFont="1" applyFill="1" applyBorder="1" applyAlignment="1">
      <alignment horizontal="right"/>
    </xf>
    <xf numFmtId="167" fontId="2" fillId="0" borderId="66" xfId="1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right"/>
    </xf>
    <xf numFmtId="10" fontId="2" fillId="0" borderId="50" xfId="1" applyNumberFormat="1" applyFont="1" applyFill="1" applyBorder="1" applyAlignment="1">
      <alignment horizontal="right" vertical="center"/>
    </xf>
    <xf numFmtId="10" fontId="2" fillId="0" borderId="51" xfId="1" applyNumberFormat="1" applyFont="1" applyFill="1" applyBorder="1" applyAlignment="1">
      <alignment horizontal="right" vertical="center"/>
    </xf>
    <xf numFmtId="10" fontId="2" fillId="0" borderId="40" xfId="1" applyNumberFormat="1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0" fontId="28" fillId="17" borderId="70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32" xfId="1" applyNumberFormat="1" applyFont="1" applyFill="1" applyBorder="1" applyAlignment="1">
      <alignment horizontal="right"/>
    </xf>
    <xf numFmtId="10" fontId="0" fillId="0" borderId="51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66" xfId="1" applyNumberFormat="1" applyFont="1" applyFill="1" applyBorder="1" applyAlignment="1">
      <alignment horizontal="right" vertical="center"/>
    </xf>
    <xf numFmtId="0" fontId="0" fillId="0" borderId="32" xfId="0" applyFont="1" applyFill="1" applyBorder="1" applyAlignment="1">
      <alignment horizontal="right"/>
    </xf>
    <xf numFmtId="10" fontId="1" fillId="0" borderId="50" xfId="1" applyNumberFormat="1" applyFont="1" applyFill="1" applyBorder="1" applyAlignment="1">
      <alignment horizontal="right" vertical="center"/>
    </xf>
    <xf numFmtId="10" fontId="1" fillId="0" borderId="51" xfId="1" applyNumberFormat="1" applyFont="1" applyFill="1" applyBorder="1" applyAlignment="1">
      <alignment horizontal="right" vertical="center"/>
    </xf>
    <xf numFmtId="10" fontId="0" fillId="0" borderId="40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0" xfId="0" applyFont="1" applyFill="1" applyBorder="1" applyAlignment="1">
      <alignment horizontal="center" vertical="center"/>
    </xf>
    <xf numFmtId="10" fontId="1" fillId="0" borderId="25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4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1" xfId="1" applyNumberFormat="1" applyFont="1" applyFill="1" applyBorder="1" applyAlignment="1">
      <alignment horizontal="right" vertical="center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2" fillId="6" borderId="69" xfId="0" applyFont="1" applyFill="1" applyBorder="1" applyAlignment="1">
      <alignment horizontal="center" vertical="center"/>
    </xf>
    <xf numFmtId="168" fontId="0" fillId="0" borderId="24" xfId="0" applyNumberFormat="1" applyFont="1" applyFill="1" applyBorder="1" applyAlignment="1">
      <alignment horizontal="right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3" xfId="1" applyNumberFormat="1" applyFont="1" applyFill="1" applyBorder="1" applyAlignment="1">
      <alignment horizontal="right" vertical="center"/>
    </xf>
    <xf numFmtId="10" fontId="0" fillId="0" borderId="23" xfId="1" applyNumberFormat="1" applyFont="1" applyBorder="1" applyAlignment="1">
      <alignment horizontal="right"/>
    </xf>
    <xf numFmtId="0" fontId="0" fillId="0" borderId="22" xfId="0" applyFont="1" applyFill="1" applyBorder="1" applyAlignment="1">
      <alignment horizontal="right" vertical="center"/>
    </xf>
    <xf numFmtId="167" fontId="1" fillId="0" borderId="54" xfId="1" applyNumberFormat="1" applyFont="1" applyFill="1" applyBorder="1" applyAlignment="1">
      <alignment horizontal="right" vertical="center"/>
    </xf>
    <xf numFmtId="0" fontId="0" fillId="0" borderId="53" xfId="0" applyFont="1" applyFill="1" applyBorder="1" applyAlignment="1">
      <alignment horizontal="right" vertical="center"/>
    </xf>
    <xf numFmtId="10" fontId="1" fillId="0" borderId="48" xfId="1" applyNumberFormat="1" applyFont="1" applyFill="1" applyBorder="1" applyAlignment="1">
      <alignment horizontal="right" vertical="center"/>
    </xf>
    <xf numFmtId="167" fontId="1" fillId="0" borderId="71" xfId="1" applyNumberFormat="1" applyFont="1" applyFill="1" applyBorder="1" applyAlignment="1">
      <alignment horizontal="right" vertical="center"/>
    </xf>
    <xf numFmtId="0" fontId="0" fillId="0" borderId="23" xfId="0" applyFont="1" applyFill="1" applyBorder="1" applyAlignment="1">
      <alignment horizontal="right" vertical="center"/>
    </xf>
    <xf numFmtId="2" fontId="0" fillId="0" borderId="53" xfId="1" applyNumberFormat="1" applyFont="1" applyBorder="1" applyAlignment="1">
      <alignment horizontal="right"/>
    </xf>
    <xf numFmtId="2" fontId="0" fillId="0" borderId="22" xfId="0" applyNumberFormat="1" applyFont="1" applyFill="1" applyBorder="1" applyAlignment="1">
      <alignment horizontal="right"/>
    </xf>
    <xf numFmtId="0" fontId="27" fillId="13" borderId="27" xfId="0" applyFont="1" applyFill="1" applyBorder="1" applyAlignment="1">
      <alignment horizontal="center" vertical="center" wrapText="1"/>
    </xf>
    <xf numFmtId="0" fontId="26" fillId="13" borderId="32" xfId="0" applyFont="1" applyFill="1" applyBorder="1" applyAlignment="1">
      <alignment horizontal="center" vertical="center" wrapText="1"/>
    </xf>
    <xf numFmtId="0" fontId="25" fillId="13" borderId="26" xfId="0" applyFont="1" applyFill="1" applyBorder="1" applyAlignment="1">
      <alignment horizontal="center" vertical="center" wrapText="1"/>
    </xf>
    <xf numFmtId="0" fontId="27" fillId="13" borderId="55" xfId="0" applyFont="1" applyFill="1" applyBorder="1" applyAlignment="1">
      <alignment horizontal="center" vertical="center" wrapText="1"/>
    </xf>
    <xf numFmtId="0" fontId="25" fillId="13" borderId="32" xfId="0" applyFont="1" applyFill="1" applyBorder="1" applyAlignment="1">
      <alignment horizontal="center" vertical="center" wrapText="1"/>
    </xf>
    <xf numFmtId="0" fontId="27" fillId="13" borderId="46" xfId="0" applyFont="1" applyFill="1" applyBorder="1" applyAlignment="1">
      <alignment horizontal="center" vertical="center" wrapText="1"/>
    </xf>
    <xf numFmtId="0" fontId="25" fillId="13" borderId="40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wrapText="1"/>
    </xf>
    <xf numFmtId="0" fontId="27" fillId="13" borderId="32" xfId="0" applyFont="1" applyFill="1" applyBorder="1" applyAlignment="1">
      <alignment horizontal="center" vertical="center" wrapText="1"/>
    </xf>
    <xf numFmtId="0" fontId="0" fillId="12" borderId="68" xfId="0" applyFill="1" applyBorder="1"/>
    <xf numFmtId="0" fontId="0" fillId="12" borderId="38" xfId="0" applyFill="1" applyBorder="1"/>
    <xf numFmtId="0" fontId="0" fillId="5" borderId="29" xfId="0" applyFill="1" applyBorder="1"/>
    <xf numFmtId="0" fontId="0" fillId="0" borderId="21" xfId="0" applyBorder="1"/>
    <xf numFmtId="0" fontId="0" fillId="5" borderId="21" xfId="0" applyFill="1" applyBorder="1"/>
    <xf numFmtId="0" fontId="0" fillId="12" borderId="30" xfId="0" applyFill="1" applyBorder="1"/>
    <xf numFmtId="0" fontId="2" fillId="6" borderId="23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0" fillId="12" borderId="45" xfId="0" applyFill="1" applyBorder="1"/>
    <xf numFmtId="0" fontId="0" fillId="12" borderId="73" xfId="0" applyFill="1" applyBorder="1"/>
    <xf numFmtId="169" fontId="10" fillId="19" borderId="26" xfId="2" applyNumberFormat="1" applyFont="1" applyFill="1" applyBorder="1" applyAlignment="1" applyProtection="1">
      <alignment horizontal="center"/>
    </xf>
    <xf numFmtId="169" fontId="10" fillId="19" borderId="27" xfId="2" applyNumberFormat="1" applyFont="1" applyFill="1" applyBorder="1" applyAlignment="1" applyProtection="1">
      <alignment horizontal="center"/>
    </xf>
    <xf numFmtId="169" fontId="34" fillId="19" borderId="74" xfId="2" applyNumberFormat="1" applyFont="1" applyFill="1" applyBorder="1" applyAlignment="1" applyProtection="1">
      <alignment horizontal="center"/>
    </xf>
    <xf numFmtId="169" fontId="34" fillId="19" borderId="34" xfId="2" applyNumberFormat="1" applyFont="1" applyFill="1" applyBorder="1" applyAlignment="1" applyProtection="1">
      <alignment horizontal="center"/>
    </xf>
    <xf numFmtId="2" fontId="8" fillId="0" borderId="24" xfId="2" applyNumberFormat="1" applyFont="1" applyFill="1" applyBorder="1" applyProtection="1"/>
    <xf numFmtId="167" fontId="8" fillId="0" borderId="25" xfId="1" applyNumberFormat="1" applyFont="1" applyFill="1" applyBorder="1" applyProtection="1"/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0" fontId="0" fillId="12" borderId="44" xfId="0" applyFill="1" applyBorder="1"/>
    <xf numFmtId="0" fontId="25" fillId="12" borderId="73" xfId="0" applyFont="1" applyFill="1" applyBorder="1"/>
    <xf numFmtId="0" fontId="2" fillId="6" borderId="72" xfId="1" applyNumberFormat="1" applyFont="1" applyFill="1" applyBorder="1" applyAlignment="1">
      <alignment horizontal="center" vertical="center"/>
    </xf>
    <xf numFmtId="164" fontId="21" fillId="3" borderId="8" xfId="2" applyNumberFormat="1" applyFont="1" applyFill="1" applyBorder="1" applyAlignment="1" applyProtection="1">
      <alignment horizontal="left"/>
    </xf>
    <xf numFmtId="164" fontId="21" fillId="3" borderId="9" xfId="2" applyNumberFormat="1" applyFont="1" applyFill="1" applyBorder="1" applyAlignment="1" applyProtection="1">
      <alignment horizontal="left"/>
    </xf>
    <xf numFmtId="164" fontId="21" fillId="3" borderId="10" xfId="2" applyNumberFormat="1" applyFont="1" applyFill="1" applyBorder="1" applyAlignment="1" applyProtection="1">
      <alignment horizontal="left"/>
    </xf>
    <xf numFmtId="0" fontId="21" fillId="3" borderId="5" xfId="2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Alignment="1" applyProtection="1">
      <alignment horizontal="left"/>
    </xf>
    <xf numFmtId="0" fontId="21" fillId="3" borderId="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alignment horizontal="left"/>
    </xf>
    <xf numFmtId="0" fontId="21" fillId="3" borderId="15" xfId="2" applyNumberFormat="1" applyFont="1" applyFill="1" applyBorder="1" applyAlignment="1" applyProtection="1">
      <alignment horizontal="left"/>
    </xf>
    <xf numFmtId="0" fontId="21" fillId="3" borderId="1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protection locked="0"/>
    </xf>
    <xf numFmtId="0" fontId="21" fillId="3" borderId="15" xfId="2" applyNumberFormat="1" applyFont="1" applyFill="1" applyBorder="1" applyAlignment="1" applyProtection="1">
      <protection locked="0"/>
    </xf>
    <xf numFmtId="0" fontId="21" fillId="3" borderId="16" xfId="2" applyNumberFormat="1" applyFont="1" applyFill="1" applyBorder="1" applyAlignment="1" applyProtection="1">
      <protection locked="0"/>
    </xf>
    <xf numFmtId="0" fontId="21" fillId="3" borderId="8" xfId="2" applyNumberFormat="1" applyFont="1" applyFill="1" applyBorder="1" applyAlignment="1" applyProtection="1">
      <alignment horizontal="left"/>
    </xf>
    <xf numFmtId="0" fontId="21" fillId="3" borderId="9" xfId="2" applyNumberFormat="1" applyFont="1" applyFill="1" applyBorder="1" applyAlignment="1" applyProtection="1">
      <alignment horizontal="left"/>
    </xf>
    <xf numFmtId="0" fontId="21" fillId="3" borderId="10" xfId="2" applyNumberFormat="1" applyFont="1" applyFill="1" applyBorder="1" applyAlignment="1" applyProtection="1">
      <alignment horizontal="left"/>
    </xf>
    <xf numFmtId="165" fontId="21" fillId="3" borderId="9" xfId="2" applyNumberFormat="1" applyFont="1" applyFill="1" applyBorder="1" applyAlignment="1" applyProtection="1">
      <alignment horizontal="left"/>
    </xf>
    <xf numFmtId="165" fontId="21" fillId="3" borderId="10" xfId="2" applyNumberFormat="1" applyFont="1" applyFill="1" applyBorder="1" applyAlignment="1" applyProtection="1">
      <alignment horizontal="left"/>
    </xf>
    <xf numFmtId="164" fontId="21" fillId="3" borderId="1" xfId="2" applyNumberFormat="1" applyFont="1" applyFill="1" applyBorder="1" applyAlignment="1" applyProtection="1">
      <alignment horizontal="left"/>
    </xf>
    <xf numFmtId="164" fontId="21" fillId="3" borderId="2" xfId="2" applyNumberFormat="1" applyFont="1" applyFill="1" applyBorder="1" applyAlignment="1" applyProtection="1">
      <alignment horizontal="left"/>
    </xf>
    <xf numFmtId="164" fontId="21" fillId="3" borderId="3" xfId="2" applyNumberFormat="1" applyFont="1" applyFill="1" applyBorder="1" applyAlignment="1" applyProtection="1">
      <alignment horizontal="left"/>
    </xf>
    <xf numFmtId="164" fontId="21" fillId="3" borderId="14" xfId="2" applyNumberFormat="1" applyFont="1" applyFill="1" applyBorder="1" applyAlignment="1" applyProtection="1">
      <alignment horizontal="left"/>
    </xf>
    <xf numFmtId="164" fontId="21" fillId="3" borderId="15" xfId="2" applyNumberFormat="1" applyFont="1" applyFill="1" applyBorder="1" applyAlignment="1" applyProtection="1">
      <alignment horizontal="left"/>
    </xf>
    <xf numFmtId="164" fontId="21" fillId="3" borderId="16" xfId="2" applyNumberFormat="1" applyFont="1" applyFill="1" applyBorder="1" applyAlignment="1" applyProtection="1">
      <alignment horizontal="left"/>
    </xf>
    <xf numFmtId="0" fontId="35" fillId="3" borderId="19" xfId="0" applyNumberFormat="1" applyFont="1" applyFill="1" applyBorder="1" applyAlignment="1" applyProtection="1">
      <alignment horizontal="left"/>
      <protection locked="0"/>
    </xf>
    <xf numFmtId="0" fontId="21" fillId="3" borderId="7" xfId="0" applyNumberFormat="1" applyFont="1" applyFill="1" applyBorder="1" applyAlignment="1" applyProtection="1">
      <alignment horizontal="left"/>
    </xf>
    <xf numFmtId="0" fontId="21" fillId="3" borderId="6" xfId="0" applyNumberFormat="1" applyFont="1" applyFill="1" applyBorder="1" applyAlignment="1" applyProtection="1">
      <alignment horizontal="left"/>
    </xf>
    <xf numFmtId="0" fontId="21" fillId="3" borderId="0" xfId="0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Protection="1"/>
    <xf numFmtId="0" fontId="21" fillId="4" borderId="18" xfId="0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0" fontId="0" fillId="0" borderId="0" xfId="0" applyNumberFormat="1"/>
    <xf numFmtId="169" fontId="8" fillId="8" borderId="41" xfId="2" applyNumberFormat="1" applyFont="1" applyFill="1" applyBorder="1" applyProtection="1"/>
    <xf numFmtId="167" fontId="8" fillId="8" borderId="76" xfId="1" applyNumberFormat="1" applyFont="1" applyFill="1" applyBorder="1" applyProtection="1"/>
    <xf numFmtId="165" fontId="8" fillId="8" borderId="46" xfId="2" applyNumberFormat="1" applyFont="1" applyFill="1" applyBorder="1" applyProtection="1"/>
    <xf numFmtId="165" fontId="8" fillId="16" borderId="78" xfId="2" applyNumberFormat="1" applyFont="1" applyFill="1" applyBorder="1" applyProtection="1"/>
    <xf numFmtId="169" fontId="8" fillId="8" borderId="43" xfId="2" applyNumberFormat="1" applyFont="1" applyFill="1" applyBorder="1" applyProtection="1"/>
    <xf numFmtId="169" fontId="8" fillId="8" borderId="79" xfId="2" applyNumberFormat="1" applyFont="1" applyFill="1" applyBorder="1" applyProtection="1"/>
    <xf numFmtId="171" fontId="10" fillId="8" borderId="23" xfId="2" applyNumberFormat="1" applyFont="1" applyFill="1" applyBorder="1" applyProtection="1"/>
    <xf numFmtId="171" fontId="10" fillId="8" borderId="25" xfId="2" applyNumberFormat="1" applyFont="1" applyFill="1" applyBorder="1" applyProtection="1"/>
    <xf numFmtId="171" fontId="10" fillId="8" borderId="27" xfId="2" applyNumberFormat="1" applyFont="1" applyFill="1" applyBorder="1" applyProtection="1"/>
    <xf numFmtId="171" fontId="10" fillId="8" borderId="48" xfId="2" applyNumberFormat="1" applyFont="1" applyFill="1" applyBorder="1" applyProtection="1"/>
    <xf numFmtId="171" fontId="10" fillId="8" borderId="76" xfId="2" applyNumberFormat="1" applyFont="1" applyFill="1" applyBorder="1" applyProtection="1"/>
    <xf numFmtId="171" fontId="10" fillId="8" borderId="46" xfId="2" applyNumberFormat="1" applyFont="1" applyFill="1" applyBorder="1" applyProtection="1"/>
    <xf numFmtId="171" fontId="8" fillId="8" borderId="46" xfId="2" applyNumberFormat="1" applyFont="1" applyFill="1" applyBorder="1" applyProtection="1"/>
    <xf numFmtId="171" fontId="8" fillId="8" borderId="41" xfId="2" applyNumberFormat="1" applyFont="1" applyFill="1" applyBorder="1" applyProtection="1"/>
    <xf numFmtId="171" fontId="8" fillId="8" borderId="34" xfId="2" applyNumberFormat="1" applyFont="1" applyFill="1" applyBorder="1" applyProtection="1"/>
    <xf numFmtId="11" fontId="8" fillId="8" borderId="76" xfId="2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/>
    </xf>
    <xf numFmtId="0" fontId="2" fillId="6" borderId="28" xfId="0" applyFont="1" applyFill="1" applyBorder="1"/>
    <xf numFmtId="0" fontId="2" fillId="6" borderId="23" xfId="0" applyFont="1" applyFill="1" applyBorder="1"/>
    <xf numFmtId="0" fontId="25" fillId="6" borderId="29" xfId="0" applyFont="1" applyFill="1" applyBorder="1"/>
    <xf numFmtId="0" fontId="25" fillId="6" borderId="27" xfId="0" applyFont="1" applyFill="1" applyBorder="1"/>
    <xf numFmtId="0" fontId="0" fillId="0" borderId="75" xfId="0" applyBorder="1"/>
    <xf numFmtId="1" fontId="0" fillId="0" borderId="75" xfId="0" applyNumberFormat="1" applyBorder="1"/>
    <xf numFmtId="0" fontId="0" fillId="0" borderId="8" xfId="0" applyBorder="1"/>
    <xf numFmtId="0" fontId="2" fillId="5" borderId="8" xfId="0" applyFont="1" applyFill="1" applyBorder="1"/>
    <xf numFmtId="0" fontId="7" fillId="3" borderId="1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0" fontId="2" fillId="2" borderId="81" xfId="0" applyFont="1" applyFill="1" applyBorder="1" applyAlignment="1">
      <alignment horizontal="center" vertical="center"/>
    </xf>
    <xf numFmtId="9" fontId="22" fillId="3" borderId="34" xfId="1" applyFont="1" applyFill="1" applyBorder="1" applyAlignment="1" applyProtection="1">
      <alignment horizontal="center" vertical="center"/>
    </xf>
    <xf numFmtId="0" fontId="0" fillId="2" borderId="21" xfId="0" applyFill="1" applyBorder="1"/>
    <xf numFmtId="0" fontId="0" fillId="2" borderId="29" xfId="0" applyFill="1" applyBorder="1"/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/>
    <xf numFmtId="0" fontId="0" fillId="2" borderId="25" xfId="0" applyFill="1" applyBorder="1"/>
    <xf numFmtId="0" fontId="0" fillId="2" borderId="27" xfId="0" applyFill="1" applyBorder="1"/>
    <xf numFmtId="0" fontId="0" fillId="12" borderId="59" xfId="0" applyFill="1" applyBorder="1" applyAlignment="1">
      <alignment vertical="center" wrapText="1"/>
    </xf>
    <xf numFmtId="164" fontId="8" fillId="3" borderId="9" xfId="2" applyFont="1" applyFill="1" applyBorder="1"/>
    <xf numFmtId="164" fontId="8" fillId="3" borderId="5" xfId="3" applyNumberFormat="1" applyFont="1" applyFill="1" applyBorder="1" applyProtection="1"/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0" fillId="2" borderId="0" xfId="0" applyFill="1"/>
    <xf numFmtId="0" fontId="0" fillId="2" borderId="0" xfId="0" quotePrefix="1" applyFill="1" applyBorder="1"/>
    <xf numFmtId="0" fontId="0" fillId="2" borderId="0" xfId="0" applyFill="1" applyBorder="1"/>
    <xf numFmtId="164" fontId="22" fillId="23" borderId="0" xfId="3" applyNumberFormat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6" borderId="15" xfId="0" applyFill="1" applyBorder="1" applyAlignment="1" applyProtection="1">
      <alignment horizontal="center" wrapText="1"/>
      <protection locked="0"/>
    </xf>
    <xf numFmtId="0" fontId="0" fillId="15" borderId="14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0" fillId="0" borderId="75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5" fillId="0" borderId="21" xfId="0" applyFont="1" applyBorder="1" applyAlignment="1" applyProtection="1">
      <alignment horizontal="center"/>
      <protection locked="0"/>
    </xf>
    <xf numFmtId="0" fontId="23" fillId="0" borderId="25" xfId="0" applyFont="1" applyBorder="1" applyAlignment="1">
      <alignment horizontal="center" vertical="center"/>
    </xf>
    <xf numFmtId="11" fontId="23" fillId="0" borderId="25" xfId="0" applyNumberFormat="1" applyFont="1" applyBorder="1" applyAlignment="1">
      <alignment vertical="center"/>
    </xf>
    <xf numFmtId="0" fontId="23" fillId="0" borderId="25" xfId="0" applyFont="1" applyBorder="1" applyAlignment="1">
      <alignment horizontal="center" vertical="center" wrapText="1"/>
    </xf>
    <xf numFmtId="0" fontId="0" fillId="0" borderId="0" xfId="0" applyBorder="1"/>
    <xf numFmtId="0" fontId="27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164" fontId="8" fillId="3" borderId="0" xfId="2" applyNumberFormat="1" applyFont="1" applyFill="1" applyBorder="1" applyAlignment="1" applyProtection="1"/>
    <xf numFmtId="164" fontId="21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horizontal="left" vertical="center"/>
    </xf>
    <xf numFmtId="0" fontId="0" fillId="2" borderId="0" xfId="0" applyFill="1" applyBorder="1" applyAlignment="1"/>
    <xf numFmtId="0" fontId="0" fillId="12" borderId="38" xfId="0" applyFill="1" applyBorder="1" applyAlignment="1">
      <alignment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 wrapText="1"/>
      <protection locked="0"/>
    </xf>
    <xf numFmtId="0" fontId="0" fillId="0" borderId="8" xfId="0" applyBorder="1" applyAlignment="1" applyProtection="1">
      <alignment horizontal="center"/>
      <protection locked="0"/>
    </xf>
    <xf numFmtId="164" fontId="7" fillId="23" borderId="13" xfId="3" applyNumberFormat="1" applyFont="1" applyFill="1" applyBorder="1" applyAlignment="1" applyProtection="1">
      <alignment vertical="center"/>
    </xf>
    <xf numFmtId="164" fontId="7" fillId="23" borderId="13" xfId="3" applyNumberFormat="1" applyFont="1" applyFill="1" applyBorder="1" applyAlignment="1" applyProtection="1">
      <alignment horizontal="left" vertical="center"/>
    </xf>
    <xf numFmtId="164" fontId="7" fillId="23" borderId="75" xfId="3" applyNumberFormat="1" applyFont="1" applyFill="1" applyBorder="1" applyAlignment="1" applyProtection="1">
      <alignment horizontal="left" vertical="center"/>
    </xf>
    <xf numFmtId="0" fontId="0" fillId="11" borderId="14" xfId="0" applyFill="1" applyBorder="1" applyAlignment="1" applyProtection="1">
      <alignment horizontal="center" wrapText="1"/>
      <protection locked="0"/>
    </xf>
    <xf numFmtId="0" fontId="42" fillId="0" borderId="13" xfId="0" applyFont="1" applyBorder="1" applyProtection="1">
      <protection locked="0"/>
    </xf>
    <xf numFmtId="164" fontId="7" fillId="3" borderId="0" xfId="3" applyNumberFormat="1" applyFont="1" applyFill="1" applyBorder="1" applyAlignment="1" applyProtection="1">
      <alignment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0" fillId="12" borderId="39" xfId="0" applyFill="1" applyBorder="1" applyAlignment="1">
      <alignment vertical="center" wrapText="1"/>
    </xf>
    <xf numFmtId="0" fontId="0" fillId="12" borderId="47" xfId="0" applyFill="1" applyBorder="1"/>
    <xf numFmtId="0" fontId="0" fillId="12" borderId="58" xfId="0" applyFill="1" applyBorder="1" applyAlignment="1">
      <alignment vertical="center" wrapText="1"/>
    </xf>
    <xf numFmtId="0" fontId="0" fillId="12" borderId="56" xfId="0" applyFill="1" applyBorder="1" applyAlignment="1">
      <alignment vertical="center" wrapText="1"/>
    </xf>
    <xf numFmtId="0" fontId="2" fillId="2" borderId="21" xfId="0" applyFont="1" applyFill="1" applyBorder="1" applyAlignment="1">
      <alignment horizontal="center" vertical="center"/>
    </xf>
    <xf numFmtId="0" fontId="0" fillId="5" borderId="24" xfId="0" applyFill="1" applyBorder="1"/>
    <xf numFmtId="0" fontId="2" fillId="2" borderId="29" xfId="0" applyFont="1" applyFill="1" applyBorder="1" applyAlignment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 applyAlignment="1">
      <alignment vertical="center" wrapText="1"/>
    </xf>
    <xf numFmtId="0" fontId="0" fillId="0" borderId="0" xfId="0" applyAlignment="1">
      <alignment horizontal="right"/>
    </xf>
    <xf numFmtId="0" fontId="2" fillId="6" borderId="22" xfId="0" applyFont="1" applyFill="1" applyBorder="1" applyAlignment="1">
      <alignment horizontal="center" vertical="center"/>
    </xf>
    <xf numFmtId="0" fontId="0" fillId="0" borderId="29" xfId="0" applyFill="1" applyBorder="1"/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0" fontId="2" fillId="6" borderId="22" xfId="0" applyFont="1" applyFill="1" applyBorder="1" applyAlignment="1">
      <alignment horizontal="center" vertical="center"/>
    </xf>
    <xf numFmtId="2" fontId="0" fillId="0" borderId="0" xfId="0" applyNumberFormat="1"/>
    <xf numFmtId="167" fontId="0" fillId="0" borderId="14" xfId="1" applyNumberFormat="1" applyFont="1" applyFill="1" applyBorder="1" applyAlignment="1">
      <alignment horizontal="right"/>
    </xf>
    <xf numFmtId="167" fontId="0" fillId="0" borderId="40" xfId="1" applyNumberFormat="1" applyFont="1" applyFill="1" applyBorder="1" applyAlignment="1">
      <alignment horizontal="right"/>
    </xf>
    <xf numFmtId="167" fontId="2" fillId="0" borderId="40" xfId="1" applyNumberFormat="1" applyFont="1" applyFill="1" applyBorder="1" applyAlignment="1">
      <alignment horizontal="right"/>
    </xf>
    <xf numFmtId="0" fontId="2" fillId="18" borderId="68" xfId="0" applyFont="1" applyFill="1" applyBorder="1" applyAlignment="1">
      <alignment horizontal="center" vertical="center" wrapText="1"/>
    </xf>
    <xf numFmtId="0" fontId="27" fillId="13" borderId="60" xfId="0" applyFont="1" applyFill="1" applyBorder="1" applyAlignment="1">
      <alignment horizontal="center" vertical="center" wrapText="1"/>
    </xf>
    <xf numFmtId="0" fontId="0" fillId="12" borderId="56" xfId="0" applyFill="1" applyBorder="1"/>
    <xf numFmtId="0" fontId="0" fillId="12" borderId="61" xfId="0" applyFill="1" applyBorder="1"/>
    <xf numFmtId="0" fontId="23" fillId="12" borderId="61" xfId="0" applyFont="1" applyFill="1" applyBorder="1" applyAlignment="1">
      <alignment vertical="center" wrapText="1"/>
    </xf>
    <xf numFmtId="0" fontId="23" fillId="12" borderId="57" xfId="0" applyFont="1" applyFill="1" applyBorder="1" applyAlignment="1">
      <alignment vertical="center" wrapText="1"/>
    </xf>
    <xf numFmtId="0" fontId="2" fillId="12" borderId="68" xfId="0" applyFont="1" applyFill="1" applyBorder="1" applyAlignment="1">
      <alignment horizontal="center" vertical="center" wrapText="1"/>
    </xf>
    <xf numFmtId="0" fontId="27" fillId="12" borderId="60" xfId="0" applyFont="1" applyFill="1" applyBorder="1" applyAlignment="1">
      <alignment horizontal="center" vertical="center" wrapText="1"/>
    </xf>
    <xf numFmtId="0" fontId="0" fillId="12" borderId="83" xfId="0" applyFill="1" applyBorder="1"/>
    <xf numFmtId="0" fontId="0" fillId="12" borderId="81" xfId="0" applyFill="1" applyBorder="1"/>
    <xf numFmtId="0" fontId="2" fillId="0" borderId="81" xfId="0" applyFont="1" applyBorder="1"/>
    <xf numFmtId="166" fontId="21" fillId="4" borderId="16" xfId="4" applyNumberFormat="1" applyFont="1" applyFill="1" applyBorder="1" applyAlignment="1" applyProtection="1"/>
    <xf numFmtId="10" fontId="7" fillId="3" borderId="16" xfId="4" applyNumberFormat="1" applyFont="1" applyFill="1" applyBorder="1" applyAlignment="1" applyProtection="1"/>
    <xf numFmtId="0" fontId="7" fillId="3" borderId="16" xfId="3" applyNumberFormat="1" applyFont="1" applyFill="1" applyBorder="1" applyAlignment="1" applyProtection="1"/>
    <xf numFmtId="164" fontId="7" fillId="3" borderId="16" xfId="3" applyNumberFormat="1" applyFont="1" applyFill="1" applyBorder="1" applyAlignment="1" applyProtection="1"/>
    <xf numFmtId="164" fontId="11" fillId="3" borderId="15" xfId="3" applyNumberFormat="1" applyFont="1" applyFill="1" applyBorder="1" applyAlignment="1" applyProtection="1">
      <alignment vertical="center"/>
    </xf>
    <xf numFmtId="164" fontId="11" fillId="3" borderId="16" xfId="3" applyNumberFormat="1" applyFont="1" applyFill="1" applyBorder="1" applyAlignment="1" applyProtection="1">
      <alignment vertical="center"/>
    </xf>
    <xf numFmtId="0" fontId="43" fillId="2" borderId="21" xfId="5" applyNumberFormat="1" applyFont="1" applyFill="1" applyBorder="1"/>
    <xf numFmtId="0" fontId="23" fillId="5" borderId="21" xfId="0" applyFont="1" applyFill="1" applyBorder="1"/>
    <xf numFmtId="0" fontId="23" fillId="5" borderId="24" xfId="0" applyFont="1" applyFill="1" applyBorder="1"/>
    <xf numFmtId="0" fontId="23" fillId="5" borderId="26" xfId="0" applyFont="1" applyFill="1" applyBorder="1"/>
    <xf numFmtId="0" fontId="23" fillId="2" borderId="21" xfId="0" applyFont="1" applyFill="1" applyBorder="1"/>
    <xf numFmtId="0" fontId="23" fillId="0" borderId="21" xfId="0" applyFont="1" applyBorder="1"/>
    <xf numFmtId="0" fontId="24" fillId="2" borderId="21" xfId="0" applyFont="1" applyFill="1" applyBorder="1" applyAlignment="1">
      <alignment horizontal="center" vertical="center"/>
    </xf>
    <xf numFmtId="0" fontId="23" fillId="2" borderId="25" xfId="0" applyFont="1" applyFill="1" applyBorder="1"/>
    <xf numFmtId="0" fontId="23" fillId="5" borderId="29" xfId="0" applyFont="1" applyFill="1" applyBorder="1"/>
    <xf numFmtId="0" fontId="23" fillId="0" borderId="29" xfId="0" applyFont="1" applyBorder="1"/>
    <xf numFmtId="0" fontId="23" fillId="2" borderId="29" xfId="0" applyFont="1" applyFill="1" applyBorder="1"/>
    <xf numFmtId="0" fontId="24" fillId="2" borderId="29" xfId="0" applyFont="1" applyFill="1" applyBorder="1" applyAlignment="1">
      <alignment horizontal="center" vertical="center"/>
    </xf>
    <xf numFmtId="0" fontId="23" fillId="2" borderId="27" xfId="0" applyFont="1" applyFill="1" applyBorder="1"/>
    <xf numFmtId="0" fontId="23" fillId="5" borderId="74" xfId="0" applyFont="1" applyFill="1" applyBorder="1"/>
    <xf numFmtId="0" fontId="43" fillId="2" borderId="21" xfId="5" applyNumberFormat="1" applyFont="1" applyFill="1" applyBorder="1" applyProtection="1">
      <protection locked="0"/>
    </xf>
    <xf numFmtId="0" fontId="43" fillId="2" borderId="76" xfId="5" applyNumberFormat="1" applyFont="1" applyFill="1" applyBorder="1" applyProtection="1">
      <protection locked="0"/>
    </xf>
    <xf numFmtId="0" fontId="0" fillId="0" borderId="0" xfId="0" applyAlignment="1" applyProtection="1">
      <alignment horizontal="center" wrapText="1"/>
      <protection locked="0"/>
    </xf>
    <xf numFmtId="164" fontId="8" fillId="3" borderId="8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left"/>
    </xf>
    <xf numFmtId="2" fontId="8" fillId="0" borderId="21" xfId="2" applyNumberFormat="1" applyFont="1" applyFill="1" applyBorder="1" applyAlignment="1" applyProtection="1">
      <alignment horizontal="center"/>
    </xf>
    <xf numFmtId="2" fontId="8" fillId="0" borderId="29" xfId="2" applyNumberFormat="1" applyFont="1" applyFill="1" applyBorder="1" applyAlignment="1" applyProtection="1">
      <alignment horizontal="center"/>
    </xf>
    <xf numFmtId="164" fontId="21" fillId="3" borderId="38" xfId="2" applyNumberFormat="1" applyFont="1" applyFill="1" applyBorder="1" applyAlignment="1" applyProtection="1">
      <alignment horizontal="center" vertical="center" wrapText="1"/>
    </xf>
    <xf numFmtId="0" fontId="21" fillId="4" borderId="17" xfId="0" applyNumberFormat="1" applyFont="1" applyFill="1" applyBorder="1" applyAlignment="1" applyProtection="1">
      <alignment horizontal="center"/>
      <protection locked="0"/>
    </xf>
    <xf numFmtId="0" fontId="21" fillId="4" borderId="77" xfId="0" applyNumberFormat="1" applyFont="1" applyFill="1" applyBorder="1" applyAlignment="1" applyProtection="1">
      <alignment horizontal="center"/>
      <protection locked="0"/>
    </xf>
    <xf numFmtId="164" fontId="10" fillId="9" borderId="22" xfId="2" applyNumberFormat="1" applyFont="1" applyFill="1" applyBorder="1" applyAlignment="1" applyProtection="1">
      <alignment horizontal="center"/>
    </xf>
    <xf numFmtId="164" fontId="10" fillId="9" borderId="28" xfId="2" applyNumberFormat="1" applyFont="1" applyFill="1" applyBorder="1" applyAlignment="1" applyProtection="1">
      <alignment horizontal="center"/>
    </xf>
    <xf numFmtId="164" fontId="10" fillId="9" borderId="23" xfId="2" applyNumberFormat="1" applyFont="1" applyFill="1" applyBorder="1" applyAlignment="1" applyProtection="1">
      <alignment horizontal="center"/>
    </xf>
    <xf numFmtId="164" fontId="10" fillId="19" borderId="29" xfId="2" applyNumberFormat="1" applyFont="1" applyFill="1" applyBorder="1" applyAlignment="1" applyProtection="1">
      <alignment horizontal="center"/>
    </xf>
    <xf numFmtId="164" fontId="34" fillId="19" borderId="75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164" fontId="8" fillId="7" borderId="47" xfId="2" applyNumberFormat="1" applyFont="1" applyFill="1" applyBorder="1" applyAlignment="1" applyProtection="1">
      <alignment horizontal="center"/>
    </xf>
    <xf numFmtId="164" fontId="8" fillId="7" borderId="48" xfId="2" applyNumberFormat="1" applyFont="1" applyFill="1" applyBorder="1" applyAlignment="1" applyProtection="1">
      <alignment horizontal="center"/>
    </xf>
    <xf numFmtId="164" fontId="8" fillId="7" borderId="30" xfId="2" applyNumberFormat="1" applyFont="1" applyFill="1" applyBorder="1" applyAlignment="1" applyProtection="1">
      <alignment horizontal="center"/>
    </xf>
    <xf numFmtId="164" fontId="8" fillId="7" borderId="76" xfId="2" applyNumberFormat="1" applyFont="1" applyFill="1" applyBorder="1" applyAlignment="1" applyProtection="1">
      <alignment horizontal="center"/>
    </xf>
    <xf numFmtId="164" fontId="8" fillId="7" borderId="42" xfId="2" applyNumberFormat="1" applyFont="1" applyFill="1" applyBorder="1" applyAlignment="1" applyProtection="1">
      <alignment horizontal="center"/>
    </xf>
    <xf numFmtId="164" fontId="8" fillId="7" borderId="43" xfId="2" applyNumberFormat="1" applyFont="1" applyFill="1" applyBorder="1" applyAlignment="1" applyProtection="1">
      <alignment horizontal="center"/>
    </xf>
    <xf numFmtId="164" fontId="8" fillId="7" borderId="35" xfId="2" applyNumberFormat="1" applyFont="1" applyFill="1" applyBorder="1" applyAlignment="1" applyProtection="1">
      <alignment horizontal="center"/>
    </xf>
    <xf numFmtId="164" fontId="8" fillId="7" borderId="37" xfId="2" applyNumberFormat="1" applyFont="1" applyFill="1" applyBorder="1" applyAlignment="1" applyProtection="1">
      <alignment horizontal="center"/>
    </xf>
    <xf numFmtId="0" fontId="8" fillId="3" borderId="0" xfId="2" applyNumberFormat="1" applyFont="1" applyFill="1" applyBorder="1" applyAlignment="1" applyProtection="1">
      <alignment horizontal="center"/>
    </xf>
    <xf numFmtId="0" fontId="21" fillId="3" borderId="14" xfId="2" applyNumberFormat="1" applyFont="1" applyFill="1" applyBorder="1" applyAlignment="1" applyProtection="1">
      <alignment horizontal="center"/>
    </xf>
    <xf numFmtId="0" fontId="21" fillId="3" borderId="15" xfId="2" applyNumberFormat="1" applyFont="1" applyFill="1" applyBorder="1" applyAlignment="1" applyProtection="1">
      <alignment horizontal="center"/>
    </xf>
    <xf numFmtId="0" fontId="21" fillId="3" borderId="16" xfId="2" applyNumberFormat="1" applyFont="1" applyFill="1" applyBorder="1" applyAlignment="1" applyProtection="1">
      <alignment horizontal="center"/>
    </xf>
    <xf numFmtId="0" fontId="21" fillId="0" borderId="14" xfId="2" applyNumberFormat="1" applyFont="1" applyFill="1" applyBorder="1" applyAlignment="1" applyProtection="1">
      <alignment horizontal="center"/>
    </xf>
    <xf numFmtId="0" fontId="21" fillId="0" borderId="15" xfId="2" applyNumberFormat="1" applyFont="1" applyFill="1" applyBorder="1" applyAlignment="1" applyProtection="1">
      <alignment horizontal="center"/>
    </xf>
    <xf numFmtId="0" fontId="21" fillId="0" borderId="16" xfId="2" applyNumberFormat="1" applyFont="1" applyFill="1" applyBorder="1" applyAlignment="1" applyProtection="1">
      <alignment horizontal="center"/>
    </xf>
    <xf numFmtId="164" fontId="8" fillId="7" borderId="31" xfId="2" applyNumberFormat="1" applyFont="1" applyFill="1" applyBorder="1" applyAlignment="1" applyProtection="1">
      <alignment horizontal="center"/>
    </xf>
    <xf numFmtId="164" fontId="8" fillId="7" borderId="4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21" fillId="0" borderId="14" xfId="1" applyNumberFormat="1" applyFont="1" applyFill="1" applyBorder="1" applyAlignment="1" applyProtection="1">
      <alignment horizontal="center"/>
    </xf>
    <xf numFmtId="10" fontId="21" fillId="0" borderId="15" xfId="1" applyNumberFormat="1" applyFont="1" applyFill="1" applyBorder="1" applyAlignment="1" applyProtection="1">
      <alignment horizontal="center"/>
    </xf>
    <xf numFmtId="10" fontId="21" fillId="0" borderId="16" xfId="1" applyNumberFormat="1" applyFont="1" applyFill="1" applyBorder="1" applyAlignment="1" applyProtection="1">
      <alignment horizontal="center"/>
    </xf>
    <xf numFmtId="164" fontId="10" fillId="7" borderId="47" xfId="2" applyNumberFormat="1" applyFont="1" applyFill="1" applyBorder="1" applyAlignment="1" applyProtection="1">
      <alignment horizontal="center"/>
    </xf>
    <xf numFmtId="164" fontId="10" fillId="7" borderId="48" xfId="2" applyNumberFormat="1" applyFont="1" applyFill="1" applyBorder="1" applyAlignment="1" applyProtection="1">
      <alignment horizontal="center"/>
    </xf>
    <xf numFmtId="164" fontId="10" fillId="3" borderId="1" xfId="2" applyNumberFormat="1" applyFont="1" applyFill="1" applyBorder="1" applyAlignment="1" applyProtection="1">
      <alignment horizontal="left"/>
    </xf>
    <xf numFmtId="164" fontId="10" fillId="3" borderId="2" xfId="2" applyNumberFormat="1" applyFont="1" applyFill="1" applyBorder="1" applyAlignment="1" applyProtection="1">
      <alignment horizontal="left"/>
    </xf>
    <xf numFmtId="164" fontId="10" fillId="3" borderId="5" xfId="2" applyNumberFormat="1" applyFont="1" applyFill="1" applyBorder="1" applyAlignment="1" applyProtection="1">
      <alignment horizontal="left"/>
    </xf>
    <xf numFmtId="164" fontId="10" fillId="3" borderId="0" xfId="2" applyNumberFormat="1" applyFont="1" applyFill="1" applyBorder="1" applyAlignment="1" applyProtection="1">
      <alignment horizontal="left"/>
    </xf>
    <xf numFmtId="164" fontId="10" fillId="9" borderId="56" xfId="2" applyNumberFormat="1" applyFont="1" applyFill="1" applyBorder="1" applyAlignment="1" applyProtection="1">
      <alignment horizontal="center"/>
    </xf>
    <xf numFmtId="164" fontId="10" fillId="9" borderId="61" xfId="2" applyNumberFormat="1" applyFont="1" applyFill="1" applyBorder="1" applyAlignment="1" applyProtection="1">
      <alignment horizontal="center"/>
    </xf>
    <xf numFmtId="164" fontId="10" fillId="9" borderId="57" xfId="2" applyNumberFormat="1" applyFont="1" applyFill="1" applyBorder="1" applyAlignment="1" applyProtection="1">
      <alignment horizontal="center"/>
    </xf>
    <xf numFmtId="0" fontId="10" fillId="7" borderId="35" xfId="2" applyNumberFormat="1" applyFont="1" applyFill="1" applyBorder="1" applyAlignment="1" applyProtection="1">
      <alignment horizontal="center" vertical="center"/>
    </xf>
    <xf numFmtId="0" fontId="10" fillId="7" borderId="62" xfId="2" applyNumberFormat="1" applyFont="1" applyFill="1" applyBorder="1" applyAlignment="1" applyProtection="1">
      <alignment horizontal="center" vertical="center"/>
    </xf>
    <xf numFmtId="164" fontId="21" fillId="3" borderId="14" xfId="2" applyNumberFormat="1" applyFont="1" applyFill="1" applyBorder="1" applyAlignment="1" applyProtection="1">
      <alignment horizontal="center"/>
    </xf>
    <xf numFmtId="164" fontId="21" fillId="3" borderId="15" xfId="2" applyNumberFormat="1" applyFont="1" applyFill="1" applyBorder="1" applyAlignment="1" applyProtection="1">
      <alignment horizontal="center"/>
    </xf>
    <xf numFmtId="164" fontId="21" fillId="3" borderId="16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10" fillId="7" borderId="30" xfId="2" applyNumberFormat="1" applyFont="1" applyFill="1" applyBorder="1" applyAlignment="1" applyProtection="1">
      <alignment horizontal="center"/>
    </xf>
    <xf numFmtId="164" fontId="10" fillId="7" borderId="76" xfId="2" applyNumberFormat="1" applyFont="1" applyFill="1" applyBorder="1" applyAlignment="1" applyProtection="1">
      <alignment horizontal="center"/>
    </xf>
    <xf numFmtId="164" fontId="10" fillId="7" borderId="31" xfId="2" applyNumberFormat="1" applyFont="1" applyFill="1" applyBorder="1" applyAlignment="1" applyProtection="1">
      <alignment horizontal="center"/>
    </xf>
    <xf numFmtId="164" fontId="10" fillId="7" borderId="46" xfId="2" applyNumberFormat="1" applyFont="1" applyFill="1" applyBorder="1" applyAlignment="1" applyProtection="1">
      <alignment horizontal="center"/>
    </xf>
    <xf numFmtId="164" fontId="8" fillId="7" borderId="33" xfId="2" applyNumberFormat="1" applyFont="1" applyFill="1" applyBorder="1" applyAlignment="1" applyProtection="1">
      <alignment horizontal="center"/>
    </xf>
    <xf numFmtId="164" fontId="8" fillId="7" borderId="41" xfId="2" applyNumberFormat="1" applyFont="1" applyFill="1" applyBorder="1" applyAlignment="1" applyProtection="1">
      <alignment horizontal="center"/>
    </xf>
    <xf numFmtId="164" fontId="21" fillId="7" borderId="58" xfId="2" applyNumberFormat="1" applyFont="1" applyFill="1" applyBorder="1" applyAlignment="1" applyProtection="1">
      <alignment horizontal="center" vertical="center" wrapText="1"/>
    </xf>
    <xf numFmtId="164" fontId="21" fillId="7" borderId="59" xfId="2" applyNumberFormat="1" applyFont="1" applyFill="1" applyBorder="1" applyAlignment="1" applyProtection="1">
      <alignment horizontal="center" vertical="center" wrapText="1"/>
    </xf>
    <xf numFmtId="164" fontId="21" fillId="7" borderId="60" xfId="2" applyNumberFormat="1" applyFont="1" applyFill="1" applyBorder="1" applyAlignment="1" applyProtection="1">
      <alignment horizontal="center" vertical="center" wrapText="1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2" fontId="21" fillId="5" borderId="14" xfId="2" applyNumberFormat="1" applyFont="1" applyFill="1" applyBorder="1" applyAlignment="1" applyProtection="1">
      <alignment horizontal="center"/>
    </xf>
    <xf numFmtId="2" fontId="21" fillId="5" borderId="15" xfId="2" applyNumberFormat="1" applyFont="1" applyFill="1" applyBorder="1" applyAlignment="1" applyProtection="1">
      <alignment horizontal="center"/>
    </xf>
    <xf numFmtId="2" fontId="21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4" fontId="10" fillId="3" borderId="8" xfId="2" applyNumberFormat="1" applyFont="1" applyFill="1" applyBorder="1" applyAlignment="1" applyProtection="1">
      <alignment horizontal="left"/>
    </xf>
    <xf numFmtId="164" fontId="10" fillId="3" borderId="9" xfId="2" applyNumberFormat="1" applyFont="1" applyFill="1" applyBorder="1" applyAlignment="1" applyProtection="1">
      <alignment horizontal="left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166" fontId="21" fillId="4" borderId="14" xfId="4" applyNumberFormat="1" applyFont="1" applyFill="1" applyBorder="1" applyAlignment="1" applyProtection="1">
      <alignment horizontal="center"/>
    </xf>
    <xf numFmtId="166" fontId="21" fillId="4" borderId="15" xfId="4" applyNumberFormat="1" applyFont="1" applyFill="1" applyBorder="1" applyAlignment="1" applyProtection="1">
      <alignment horizontal="center"/>
    </xf>
    <xf numFmtId="166" fontId="21" fillId="4" borderId="16" xfId="4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0" fontId="7" fillId="3" borderId="14" xfId="4" applyNumberFormat="1" applyFont="1" applyFill="1" applyBorder="1" applyAlignment="1" applyProtection="1">
      <alignment horizontal="center"/>
    </xf>
    <xf numFmtId="10" fontId="7" fillId="3" borderId="15" xfId="4" applyNumberFormat="1" applyFont="1" applyFill="1" applyBorder="1" applyAlignment="1" applyProtection="1">
      <alignment horizontal="center"/>
    </xf>
    <xf numFmtId="10" fontId="7" fillId="3" borderId="16" xfId="4" applyNumberFormat="1" applyFont="1" applyFill="1" applyBorder="1" applyAlignment="1" applyProtection="1">
      <alignment horizontal="center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164" fontId="7" fillId="3" borderId="11" xfId="0" applyNumberFormat="1" applyFont="1" applyFill="1" applyBorder="1" applyAlignment="1" applyProtection="1">
      <alignment horizontal="center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0" fontId="36" fillId="20" borderId="22" xfId="0" applyFont="1" applyFill="1" applyBorder="1" applyAlignment="1">
      <alignment horizontal="center" vertical="center"/>
    </xf>
    <xf numFmtId="0" fontId="36" fillId="20" borderId="23" xfId="0" applyFont="1" applyFill="1" applyBorder="1" applyAlignment="1">
      <alignment horizontal="center" vertical="center"/>
    </xf>
    <xf numFmtId="0" fontId="36" fillId="20" borderId="24" xfId="0" applyFont="1" applyFill="1" applyBorder="1" applyAlignment="1">
      <alignment horizontal="center" vertical="center"/>
    </xf>
    <xf numFmtId="0" fontId="36" fillId="20" borderId="25" xfId="0" applyFont="1" applyFill="1" applyBorder="1" applyAlignment="1">
      <alignment horizontal="center" vertical="center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52" xfId="0" applyFont="1" applyFill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23" fillId="0" borderId="44" xfId="0" applyFont="1" applyBorder="1" applyAlignment="1">
      <alignment horizontal="center" vertical="center" wrapText="1"/>
    </xf>
    <xf numFmtId="0" fontId="23" fillId="0" borderId="52" xfId="0" applyFont="1" applyBorder="1" applyAlignment="1">
      <alignment horizontal="center" vertical="center" wrapText="1"/>
    </xf>
    <xf numFmtId="0" fontId="23" fillId="0" borderId="64" xfId="0" applyFont="1" applyBorder="1" applyAlignment="1">
      <alignment horizontal="center" vertical="center"/>
    </xf>
    <xf numFmtId="0" fontId="23" fillId="0" borderId="65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5" fillId="6" borderId="47" xfId="0" applyFont="1" applyFill="1" applyBorder="1" applyAlignment="1">
      <alignment horizontal="center"/>
    </xf>
    <xf numFmtId="0" fontId="25" fillId="6" borderId="48" xfId="0" applyFont="1" applyFill="1" applyBorder="1" applyAlignment="1">
      <alignment horizontal="center"/>
    </xf>
    <xf numFmtId="10" fontId="1" fillId="0" borderId="26" xfId="1" applyNumberFormat="1" applyFont="1" applyBorder="1" applyAlignment="1">
      <alignment horizontal="center"/>
    </xf>
    <xf numFmtId="10" fontId="1" fillId="0" borderId="27" xfId="1" applyNumberFormat="1" applyFont="1" applyBorder="1" applyAlignment="1">
      <alignment horizontal="center"/>
    </xf>
    <xf numFmtId="0" fontId="0" fillId="0" borderId="45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0" fontId="25" fillId="6" borderId="47" xfId="1" applyNumberFormat="1" applyFont="1" applyFill="1" applyBorder="1" applyAlignment="1">
      <alignment horizontal="center"/>
    </xf>
    <xf numFmtId="10" fontId="25" fillId="6" borderId="48" xfId="1" applyNumberFormat="1" applyFont="1" applyFill="1" applyBorder="1" applyAlignment="1">
      <alignment horizontal="center"/>
    </xf>
    <xf numFmtId="10" fontId="2" fillId="0" borderId="31" xfId="1" applyNumberFormat="1" applyFont="1" applyBorder="1" applyAlignment="1">
      <alignment horizontal="center"/>
    </xf>
    <xf numFmtId="10" fontId="2" fillId="0" borderId="46" xfId="1" applyNumberFormat="1" applyFont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10" fontId="0" fillId="2" borderId="0" xfId="1" applyNumberFormat="1" applyFont="1" applyFill="1" applyBorder="1" applyAlignment="1">
      <alignment horizontal="center" vertical="center"/>
    </xf>
    <xf numFmtId="10" fontId="0" fillId="0" borderId="31" xfId="1" applyNumberFormat="1" applyFont="1" applyBorder="1" applyAlignment="1">
      <alignment horizontal="center"/>
    </xf>
    <xf numFmtId="10" fontId="0" fillId="0" borderId="46" xfId="1" applyNumberFormat="1" applyFont="1" applyBorder="1" applyAlignment="1">
      <alignment horizontal="center"/>
    </xf>
    <xf numFmtId="0" fontId="2" fillId="14" borderId="35" xfId="0" applyFont="1" applyFill="1" applyBorder="1" applyAlignment="1">
      <alignment horizontal="center"/>
    </xf>
    <xf numFmtId="0" fontId="2" fillId="14" borderId="37" xfId="0" applyFont="1" applyFill="1" applyBorder="1" applyAlignment="1">
      <alignment horizontal="center"/>
    </xf>
    <xf numFmtId="0" fontId="2" fillId="10" borderId="40" xfId="0" applyFont="1" applyFill="1" applyBorder="1" applyAlignment="1">
      <alignment horizontal="center"/>
    </xf>
    <xf numFmtId="0" fontId="2" fillId="10" borderId="55" xfId="0" applyFont="1" applyFill="1" applyBorder="1" applyAlignment="1">
      <alignment horizontal="center"/>
    </xf>
    <xf numFmtId="0" fontId="2" fillId="10" borderId="32" xfId="0" applyFont="1" applyFill="1" applyBorder="1" applyAlignment="1">
      <alignment horizontal="center"/>
    </xf>
    <xf numFmtId="0" fontId="2" fillId="6" borderId="47" xfId="0" applyFont="1" applyFill="1" applyBorder="1" applyAlignment="1">
      <alignment horizontal="center" vertical="center"/>
    </xf>
    <xf numFmtId="0" fontId="2" fillId="6" borderId="48" xfId="0" applyFont="1" applyFill="1" applyBorder="1" applyAlignment="1">
      <alignment horizontal="center" vertical="center"/>
    </xf>
    <xf numFmtId="0" fontId="2" fillId="6" borderId="47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48" xfId="0" applyFont="1" applyFill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57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168" fontId="0" fillId="0" borderId="31" xfId="1" applyNumberFormat="1" applyFont="1" applyBorder="1" applyAlignment="1">
      <alignment horizontal="center"/>
    </xf>
    <xf numFmtId="168" fontId="0" fillId="0" borderId="46" xfId="1" applyNumberFormat="1" applyFont="1" applyBorder="1" applyAlignment="1">
      <alignment horizontal="center"/>
    </xf>
    <xf numFmtId="169" fontId="0" fillId="0" borderId="31" xfId="1" applyNumberFormat="1" applyFont="1" applyBorder="1" applyAlignment="1">
      <alignment horizontal="center"/>
    </xf>
    <xf numFmtId="169" fontId="0" fillId="0" borderId="46" xfId="1" applyNumberFormat="1" applyFont="1" applyBorder="1" applyAlignment="1">
      <alignment horizontal="center"/>
    </xf>
    <xf numFmtId="0" fontId="2" fillId="15" borderId="44" xfId="0" applyFont="1" applyFill="1" applyBorder="1" applyAlignment="1">
      <alignment horizontal="center" vertical="center"/>
    </xf>
    <xf numFmtId="0" fontId="2" fillId="15" borderId="52" xfId="0" applyFont="1" applyFill="1" applyBorder="1" applyAlignment="1">
      <alignment horizontal="center" vertical="center"/>
    </xf>
    <xf numFmtId="0" fontId="2" fillId="14" borderId="36" xfId="0" applyFont="1" applyFill="1" applyBorder="1" applyAlignment="1">
      <alignment horizontal="center"/>
    </xf>
    <xf numFmtId="164" fontId="7" fillId="3" borderId="21" xfId="3" applyNumberFormat="1" applyFont="1" applyFill="1" applyBorder="1" applyAlignment="1" applyProtection="1">
      <alignment horizontal="center" vertical="center"/>
    </xf>
    <xf numFmtId="0" fontId="24" fillId="6" borderId="47" xfId="0" applyFont="1" applyFill="1" applyBorder="1" applyAlignment="1">
      <alignment horizontal="center" vertical="center"/>
    </xf>
    <xf numFmtId="0" fontId="24" fillId="6" borderId="48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2" fillId="2" borderId="0" xfId="0" applyFont="1" applyFill="1" applyBorder="1" applyAlignment="1">
      <alignment horizontal="center" vertical="center" wrapText="1"/>
    </xf>
    <xf numFmtId="0" fontId="23" fillId="0" borderId="67" xfId="0" applyFont="1" applyBorder="1" applyAlignment="1">
      <alignment horizontal="center" vertical="center" wrapText="1"/>
    </xf>
    <xf numFmtId="0" fontId="23" fillId="0" borderId="82" xfId="0" applyFont="1" applyBorder="1" applyAlignment="1">
      <alignment horizontal="center" vertical="center" wrapText="1"/>
    </xf>
    <xf numFmtId="0" fontId="23" fillId="0" borderId="74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75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0" fontId="23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3" fillId="0" borderId="61" xfId="0" applyFont="1" applyBorder="1" applyAlignment="1">
      <alignment horizontal="right" vertical="center" wrapText="1"/>
    </xf>
    <xf numFmtId="0" fontId="23" fillId="0" borderId="0" xfId="0" applyFont="1" applyBorder="1" applyAlignment="1">
      <alignment horizontal="right" vertical="center" wrapText="1"/>
    </xf>
    <xf numFmtId="0" fontId="23" fillId="24" borderId="79" xfId="0" applyFont="1" applyFill="1" applyBorder="1" applyAlignment="1">
      <alignment horizontal="center" vertical="center"/>
    </xf>
    <xf numFmtId="0" fontId="23" fillId="24" borderId="84" xfId="0" applyFont="1" applyFill="1" applyBorder="1" applyAlignment="1">
      <alignment horizontal="center" vertical="center"/>
    </xf>
    <xf numFmtId="0" fontId="23" fillId="24" borderId="34" xfId="0" applyFont="1" applyFill="1" applyBorder="1" applyAlignment="1">
      <alignment horizontal="center" vertical="center"/>
    </xf>
    <xf numFmtId="0" fontId="2" fillId="18" borderId="9" xfId="0" applyFont="1" applyFill="1" applyBorder="1" applyAlignment="1">
      <alignment horizontal="center" vertical="center" wrapText="1"/>
    </xf>
    <xf numFmtId="0" fontId="2" fillId="18" borderId="33" xfId="0" applyFont="1" applyFill="1" applyBorder="1" applyAlignment="1">
      <alignment horizontal="center" vertical="center" wrapText="1"/>
    </xf>
    <xf numFmtId="0" fontId="2" fillId="18" borderId="41" xfId="0" applyFont="1" applyFill="1" applyBorder="1" applyAlignment="1">
      <alignment horizontal="center" vertical="center" wrapText="1"/>
    </xf>
    <xf numFmtId="0" fontId="2" fillId="2" borderId="28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18" borderId="47" xfId="0" applyFont="1" applyFill="1" applyBorder="1" applyAlignment="1">
      <alignment horizontal="center" vertical="center" wrapText="1"/>
    </xf>
    <xf numFmtId="0" fontId="2" fillId="18" borderId="48" xfId="0" applyFont="1" applyFill="1" applyBorder="1" applyAlignment="1">
      <alignment horizontal="center" vertical="center" wrapText="1"/>
    </xf>
    <xf numFmtId="0" fontId="2" fillId="18" borderId="54" xfId="0" applyFont="1" applyFill="1" applyBorder="1" applyAlignment="1">
      <alignment horizontal="center" vertical="center" wrapText="1"/>
    </xf>
    <xf numFmtId="0" fontId="2" fillId="18" borderId="22" xfId="0" applyFont="1" applyFill="1" applyBorder="1" applyAlignment="1">
      <alignment horizontal="center" vertical="center" wrapText="1"/>
    </xf>
    <xf numFmtId="0" fontId="2" fillId="18" borderId="23" xfId="0" applyFont="1" applyFill="1" applyBorder="1" applyAlignment="1">
      <alignment horizontal="center" vertical="center" wrapText="1"/>
    </xf>
    <xf numFmtId="0" fontId="2" fillId="18" borderId="53" xfId="0" applyFont="1" applyFill="1" applyBorder="1" applyAlignment="1">
      <alignment horizontal="center" vertical="center" wrapText="1"/>
    </xf>
    <xf numFmtId="0" fontId="36" fillId="20" borderId="21" xfId="0" applyFont="1" applyFill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2" fillId="18" borderId="74" xfId="0" applyFont="1" applyFill="1" applyBorder="1" applyAlignment="1">
      <alignment horizontal="center" vertical="center" wrapText="1"/>
    </xf>
    <xf numFmtId="0" fontId="2" fillId="18" borderId="34" xfId="0" applyFont="1" applyFill="1" applyBorder="1" applyAlignment="1">
      <alignment horizontal="center" vertical="center" wrapText="1"/>
    </xf>
    <xf numFmtId="0" fontId="2" fillId="18" borderId="10" xfId="0" applyFont="1" applyFill="1" applyBorder="1" applyAlignment="1">
      <alignment horizontal="center" vertical="center" wrapText="1"/>
    </xf>
    <xf numFmtId="0" fontId="2" fillId="10" borderId="56" xfId="0" applyFont="1" applyFill="1" applyBorder="1" applyAlignment="1">
      <alignment horizontal="center"/>
    </xf>
    <xf numFmtId="0" fontId="2" fillId="10" borderId="61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" fillId="10" borderId="35" xfId="0" applyFont="1" applyFill="1" applyBorder="1" applyAlignment="1">
      <alignment horizontal="center"/>
    </xf>
    <xf numFmtId="0" fontId="2" fillId="10" borderId="58" xfId="0" applyFont="1" applyFill="1" applyBorder="1" applyAlignment="1">
      <alignment horizontal="center" vertical="center" wrapText="1"/>
    </xf>
    <xf numFmtId="0" fontId="2" fillId="10" borderId="60" xfId="0" applyFont="1" applyFill="1" applyBorder="1" applyAlignment="1">
      <alignment horizontal="center" vertical="center" wrapText="1"/>
    </xf>
    <xf numFmtId="0" fontId="0" fillId="0" borderId="57" xfId="0" applyBorder="1" applyAlignment="1">
      <alignment horizontal="center" wrapText="1"/>
    </xf>
    <xf numFmtId="0" fontId="0" fillId="0" borderId="50" xfId="0" applyBorder="1" applyAlignment="1">
      <alignment horizontal="center" wrapText="1"/>
    </xf>
    <xf numFmtId="164" fontId="22" fillId="22" borderId="30" xfId="3" applyFont="1" applyFill="1" applyBorder="1" applyAlignment="1">
      <alignment horizontal="center" vertical="center"/>
    </xf>
    <xf numFmtId="164" fontId="22" fillId="22" borderId="16" xfId="3" applyFont="1" applyFill="1" applyBorder="1" applyAlignment="1">
      <alignment horizontal="center" vertical="center"/>
    </xf>
    <xf numFmtId="0" fontId="2" fillId="14" borderId="47" xfId="0" applyFont="1" applyFill="1" applyBorder="1" applyAlignment="1">
      <alignment horizontal="center"/>
    </xf>
    <xf numFmtId="0" fontId="2" fillId="14" borderId="54" xfId="0" applyFont="1" applyFill="1" applyBorder="1" applyAlignment="1">
      <alignment horizontal="center"/>
    </xf>
    <xf numFmtId="0" fontId="2" fillId="21" borderId="47" xfId="0" applyFont="1" applyFill="1" applyBorder="1" applyAlignment="1">
      <alignment horizontal="center"/>
    </xf>
    <xf numFmtId="0" fontId="2" fillId="21" borderId="54" xfId="0" applyFont="1" applyFill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3" xfId="0" applyFont="1" applyFill="1" applyBorder="1" applyAlignment="1">
      <alignment horizontal="center" vertical="center"/>
    </xf>
    <xf numFmtId="0" fontId="2" fillId="6" borderId="80" xfId="0" applyFont="1" applyFill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7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6">
    <cellStyle name="Normal" xfId="0" builtinId="0"/>
    <cellStyle name="Normal 2" xfId="2" xr:uid="{00000000-0005-0000-0000-000001000000}"/>
    <cellStyle name="Normal 3" xfId="3" xr:uid="{00000000-0005-0000-0000-000002000000}"/>
    <cellStyle name="Normal 4" xfId="5" xr:uid="{E898FE07-11B8-4BEB-A236-C3EC5F95ADF2}"/>
    <cellStyle name="Percent 2" xfId="4" xr:uid="{00000000-0005-0000-0000-000003000000}"/>
    <cellStyle name="Porcentagem" xfId="1" builtinId="5"/>
  </cellStyles>
  <dxfs count="98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0.00E+00</c:formatCode>
                <c:ptCount val="1"/>
                <c:pt idx="0">
                  <c:v>8986326.8127629422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2.8366771957515153E-2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11427452.104761589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1.2292942077867497E-2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0.65657688299185191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-0.23191499499068274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0.53394665429152144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-0.16092885491662318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1800</c:v>
                </c:pt>
                <c:pt idx="1">
                  <c:v>2200</c:v>
                </c:pt>
                <c:pt idx="2">
                  <c:v>2279.484256270584</c:v>
                </c:pt>
                <c:pt idx="3">
                  <c:v>2600</c:v>
                </c:pt>
                <c:pt idx="4">
                  <c:v>3000</c:v>
                </c:pt>
                <c:pt idx="5">
                  <c:v>3300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128</c:v>
                </c:pt>
                <c:pt idx="1">
                  <c:v>124</c:v>
                </c:pt>
                <c:pt idx="2">
                  <c:v>121.01909107568486</c:v>
                </c:pt>
                <c:pt idx="3">
                  <c:v>116</c:v>
                </c:pt>
                <c:pt idx="4">
                  <c:v>108</c:v>
                </c:pt>
                <c:pt idx="5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1765.0690179703577</c:v>
                </c:pt>
                <c:pt idx="1">
                  <c:v>2044.4032132100269</c:v>
                </c:pt>
                <c:pt idx="2" formatCode="0.0000">
                  <c:v>2247.5037995620478</c:v>
                </c:pt>
                <c:pt idx="3">
                  <c:v>2741.2159487321574</c:v>
                </c:pt>
                <c:pt idx="4">
                  <c:v>3269.4926013563972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125.96275265792249</c:v>
                </c:pt>
                <c:pt idx="1">
                  <c:v>123.73020339615709</c:v>
                </c:pt>
                <c:pt idx="2">
                  <c:v>120.89215590152328</c:v>
                </c:pt>
                <c:pt idx="3">
                  <c:v>110.1628806159674</c:v>
                </c:pt>
                <c:pt idx="4">
                  <c:v>77.549378297715336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1800</c:v>
                </c:pt>
                <c:pt idx="1">
                  <c:v>2200</c:v>
                </c:pt>
                <c:pt idx="2">
                  <c:v>2279.484256270584</c:v>
                </c:pt>
                <c:pt idx="3">
                  <c:v>2600</c:v>
                </c:pt>
                <c:pt idx="4">
                  <c:v>3000</c:v>
                </c:pt>
                <c:pt idx="5">
                  <c:v>3300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0.85</c:v>
                </c:pt>
                <c:pt idx="1">
                  <c:v>0.85</c:v>
                </c:pt>
                <c:pt idx="2">
                  <c:v>0.87288655145086047</c:v>
                </c:pt>
                <c:pt idx="3">
                  <c:v>0.84</c:v>
                </c:pt>
                <c:pt idx="4">
                  <c:v>0.82</c:v>
                </c:pt>
                <c:pt idx="5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1765.0690179703577</c:v>
                </c:pt>
                <c:pt idx="1">
                  <c:v>2044.4032132100269</c:v>
                </c:pt>
                <c:pt idx="2" formatCode="0.0000">
                  <c:v>2247.5037995620478</c:v>
                </c:pt>
                <c:pt idx="3">
                  <c:v>2741.2159487321574</c:v>
                </c:pt>
                <c:pt idx="4">
                  <c:v>3269.4926013563972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  <c:pt idx="0">
                  <c:v>0.83229017784637527</c:v>
                </c:pt>
                <c:pt idx="1">
                  <c:v>0.84472568297932704</c:v>
                </c:pt>
                <c:pt idx="2">
                  <c:v>0.84771491142464128</c:v>
                </c:pt>
                <c:pt idx="3">
                  <c:v>0.82779326559157773</c:v>
                </c:pt>
                <c:pt idx="4">
                  <c:v>0.65410852415677445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0.00E+00</c:formatCode>
                <c:ptCount val="1"/>
                <c:pt idx="0">
                  <c:v>8986326.8127629422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11427452.104761589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  <c:pt idx="0">
                  <c:v>0.99720421301419593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0.65657688299185191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0.53394665429152144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  <c:pt idx="0">
                  <c:v>1.9564820693340756E-3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560</c:v>
                </c:pt>
                <c:pt idx="1">
                  <c:v>697.10193319617588</c:v>
                </c:pt>
                <c:pt idx="2">
                  <c:v>727.16</c:v>
                </c:pt>
                <c:pt idx="3">
                  <c:v>800</c:v>
                </c:pt>
                <c:pt idx="4">
                  <c:v>1040</c:v>
                </c:pt>
                <c:pt idx="5">
                  <c:v>1120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65</c:v>
                </c:pt>
                <c:pt idx="1">
                  <c:v>59.157300145814339</c:v>
                </c:pt>
                <c:pt idx="2">
                  <c:v>61.63</c:v>
                </c:pt>
                <c:pt idx="3">
                  <c:v>60</c:v>
                </c:pt>
                <c:pt idx="4">
                  <c:v>50</c:v>
                </c:pt>
                <c:pt idx="5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527.88716850393553</c:v>
                </c:pt>
                <c:pt idx="1">
                  <c:v>658.41349588017147</c:v>
                </c:pt>
                <c:pt idx="2" formatCode="0.0000">
                  <c:v>848.45696447997739</c:v>
                </c:pt>
                <c:pt idx="3">
                  <c:v>1045.1073218776332</c:v>
                </c:pt>
                <c:pt idx="4">
                  <c:v>1151.5315424983739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64.267561390024781</c:v>
                </c:pt>
                <c:pt idx="1">
                  <c:v>61.59804203504148</c:v>
                </c:pt>
                <c:pt idx="2">
                  <c:v>55.997334307487435</c:v>
                </c:pt>
                <c:pt idx="3">
                  <c:v>43.632119686959278</c:v>
                </c:pt>
                <c:pt idx="4">
                  <c:v>30.836443930475674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560</c:v>
                </c:pt>
                <c:pt idx="1">
                  <c:v>697.10193319617588</c:v>
                </c:pt>
                <c:pt idx="2">
                  <c:v>727.16</c:v>
                </c:pt>
                <c:pt idx="3">
                  <c:v>800</c:v>
                </c:pt>
                <c:pt idx="4">
                  <c:v>1040</c:v>
                </c:pt>
                <c:pt idx="5">
                  <c:v>1120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0.66</c:v>
                </c:pt>
                <c:pt idx="1">
                  <c:v>0.68285131976608626</c:v>
                </c:pt>
                <c:pt idx="2">
                  <c:v>0.68799999999999994</c:v>
                </c:pt>
                <c:pt idx="3">
                  <c:v>0.69</c:v>
                </c:pt>
                <c:pt idx="4">
                  <c:v>0.68</c:v>
                </c:pt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527.88716850393553</c:v>
                </c:pt>
                <c:pt idx="1">
                  <c:v>658.41349588017147</c:v>
                </c:pt>
                <c:pt idx="2" formatCode="0.0000">
                  <c:v>848.45696447997739</c:v>
                </c:pt>
                <c:pt idx="3">
                  <c:v>1045.1073218776332</c:v>
                </c:pt>
                <c:pt idx="4">
                  <c:v>1151.5315424983739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  <c:pt idx="0">
                  <c:v>0.66965101420073336</c:v>
                </c:pt>
                <c:pt idx="1">
                  <c:v>0.69430436074644897</c:v>
                </c:pt>
                <c:pt idx="2">
                  <c:v>0.70150281048698127</c:v>
                </c:pt>
                <c:pt idx="3">
                  <c:v>0.6546046762521428</c:v>
                </c:pt>
                <c:pt idx="4">
                  <c:v>0.47820619647334034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80124</xdr:colOff>
      <xdr:row>1</xdr:row>
      <xdr:rowOff>8405</xdr:rowOff>
    </xdr:from>
    <xdr:to>
      <xdr:col>13</xdr:col>
      <xdr:colOff>105074</xdr:colOff>
      <xdr:row>1</xdr:row>
      <xdr:rowOff>239992</xdr:rowOff>
    </xdr:to>
    <xdr:pic macro="[0]!EstaPasta_de_trabalho.selectPython">
      <xdr:nvPicPr>
        <xdr:cNvPr id="2" name="Gráfico 1" descr="Abrir pasta com preenchimento sóli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85199" y="198905"/>
          <a:ext cx="234500" cy="23158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247650</xdr:rowOff>
        </xdr:from>
        <xdr:to>
          <xdr:col>16</xdr:col>
          <xdr:colOff>19050</xdr:colOff>
          <xdr:row>2</xdr:row>
          <xdr:rowOff>180975</xdr:rowOff>
        </xdr:to>
        <xdr:sp macro="" textlink="">
          <xdr:nvSpPr>
            <xdr:cNvPr id="1039" name="Button 15" descr="Encontrar ccp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Encontrar ccp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17</xdr:row>
          <xdr:rowOff>152400</xdr:rowOff>
        </xdr:from>
        <xdr:to>
          <xdr:col>18</xdr:col>
          <xdr:colOff>447675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31976</xdr:colOff>
      <xdr:row>50</xdr:row>
      <xdr:rowOff>64632</xdr:rowOff>
    </xdr:from>
    <xdr:to>
      <xdr:col>13</xdr:col>
      <xdr:colOff>131989</xdr:colOff>
      <xdr:row>68</xdr:row>
      <xdr:rowOff>183696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450396</xdr:colOff>
      <xdr:row>49</xdr:row>
      <xdr:rowOff>150357</xdr:rowOff>
    </xdr:from>
    <xdr:to>
      <xdr:col>21</xdr:col>
      <xdr:colOff>68715</xdr:colOff>
      <xdr:row>68</xdr:row>
      <xdr:rowOff>97970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168727</xdr:colOff>
      <xdr:row>33</xdr:row>
      <xdr:rowOff>164826</xdr:rowOff>
    </xdr:from>
    <xdr:to>
      <xdr:col>4</xdr:col>
      <xdr:colOff>454477</xdr:colOff>
      <xdr:row>44</xdr:row>
      <xdr:rowOff>67943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125457</xdr:colOff>
      <xdr:row>45</xdr:row>
      <xdr:rowOff>80992</xdr:rowOff>
    </xdr:from>
    <xdr:to>
      <xdr:col>4</xdr:col>
      <xdr:colOff>411207</xdr:colOff>
      <xdr:row>56</xdr:row>
      <xdr:rowOff>141880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586921</xdr:colOff>
      <xdr:row>69</xdr:row>
      <xdr:rowOff>53202</xdr:rowOff>
    </xdr:from>
    <xdr:to>
      <xdr:col>13</xdr:col>
      <xdr:colOff>475614</xdr:colOff>
      <xdr:row>87</xdr:row>
      <xdr:rowOff>173536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494664</xdr:colOff>
      <xdr:row>69</xdr:row>
      <xdr:rowOff>41137</xdr:rowOff>
    </xdr:from>
    <xdr:to>
      <xdr:col>21</xdr:col>
      <xdr:colOff>37192</xdr:colOff>
      <xdr:row>87</xdr:row>
      <xdr:rowOff>180520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209550</xdr:colOff>
          <xdr:row>11</xdr:row>
          <xdr:rowOff>85725</xdr:rowOff>
        </xdr:from>
        <xdr:to>
          <xdr:col>26</xdr:col>
          <xdr:colOff>685800</xdr:colOff>
          <xdr:row>14</xdr:row>
          <xdr:rowOff>76200</xdr:rowOff>
        </xdr:to>
        <xdr:sp macro="" textlink="">
          <xdr:nvSpPr>
            <xdr:cNvPr id="7244" name="Button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3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2</xdr:row>
          <xdr:rowOff>28575</xdr:rowOff>
        </xdr:from>
        <xdr:to>
          <xdr:col>13</xdr:col>
          <xdr:colOff>57150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4AB9BCA7-1E01-45BF-BF17-90668DB62D31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2-11-21T18:58:21.21" personId="{4AB9BCA7-1E01-45BF-BF17-90668DB62D31}" id="{8A692AED-CFFF-4303-915A-541D21DF340F}">
    <text>Caminho para o executável do python que você deseja utilizar. Se o caminho estiver vazio o python 'default' será utilizado (ambiente base do anaconda).</text>
  </threadedComment>
  <threadedComment ref="A3" dT="2022-11-21T18:58:21.21" personId="{4AB9BCA7-1E01-45BF-BF17-90668DB62D31}" id="{BC7E1AA6-5F0D-451B-A0B9-ECFE305FB36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9FE1F-0803-4C79-B70F-CDD68FB99CDA}">
  <sheetPr codeName="aux"/>
  <dimension ref="B1:M39"/>
  <sheetViews>
    <sheetView showGridLines="0" workbookViewId="0">
      <selection activeCell="K2" sqref="K2:K34"/>
    </sheetView>
  </sheetViews>
  <sheetFormatPr defaultColWidth="8.7109375" defaultRowHeight="15" x14ac:dyDescent="0.25"/>
  <cols>
    <col min="1" max="1" width="5.42578125" style="411" customWidth="1"/>
    <col min="2" max="2" width="9.5703125" style="411" bestFit="1" customWidth="1"/>
    <col min="3" max="3" width="12.42578125" style="411" customWidth="1"/>
    <col min="4" max="4" width="13.5703125" style="411" bestFit="1" customWidth="1"/>
    <col min="5" max="5" width="9.28515625" style="411" customWidth="1"/>
    <col min="6" max="6" width="12.5703125" style="411" customWidth="1"/>
    <col min="7" max="7" width="8.7109375" style="411" bestFit="1" customWidth="1"/>
    <col min="8" max="8" width="13.28515625" style="411" customWidth="1"/>
    <col min="9" max="9" width="11.28515625" style="411" bestFit="1" customWidth="1"/>
    <col min="10" max="10" width="12.28515625" style="411" bestFit="1" customWidth="1"/>
    <col min="11" max="11" width="17" style="411" customWidth="1"/>
    <col min="12" max="16384" width="8.7109375" style="411"/>
  </cols>
  <sheetData>
    <row r="1" spans="2:13" ht="12" customHeight="1" x14ac:dyDescent="0.25">
      <c r="C1" s="412"/>
      <c r="D1" s="413"/>
      <c r="E1" s="413"/>
      <c r="F1" s="413"/>
      <c r="G1" s="413"/>
      <c r="H1" s="413"/>
    </row>
    <row r="2" spans="2:13" ht="14.45" customHeight="1" x14ac:dyDescent="0.25">
      <c r="B2" s="414" t="s">
        <v>429</v>
      </c>
      <c r="C2" s="414" t="s">
        <v>430</v>
      </c>
      <c r="D2" s="415" t="s">
        <v>431</v>
      </c>
      <c r="E2" s="416" t="s">
        <v>432</v>
      </c>
      <c r="F2" s="416" t="s">
        <v>433</v>
      </c>
      <c r="G2" s="417" t="s">
        <v>434</v>
      </c>
      <c r="H2" s="418" t="s">
        <v>435</v>
      </c>
      <c r="I2" s="419" t="s">
        <v>436</v>
      </c>
      <c r="J2" s="448" t="s">
        <v>437</v>
      </c>
      <c r="K2" s="419" t="s">
        <v>484</v>
      </c>
    </row>
    <row r="3" spans="2:13" x14ac:dyDescent="0.25">
      <c r="B3" s="420" t="s">
        <v>300</v>
      </c>
      <c r="C3" s="421" t="s">
        <v>438</v>
      </c>
      <c r="D3" s="420" t="s">
        <v>299</v>
      </c>
      <c r="E3" s="420" t="s">
        <v>395</v>
      </c>
      <c r="F3" s="420" t="s">
        <v>439</v>
      </c>
      <c r="G3" s="420" t="s">
        <v>440</v>
      </c>
      <c r="H3" s="420" t="s">
        <v>307</v>
      </c>
      <c r="I3" s="420" t="s">
        <v>301</v>
      </c>
      <c r="J3" s="441" t="s">
        <v>406</v>
      </c>
      <c r="K3" s="449" t="s">
        <v>500</v>
      </c>
      <c r="L3" s="437"/>
      <c r="M3" s="437"/>
    </row>
    <row r="4" spans="2:13" x14ac:dyDescent="0.25">
      <c r="B4" s="422" t="s">
        <v>441</v>
      </c>
      <c r="C4" s="421" t="s">
        <v>442</v>
      </c>
      <c r="D4" s="422" t="s">
        <v>443</v>
      </c>
      <c r="E4" s="422" t="s">
        <v>381</v>
      </c>
      <c r="F4" s="422" t="s">
        <v>444</v>
      </c>
      <c r="G4" s="422" t="s">
        <v>65</v>
      </c>
      <c r="H4" s="422" t="s">
        <v>94</v>
      </c>
      <c r="I4" s="422" t="s">
        <v>445</v>
      </c>
      <c r="J4" s="442" t="s">
        <v>133</v>
      </c>
      <c r="K4" s="449" t="s">
        <v>499</v>
      </c>
      <c r="L4" s="437"/>
      <c r="M4" s="437"/>
    </row>
    <row r="5" spans="2:13" x14ac:dyDescent="0.25">
      <c r="B5" s="422"/>
      <c r="C5" s="421" t="s">
        <v>309</v>
      </c>
      <c r="D5" s="422" t="s">
        <v>446</v>
      </c>
      <c r="E5" s="422" t="s">
        <v>447</v>
      </c>
      <c r="F5" s="422" t="s">
        <v>448</v>
      </c>
      <c r="G5" s="422"/>
      <c r="H5" s="422" t="s">
        <v>449</v>
      </c>
      <c r="I5" s="422" t="s">
        <v>450</v>
      </c>
      <c r="J5" s="442" t="s">
        <v>451</v>
      </c>
      <c r="K5" s="446" t="s">
        <v>502</v>
      </c>
      <c r="L5" s="437"/>
      <c r="M5" s="437"/>
    </row>
    <row r="6" spans="2:13" x14ac:dyDescent="0.25">
      <c r="B6" s="422"/>
      <c r="C6" s="423" t="s">
        <v>452</v>
      </c>
      <c r="D6" s="422" t="s">
        <v>453</v>
      </c>
      <c r="E6" s="422" t="s">
        <v>454</v>
      </c>
      <c r="F6" s="422" t="s">
        <v>341</v>
      </c>
      <c r="G6" s="422"/>
      <c r="H6" s="422" t="s">
        <v>455</v>
      </c>
      <c r="I6" s="422"/>
      <c r="J6" s="442" t="s">
        <v>456</v>
      </c>
      <c r="K6" s="445" t="s">
        <v>97</v>
      </c>
      <c r="L6" s="437"/>
      <c r="M6" s="437"/>
    </row>
    <row r="7" spans="2:13" x14ac:dyDescent="0.25">
      <c r="B7" s="422"/>
      <c r="C7" s="421" t="s">
        <v>457</v>
      </c>
      <c r="D7" s="422" t="s">
        <v>458</v>
      </c>
      <c r="E7" s="422" t="s">
        <v>459</v>
      </c>
      <c r="F7" s="422" t="s">
        <v>460</v>
      </c>
      <c r="G7" s="422"/>
      <c r="H7" s="422"/>
      <c r="I7" s="422"/>
      <c r="J7" s="442" t="s">
        <v>461</v>
      </c>
      <c r="K7" s="446" t="s">
        <v>485</v>
      </c>
      <c r="L7" s="437"/>
      <c r="M7" s="437"/>
    </row>
    <row r="8" spans="2:13" x14ac:dyDescent="0.25">
      <c r="B8" s="422"/>
      <c r="C8" s="421" t="s">
        <v>462</v>
      </c>
      <c r="D8" s="422" t="s">
        <v>463</v>
      </c>
      <c r="E8" s="422" t="s">
        <v>464</v>
      </c>
      <c r="F8" s="422" t="s">
        <v>465</v>
      </c>
      <c r="G8" s="422"/>
      <c r="H8" s="422"/>
      <c r="I8" s="422"/>
      <c r="J8" s="442"/>
      <c r="K8" s="446" t="s">
        <v>505</v>
      </c>
      <c r="L8" s="437"/>
      <c r="M8" s="437"/>
    </row>
    <row r="9" spans="2:13" x14ac:dyDescent="0.25">
      <c r="B9" s="422"/>
      <c r="C9" s="421" t="s">
        <v>466</v>
      </c>
      <c r="D9" s="422" t="s">
        <v>467</v>
      </c>
      <c r="E9" s="422" t="s">
        <v>468</v>
      </c>
      <c r="F9" s="422" t="s">
        <v>469</v>
      </c>
      <c r="G9" s="422"/>
      <c r="H9" s="422"/>
      <c r="I9" s="422"/>
      <c r="J9" s="442"/>
      <c r="K9" s="446" t="s">
        <v>503</v>
      </c>
      <c r="L9" s="437"/>
      <c r="M9" s="437"/>
    </row>
    <row r="10" spans="2:13" x14ac:dyDescent="0.25">
      <c r="B10" s="422"/>
      <c r="C10" s="421" t="s">
        <v>470</v>
      </c>
      <c r="D10" s="422" t="s">
        <v>471</v>
      </c>
      <c r="E10" s="422" t="s">
        <v>472</v>
      </c>
      <c r="F10" s="422"/>
      <c r="G10" s="422"/>
      <c r="H10" s="422"/>
      <c r="I10" s="422"/>
      <c r="J10" s="442"/>
      <c r="K10" s="446" t="s">
        <v>480</v>
      </c>
      <c r="L10" s="438"/>
      <c r="M10" s="438"/>
    </row>
    <row r="11" spans="2:13" x14ac:dyDescent="0.25">
      <c r="B11" s="422"/>
      <c r="C11" s="421" t="s">
        <v>473</v>
      </c>
      <c r="D11" s="422" t="s">
        <v>474</v>
      </c>
      <c r="E11" s="422"/>
      <c r="F11" s="422"/>
      <c r="G11" s="422"/>
      <c r="H11" s="422"/>
      <c r="I11" s="422"/>
      <c r="J11" s="442"/>
      <c r="K11" s="449" t="s">
        <v>496</v>
      </c>
      <c r="L11" s="438"/>
      <c r="M11" s="438"/>
    </row>
    <row r="12" spans="2:13" x14ac:dyDescent="0.25">
      <c r="B12" s="422"/>
      <c r="C12" s="422"/>
      <c r="D12" s="422"/>
      <c r="E12" s="422"/>
      <c r="F12" s="422"/>
      <c r="G12" s="422"/>
      <c r="H12" s="422"/>
      <c r="I12" s="422"/>
      <c r="J12" s="442"/>
      <c r="K12" s="446" t="s">
        <v>501</v>
      </c>
      <c r="L12" s="438"/>
      <c r="M12" s="438"/>
    </row>
    <row r="13" spans="2:13" x14ac:dyDescent="0.25">
      <c r="B13" s="422"/>
      <c r="C13" s="422"/>
      <c r="D13" s="422"/>
      <c r="E13" s="422"/>
      <c r="F13" s="422"/>
      <c r="G13" s="422"/>
      <c r="H13" s="422"/>
      <c r="I13" s="422"/>
      <c r="J13" s="442"/>
      <c r="K13" s="445" t="s">
        <v>95</v>
      </c>
      <c r="L13" s="438"/>
      <c r="M13" s="438"/>
    </row>
    <row r="14" spans="2:13" x14ac:dyDescent="0.25">
      <c r="B14" s="422"/>
      <c r="C14" s="421"/>
      <c r="D14" s="422"/>
      <c r="E14" s="422"/>
      <c r="F14" s="422"/>
      <c r="G14" s="422"/>
      <c r="H14" s="422"/>
      <c r="I14" s="422"/>
      <c r="J14" s="442"/>
      <c r="K14" s="445" t="s">
        <v>488</v>
      </c>
      <c r="L14" s="438"/>
      <c r="M14" s="438"/>
    </row>
    <row r="15" spans="2:13" ht="14.45" customHeight="1" x14ac:dyDescent="0.25">
      <c r="B15" s="422"/>
      <c r="C15" s="424"/>
      <c r="D15" s="424"/>
      <c r="E15" s="422"/>
      <c r="F15" s="424"/>
      <c r="G15" s="422"/>
      <c r="H15" s="424"/>
      <c r="I15" s="424"/>
      <c r="J15" s="443"/>
      <c r="K15" s="449" t="s">
        <v>492</v>
      </c>
      <c r="L15" s="438"/>
      <c r="M15" s="438"/>
    </row>
    <row r="16" spans="2:13" x14ac:dyDescent="0.25">
      <c r="B16" s="422"/>
      <c r="C16" s="422"/>
      <c r="D16" s="424"/>
      <c r="E16" s="422"/>
      <c r="F16" s="424"/>
      <c r="G16" s="422"/>
      <c r="H16" s="424"/>
      <c r="I16" s="424"/>
      <c r="J16" s="443"/>
      <c r="K16" s="446" t="s">
        <v>102</v>
      </c>
      <c r="L16" s="438"/>
      <c r="M16" s="438"/>
    </row>
    <row r="17" spans="2:13" x14ac:dyDescent="0.25">
      <c r="B17" s="422"/>
      <c r="C17" s="422"/>
      <c r="D17" s="422"/>
      <c r="E17" s="422"/>
      <c r="F17" s="422"/>
      <c r="G17" s="422"/>
      <c r="H17" s="422"/>
      <c r="I17" s="422"/>
      <c r="J17" s="442"/>
      <c r="K17" s="446" t="s">
        <v>490</v>
      </c>
      <c r="L17" s="438"/>
      <c r="M17" s="438"/>
    </row>
    <row r="18" spans="2:13" x14ac:dyDescent="0.25">
      <c r="B18" s="422"/>
      <c r="C18" s="422"/>
      <c r="D18" s="422"/>
      <c r="E18" s="422"/>
      <c r="F18" s="422"/>
      <c r="G18" s="422"/>
      <c r="H18" s="422"/>
      <c r="I18" s="422"/>
      <c r="J18" s="442"/>
      <c r="K18" s="446" t="s">
        <v>105</v>
      </c>
      <c r="L18" s="438"/>
      <c r="M18" s="438"/>
    </row>
    <row r="19" spans="2:13" x14ac:dyDescent="0.25">
      <c r="B19" s="422"/>
      <c r="C19" s="422"/>
      <c r="D19" s="422"/>
      <c r="E19" s="422"/>
      <c r="F19" s="422"/>
      <c r="G19" s="422"/>
      <c r="H19" s="422"/>
      <c r="I19" s="422"/>
      <c r="J19" s="442"/>
      <c r="K19" s="445" t="s">
        <v>98</v>
      </c>
      <c r="L19" s="437"/>
      <c r="M19" s="437"/>
    </row>
    <row r="20" spans="2:13" x14ac:dyDescent="0.25">
      <c r="B20" s="422"/>
      <c r="C20" s="422"/>
      <c r="D20" s="422"/>
      <c r="E20" s="422"/>
      <c r="F20" s="422"/>
      <c r="G20" s="422"/>
      <c r="H20" s="422"/>
      <c r="I20" s="422"/>
      <c r="J20" s="442"/>
      <c r="K20" s="449" t="s">
        <v>498</v>
      </c>
    </row>
    <row r="21" spans="2:13" x14ac:dyDescent="0.25">
      <c r="B21" s="422"/>
      <c r="C21" s="422"/>
      <c r="D21" s="422"/>
      <c r="E21" s="422"/>
      <c r="F21" s="422"/>
      <c r="G21" s="422"/>
      <c r="H21" s="422"/>
      <c r="I21" s="422"/>
      <c r="J21" s="442"/>
      <c r="K21" s="449" t="s">
        <v>493</v>
      </c>
    </row>
    <row r="22" spans="2:13" x14ac:dyDescent="0.25">
      <c r="B22" s="422"/>
      <c r="C22" s="422"/>
      <c r="D22" s="422"/>
      <c r="E22" s="422"/>
      <c r="F22" s="422"/>
      <c r="G22" s="422"/>
      <c r="H22" s="422"/>
      <c r="I22" s="422"/>
      <c r="J22" s="442"/>
      <c r="K22" s="446" t="s">
        <v>100</v>
      </c>
    </row>
    <row r="23" spans="2:13" x14ac:dyDescent="0.25">
      <c r="B23" s="422"/>
      <c r="C23" s="422"/>
      <c r="D23" s="422"/>
      <c r="E23" s="422"/>
      <c r="F23" s="422"/>
      <c r="G23" s="422"/>
      <c r="H23" s="422"/>
      <c r="I23" s="422"/>
      <c r="J23" s="442"/>
      <c r="K23" s="445" t="s">
        <v>487</v>
      </c>
    </row>
    <row r="24" spans="2:13" x14ac:dyDescent="0.25">
      <c r="B24" s="422"/>
      <c r="C24" s="422"/>
      <c r="D24" s="422"/>
      <c r="E24" s="422"/>
      <c r="F24" s="422"/>
      <c r="G24" s="422"/>
      <c r="H24" s="422"/>
      <c r="I24" s="422"/>
      <c r="J24" s="442"/>
      <c r="K24" s="446" t="s">
        <v>104</v>
      </c>
    </row>
    <row r="25" spans="2:13" x14ac:dyDescent="0.25">
      <c r="B25" s="422"/>
      <c r="C25" s="422"/>
      <c r="D25" s="422"/>
      <c r="E25" s="422"/>
      <c r="F25" s="422"/>
      <c r="G25" s="422"/>
      <c r="H25" s="422"/>
      <c r="I25" s="422"/>
      <c r="J25" s="442"/>
      <c r="K25" s="449" t="s">
        <v>495</v>
      </c>
    </row>
    <row r="26" spans="2:13" x14ac:dyDescent="0.25">
      <c r="B26" s="422"/>
      <c r="C26" s="422"/>
      <c r="D26" s="422"/>
      <c r="E26" s="422"/>
      <c r="F26" s="422"/>
      <c r="G26" s="422"/>
      <c r="H26" s="422"/>
      <c r="I26" s="422"/>
      <c r="J26" s="442"/>
      <c r="K26" s="449" t="s">
        <v>494</v>
      </c>
    </row>
    <row r="27" spans="2:13" x14ac:dyDescent="0.25">
      <c r="B27" s="422"/>
      <c r="C27" s="422"/>
      <c r="D27" s="422"/>
      <c r="E27" s="422"/>
      <c r="F27" s="422"/>
      <c r="G27" s="422"/>
      <c r="H27" s="422"/>
      <c r="I27" s="422"/>
      <c r="J27" s="442"/>
      <c r="K27" s="445" t="s">
        <v>491</v>
      </c>
    </row>
    <row r="28" spans="2:13" x14ac:dyDescent="0.25">
      <c r="B28" s="422"/>
      <c r="C28" s="422"/>
      <c r="D28" s="422"/>
      <c r="E28" s="422"/>
      <c r="F28" s="422"/>
      <c r="G28" s="422"/>
      <c r="H28" s="422"/>
      <c r="I28" s="422"/>
      <c r="J28" s="442"/>
      <c r="K28" s="446" t="s">
        <v>99</v>
      </c>
    </row>
    <row r="29" spans="2:13" x14ac:dyDescent="0.25">
      <c r="B29" s="422"/>
      <c r="C29" s="422"/>
      <c r="D29" s="422"/>
      <c r="E29" s="422"/>
      <c r="F29" s="422"/>
      <c r="G29" s="422"/>
      <c r="H29" s="422"/>
      <c r="I29" s="422"/>
      <c r="J29" s="442"/>
      <c r="K29" s="445" t="s">
        <v>96</v>
      </c>
    </row>
    <row r="30" spans="2:13" x14ac:dyDescent="0.25">
      <c r="B30" s="422"/>
      <c r="C30" s="422"/>
      <c r="D30" s="422"/>
      <c r="E30" s="422"/>
      <c r="F30" s="422"/>
      <c r="G30" s="422"/>
      <c r="H30" s="422"/>
      <c r="I30" s="422"/>
      <c r="J30" s="442"/>
      <c r="K30" s="445" t="s">
        <v>489</v>
      </c>
    </row>
    <row r="31" spans="2:13" x14ac:dyDescent="0.25">
      <c r="B31" s="422"/>
      <c r="C31" s="422"/>
      <c r="D31" s="422"/>
      <c r="E31" s="422"/>
      <c r="F31" s="422"/>
      <c r="G31" s="422"/>
      <c r="H31" s="422"/>
      <c r="I31" s="422"/>
      <c r="J31" s="442"/>
      <c r="K31" s="446" t="s">
        <v>504</v>
      </c>
    </row>
    <row r="32" spans="2:13" x14ac:dyDescent="0.25">
      <c r="B32" s="422"/>
      <c r="C32" s="422"/>
      <c r="D32" s="422"/>
      <c r="E32" s="422"/>
      <c r="F32" s="422"/>
      <c r="G32" s="422"/>
      <c r="H32" s="422"/>
      <c r="I32" s="422"/>
      <c r="J32" s="442"/>
      <c r="K32" s="446" t="s">
        <v>506</v>
      </c>
    </row>
    <row r="33" spans="2:11" x14ac:dyDescent="0.25">
      <c r="B33" s="422"/>
      <c r="C33" s="422"/>
      <c r="D33" s="422"/>
      <c r="E33" s="422"/>
      <c r="F33" s="422"/>
      <c r="G33" s="422"/>
      <c r="H33" s="422"/>
      <c r="I33" s="422"/>
      <c r="J33" s="442"/>
      <c r="K33" s="449" t="s">
        <v>497</v>
      </c>
    </row>
    <row r="34" spans="2:11" x14ac:dyDescent="0.25">
      <c r="B34" s="425"/>
      <c r="C34" s="425"/>
      <c r="D34" s="425"/>
      <c r="E34" s="425"/>
      <c r="F34" s="425"/>
      <c r="G34" s="425"/>
      <c r="H34" s="425"/>
      <c r="I34" s="425"/>
      <c r="J34" s="444"/>
      <c r="K34" s="447" t="s">
        <v>486</v>
      </c>
    </row>
    <row r="35" spans="2:11" x14ac:dyDescent="0.25">
      <c r="K35" s="438"/>
    </row>
    <row r="36" spans="2:11" ht="14.45" customHeight="1" x14ac:dyDescent="0.25">
      <c r="C36" s="505"/>
      <c r="D36" s="426"/>
      <c r="E36" s="427"/>
      <c r="F36" s="427"/>
      <c r="H36" s="427"/>
      <c r="K36" s="438"/>
    </row>
    <row r="37" spans="2:11" x14ac:dyDescent="0.25">
      <c r="C37" s="505"/>
      <c r="D37" s="426"/>
      <c r="H37" s="427"/>
      <c r="K37" s="438"/>
    </row>
    <row r="38" spans="2:11" x14ac:dyDescent="0.25">
      <c r="F38" s="428"/>
      <c r="K38" s="438"/>
    </row>
    <row r="39" spans="2:11" x14ac:dyDescent="0.25">
      <c r="K39" s="437"/>
    </row>
  </sheetData>
  <autoFilter ref="K2:K34" xr:uid="{C4A9FE1F-0803-4C79-B70F-CDD68FB99CDA}"/>
  <sortState xmlns:xlrd2="http://schemas.microsoft.com/office/spreadsheetml/2017/richdata2" ref="K3:K34">
    <sortCondition ref="K34"/>
  </sortState>
  <mergeCells count="1">
    <mergeCell ref="C36:C3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Z175"/>
  <sheetViews>
    <sheetView zoomScaleNormal="100" workbookViewId="0">
      <selection activeCell="AN9" sqref="AN9"/>
    </sheetView>
  </sheetViews>
  <sheetFormatPr defaultRowHeight="15" x14ac:dyDescent="0.25"/>
  <cols>
    <col min="1" max="1" width="3.5703125" customWidth="1"/>
    <col min="2" max="2" width="2.5703125" customWidth="1"/>
    <col min="3" max="17" width="3.140625" customWidth="1"/>
    <col min="18" max="18" width="4.5703125" customWidth="1"/>
    <col min="19" max="19" width="0.85546875" customWidth="1"/>
    <col min="20" max="37" width="3.140625" customWidth="1"/>
    <col min="38" max="38" width="0" hidden="1" customWidth="1"/>
    <col min="39" max="39" width="0.85546875" customWidth="1"/>
    <col min="40" max="40" width="13.5703125" customWidth="1"/>
    <col min="41" max="41" width="2.5703125" customWidth="1"/>
    <col min="42" max="42" width="18.140625" customWidth="1"/>
    <col min="45" max="45" width="12" bestFit="1" customWidth="1"/>
    <col min="46" max="46" width="13.28515625" customWidth="1"/>
  </cols>
  <sheetData>
    <row r="1" spans="1:50" x14ac:dyDescent="0.25">
      <c r="A1" s="389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2"/>
      <c r="AN1" s="402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customHeight="1" x14ac:dyDescent="0.3">
      <c r="A2" s="506" t="s">
        <v>428</v>
      </c>
      <c r="B2" s="507"/>
      <c r="C2" s="507"/>
      <c r="D2" s="508"/>
      <c r="E2" s="508"/>
      <c r="F2" s="508"/>
      <c r="G2" s="508"/>
      <c r="H2" s="508"/>
      <c r="I2" s="508"/>
      <c r="J2" s="508"/>
      <c r="K2" s="508"/>
      <c r="L2" s="508"/>
      <c r="M2" s="178"/>
      <c r="N2" s="178"/>
      <c r="O2" s="178"/>
      <c r="P2" s="178"/>
      <c r="Q2" s="178"/>
      <c r="R2" s="179"/>
      <c r="S2" s="12" t="s">
        <v>3</v>
      </c>
      <c r="T2" s="12"/>
      <c r="U2" s="12"/>
      <c r="V2" s="11"/>
      <c r="W2" s="12"/>
      <c r="X2" s="12"/>
      <c r="Y2" s="12"/>
      <c r="Z2" s="13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9"/>
      <c r="AM2" s="380"/>
      <c r="AN2" s="402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506" t="s">
        <v>517</v>
      </c>
      <c r="B3" s="507"/>
      <c r="C3" s="507"/>
      <c r="D3" s="508"/>
      <c r="E3" s="508"/>
      <c r="F3" s="508"/>
      <c r="G3" s="508"/>
      <c r="H3" s="508"/>
      <c r="I3" s="508"/>
      <c r="J3" s="508"/>
      <c r="K3" s="508"/>
      <c r="L3" s="508"/>
      <c r="M3" s="401"/>
      <c r="N3" s="401"/>
      <c r="O3" s="15"/>
      <c r="P3" s="15"/>
      <c r="Q3" s="15"/>
      <c r="R3" s="16"/>
      <c r="S3" s="12" t="s">
        <v>4</v>
      </c>
      <c r="T3" s="12"/>
      <c r="U3" s="12"/>
      <c r="V3" s="12"/>
      <c r="W3" s="12"/>
      <c r="X3" s="12"/>
      <c r="Y3" s="11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9"/>
      <c r="AM3" s="9"/>
      <c r="AN3" s="402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46" t="s">
        <v>5</v>
      </c>
      <c r="B4" s="547"/>
      <c r="C4" s="547"/>
      <c r="D4" s="547"/>
      <c r="E4" s="547"/>
      <c r="F4" s="547"/>
      <c r="G4" s="547"/>
      <c r="H4" s="547"/>
      <c r="I4" s="547"/>
      <c r="J4" s="547"/>
      <c r="K4" s="547"/>
      <c r="L4" s="547"/>
      <c r="M4" s="547"/>
      <c r="N4" s="547"/>
      <c r="O4" s="178"/>
      <c r="P4" s="178"/>
      <c r="Q4" s="178"/>
      <c r="R4" s="179"/>
      <c r="S4" s="12" t="s">
        <v>6</v>
      </c>
      <c r="T4" s="12"/>
      <c r="U4" s="12"/>
      <c r="V4" s="12"/>
      <c r="W4" s="11"/>
      <c r="X4" s="17"/>
      <c r="Y4" s="17"/>
      <c r="Z4" s="17"/>
      <c r="AA4" s="17"/>
      <c r="AB4" s="18" t="s">
        <v>7</v>
      </c>
      <c r="AC4" s="18"/>
      <c r="AD4" s="573"/>
      <c r="AE4" s="573"/>
      <c r="AF4" s="573"/>
      <c r="AG4" s="573"/>
      <c r="AH4" s="573"/>
      <c r="AI4" s="573"/>
      <c r="AJ4" s="573"/>
      <c r="AK4" s="573"/>
      <c r="AL4" s="9"/>
      <c r="AM4" s="9"/>
      <c r="AN4" s="402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48" t="s">
        <v>8</v>
      </c>
      <c r="B5" s="549"/>
      <c r="C5" s="549"/>
      <c r="D5" s="549"/>
      <c r="E5" s="549"/>
      <c r="F5" s="549"/>
      <c r="G5" s="549"/>
      <c r="H5" s="549"/>
      <c r="I5" s="549"/>
      <c r="J5" s="549"/>
      <c r="K5" s="549"/>
      <c r="L5" s="549"/>
      <c r="M5" s="549"/>
      <c r="N5" s="390"/>
      <c r="O5" s="178"/>
      <c r="P5" s="178"/>
      <c r="Q5" s="178"/>
      <c r="R5" s="179"/>
      <c r="S5" s="12" t="s">
        <v>9</v>
      </c>
      <c r="T5" s="12"/>
      <c r="U5" s="12"/>
      <c r="V5" s="180" t="s">
        <v>10</v>
      </c>
      <c r="W5" s="17"/>
      <c r="X5" s="28" t="s">
        <v>11</v>
      </c>
      <c r="Y5" s="28"/>
      <c r="Z5" s="19">
        <v>7</v>
      </c>
      <c r="AA5" s="14"/>
      <c r="AB5" s="18" t="s">
        <v>12</v>
      </c>
      <c r="AC5" s="17"/>
      <c r="AD5" s="17"/>
      <c r="AE5" s="17"/>
      <c r="AF5" s="17"/>
      <c r="AG5" s="17"/>
      <c r="AH5" s="17"/>
      <c r="AI5" s="17"/>
      <c r="AJ5" s="17"/>
      <c r="AK5" s="17"/>
      <c r="AL5" s="9"/>
      <c r="AM5" s="9"/>
      <c r="AN5" s="402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583" t="s">
        <v>279</v>
      </c>
      <c r="B6" s="584"/>
      <c r="C6" s="584"/>
      <c r="D6" s="584"/>
      <c r="E6" s="584"/>
      <c r="F6" s="584"/>
      <c r="G6" s="584"/>
      <c r="H6" s="584"/>
      <c r="I6" s="584"/>
      <c r="J6" s="584"/>
      <c r="K6" s="584"/>
      <c r="L6" s="584"/>
      <c r="M6" s="584"/>
      <c r="N6" s="391"/>
      <c r="O6" s="181"/>
      <c r="P6" s="181"/>
      <c r="Q6" s="181"/>
      <c r="R6" s="182"/>
      <c r="S6" s="20" t="s">
        <v>1</v>
      </c>
      <c r="T6" s="20" t="s">
        <v>1</v>
      </c>
      <c r="U6" s="20" t="s">
        <v>1</v>
      </c>
      <c r="V6" s="20" t="s">
        <v>1</v>
      </c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15"/>
      <c r="AM6" s="15"/>
      <c r="AN6" s="402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2">
        <v>1</v>
      </c>
      <c r="B7" s="4" t="s">
        <v>13</v>
      </c>
      <c r="C7" s="5"/>
      <c r="D7" s="5"/>
      <c r="E7" s="5"/>
      <c r="F7" s="5"/>
      <c r="G7" s="23"/>
      <c r="H7" s="5" t="s">
        <v>14</v>
      </c>
      <c r="I7" s="5"/>
      <c r="J7" s="5"/>
      <c r="K7" s="5"/>
      <c r="L7" s="23"/>
      <c r="M7" s="5" t="s">
        <v>15</v>
      </c>
      <c r="N7" s="5"/>
      <c r="O7" s="5"/>
      <c r="P7" s="5"/>
      <c r="Q7" s="24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5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6">
        <f t="shared" ref="A8:A53" si="0">A7+1</f>
        <v>2</v>
      </c>
      <c r="B8" s="27" t="s">
        <v>17</v>
      </c>
      <c r="C8" s="12"/>
      <c r="D8" s="28"/>
      <c r="E8" s="574"/>
      <c r="F8" s="574"/>
      <c r="G8" s="574"/>
      <c r="H8" s="574"/>
      <c r="I8" s="574"/>
      <c r="J8" s="574"/>
      <c r="K8" s="574"/>
      <c r="L8" s="574"/>
      <c r="M8" s="574"/>
      <c r="N8" s="574"/>
      <c r="O8" s="574"/>
      <c r="P8" s="574"/>
      <c r="Q8" s="574"/>
      <c r="R8" s="574"/>
      <c r="S8" s="574"/>
      <c r="T8" s="574"/>
      <c r="U8" s="28"/>
      <c r="V8" s="12" t="s">
        <v>18</v>
      </c>
      <c r="W8" s="12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2"/>
      <c r="AM8" s="29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6">
        <f t="shared" si="0"/>
        <v>3</v>
      </c>
      <c r="B9" s="27" t="s">
        <v>19</v>
      </c>
      <c r="C9" s="12"/>
      <c r="D9" s="11"/>
      <c r="E9" s="573"/>
      <c r="F9" s="573"/>
      <c r="G9" s="573"/>
      <c r="H9" s="573"/>
      <c r="I9" s="573"/>
      <c r="J9" s="573"/>
      <c r="K9" s="573"/>
      <c r="L9" s="573"/>
      <c r="M9" s="573"/>
      <c r="N9" s="573"/>
      <c r="O9" s="573"/>
      <c r="P9" s="573"/>
      <c r="Q9" s="573"/>
      <c r="R9" s="573"/>
      <c r="S9" s="573"/>
      <c r="T9" s="573"/>
      <c r="U9" s="11"/>
      <c r="V9" s="12" t="s">
        <v>20</v>
      </c>
      <c r="W9" s="12"/>
      <c r="X9" s="12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2"/>
      <c r="AM9" s="29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6">
        <f t="shared" si="0"/>
        <v>4</v>
      </c>
      <c r="B10" s="27" t="s">
        <v>21</v>
      </c>
      <c r="C10" s="12"/>
      <c r="D10" s="12"/>
      <c r="E10" s="573"/>
      <c r="F10" s="573"/>
      <c r="G10" s="573"/>
      <c r="H10" s="573"/>
      <c r="I10" s="573"/>
      <c r="J10" s="573"/>
      <c r="K10" s="573"/>
      <c r="L10" s="573"/>
      <c r="M10" s="573"/>
      <c r="N10" s="573"/>
      <c r="O10" s="573"/>
      <c r="P10" s="573"/>
      <c r="Q10" s="573"/>
      <c r="R10" s="573"/>
      <c r="S10" s="573"/>
      <c r="T10" s="573"/>
      <c r="U10" s="11"/>
      <c r="V10" s="12" t="s">
        <v>22</v>
      </c>
      <c r="W10" s="12"/>
      <c r="X10" s="12"/>
      <c r="Y10" s="12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2"/>
      <c r="AM10" s="29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6">
        <f t="shared" si="0"/>
        <v>5</v>
      </c>
      <c r="B11" s="27" t="s">
        <v>23</v>
      </c>
      <c r="C11" s="12"/>
      <c r="D11" s="12"/>
      <c r="E11" s="30"/>
      <c r="F11" s="31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2"/>
      <c r="V11" s="12" t="s">
        <v>24</v>
      </c>
      <c r="W11" s="12"/>
      <c r="X11" s="12"/>
      <c r="Y11" s="12"/>
      <c r="Z11" s="12"/>
      <c r="AA11" s="11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2"/>
      <c r="AM11" s="29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6">
        <f t="shared" si="0"/>
        <v>6</v>
      </c>
      <c r="B12" s="12" t="s">
        <v>25</v>
      </c>
      <c r="C12" s="12"/>
      <c r="D12" s="12"/>
      <c r="E12" s="12"/>
      <c r="F12" s="12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1"/>
      <c r="V12" s="11" t="s">
        <v>26</v>
      </c>
      <c r="W12" s="12"/>
      <c r="X12" s="12"/>
      <c r="Y12" s="12"/>
      <c r="Z12" s="12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2"/>
      <c r="AM12" s="29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6">
        <f t="shared" si="0"/>
        <v>7</v>
      </c>
      <c r="B13" s="27"/>
      <c r="C13" s="12"/>
      <c r="D13" s="12"/>
      <c r="E13" s="12"/>
      <c r="F13" s="12"/>
      <c r="G13" s="11"/>
      <c r="H13" s="11"/>
      <c r="I13" s="11"/>
      <c r="J13" s="11"/>
      <c r="K13" s="11"/>
      <c r="L13" s="12"/>
      <c r="M13" s="12"/>
      <c r="N13" s="12"/>
      <c r="O13" s="11"/>
      <c r="P13" s="11"/>
      <c r="Q13" s="11"/>
      <c r="R13" s="11"/>
      <c r="S13" s="11"/>
      <c r="T13" s="11"/>
      <c r="U13" s="11"/>
      <c r="V13" s="12"/>
      <c r="W13" s="12"/>
      <c r="X13" s="12"/>
      <c r="Y13" s="12"/>
      <c r="Z13" s="12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2"/>
      <c r="AM13" s="29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6">
        <f t="shared" si="0"/>
        <v>8</v>
      </c>
      <c r="B14" s="27" t="s">
        <v>27</v>
      </c>
      <c r="C14" s="12"/>
      <c r="D14" s="12"/>
      <c r="E14" s="12"/>
      <c r="F14" s="12"/>
      <c r="G14" s="12"/>
      <c r="H14" s="12"/>
      <c r="I14" s="12"/>
      <c r="J14" s="12"/>
      <c r="K14" s="12"/>
      <c r="L14" s="12" t="s">
        <v>28</v>
      </c>
      <c r="M14" s="12"/>
      <c r="N14" s="12"/>
      <c r="O14" s="12"/>
      <c r="P14" s="12"/>
      <c r="Q14" s="12"/>
      <c r="R14" s="12" t="s">
        <v>29</v>
      </c>
      <c r="S14" s="12"/>
      <c r="T14" s="12"/>
      <c r="U14" s="12"/>
      <c r="V14" s="12"/>
      <c r="W14" s="30"/>
      <c r="X14" s="9"/>
      <c r="Y14" s="12"/>
      <c r="Z14" s="12" t="s">
        <v>30</v>
      </c>
      <c r="AA14" s="12"/>
      <c r="AB14" s="12"/>
      <c r="AC14" s="12"/>
      <c r="AD14" s="12"/>
      <c r="AE14" s="9"/>
      <c r="AF14" s="12"/>
      <c r="AG14" s="12"/>
      <c r="AH14" s="12"/>
      <c r="AI14" s="12"/>
      <c r="AJ14" s="12"/>
      <c r="AK14" s="12"/>
      <c r="AL14" s="12"/>
      <c r="AM14" s="29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6">
        <f t="shared" si="0"/>
        <v>9</v>
      </c>
      <c r="B15" s="558" t="s">
        <v>31</v>
      </c>
      <c r="C15" s="559"/>
      <c r="D15" s="559"/>
      <c r="E15" s="559"/>
      <c r="F15" s="559"/>
      <c r="G15" s="559"/>
      <c r="H15" s="559"/>
      <c r="I15" s="559"/>
      <c r="J15" s="559"/>
      <c r="K15" s="559"/>
      <c r="L15" s="559"/>
      <c r="M15" s="559"/>
      <c r="N15" s="559"/>
      <c r="O15" s="559"/>
      <c r="P15" s="559"/>
      <c r="Q15" s="559"/>
      <c r="R15" s="559"/>
      <c r="S15" s="559"/>
      <c r="T15" s="559"/>
      <c r="U15" s="559"/>
      <c r="V15" s="559"/>
      <c r="W15" s="559"/>
      <c r="X15" s="559"/>
      <c r="Y15" s="559"/>
      <c r="Z15" s="559"/>
      <c r="AA15" s="559"/>
      <c r="AB15" s="559"/>
      <c r="AC15" s="559"/>
      <c r="AD15" s="559"/>
      <c r="AE15" s="559"/>
      <c r="AF15" s="559"/>
      <c r="AG15" s="559"/>
      <c r="AH15" s="559"/>
      <c r="AI15" s="559"/>
      <c r="AJ15" s="559"/>
      <c r="AK15" s="559"/>
      <c r="AL15" s="559"/>
      <c r="AM15" s="560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6">
        <f t="shared" si="0"/>
        <v>10</v>
      </c>
      <c r="B16" s="575" t="s">
        <v>32</v>
      </c>
      <c r="C16" s="576"/>
      <c r="D16" s="576"/>
      <c r="E16" s="576"/>
      <c r="F16" s="576"/>
      <c r="G16" s="576"/>
      <c r="H16" s="576"/>
      <c r="I16" s="576"/>
      <c r="J16" s="576"/>
      <c r="K16" s="576"/>
      <c r="L16" s="576"/>
      <c r="M16" s="576"/>
      <c r="N16" s="576"/>
      <c r="O16" s="576"/>
      <c r="P16" s="576"/>
      <c r="Q16" s="576"/>
      <c r="R16" s="576"/>
      <c r="S16" s="12"/>
      <c r="T16" s="558" t="s">
        <v>33</v>
      </c>
      <c r="U16" s="559"/>
      <c r="V16" s="559"/>
      <c r="W16" s="559"/>
      <c r="X16" s="559"/>
      <c r="Y16" s="560"/>
      <c r="Z16" s="558" t="s">
        <v>34</v>
      </c>
      <c r="AA16" s="559"/>
      <c r="AB16" s="559"/>
      <c r="AC16" s="559"/>
      <c r="AD16" s="559"/>
      <c r="AE16" s="559"/>
      <c r="AF16" s="559"/>
      <c r="AG16" s="559"/>
      <c r="AH16" s="559"/>
      <c r="AI16" s="559"/>
      <c r="AJ16" s="559"/>
      <c r="AK16" s="559"/>
      <c r="AL16" s="559"/>
      <c r="AM16" s="560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6">
        <f t="shared" si="0"/>
        <v>11</v>
      </c>
      <c r="B17" s="183"/>
      <c r="C17" s="184"/>
      <c r="D17" s="184"/>
      <c r="E17" s="184"/>
      <c r="F17" s="184"/>
      <c r="G17" s="184"/>
      <c r="H17" s="184"/>
      <c r="I17" s="184"/>
      <c r="J17" s="184"/>
      <c r="K17" s="184"/>
      <c r="L17" s="184"/>
      <c r="M17" s="184"/>
      <c r="N17" s="184"/>
      <c r="O17" s="184"/>
      <c r="P17" s="184"/>
      <c r="Q17" s="184"/>
      <c r="R17" s="184"/>
      <c r="S17" s="12"/>
      <c r="T17" s="558" t="s">
        <v>35</v>
      </c>
      <c r="U17" s="559"/>
      <c r="V17" s="560"/>
      <c r="W17" s="558"/>
      <c r="X17" s="559"/>
      <c r="Y17" s="560"/>
      <c r="Z17" s="558" t="s">
        <v>36</v>
      </c>
      <c r="AA17" s="559"/>
      <c r="AB17" s="560"/>
      <c r="AC17" s="558" t="s">
        <v>36</v>
      </c>
      <c r="AD17" s="559"/>
      <c r="AE17" s="560"/>
      <c r="AF17" s="558" t="s">
        <v>35</v>
      </c>
      <c r="AG17" s="559"/>
      <c r="AH17" s="560"/>
      <c r="AI17" s="558" t="s">
        <v>36</v>
      </c>
      <c r="AJ17" s="559"/>
      <c r="AK17" s="559"/>
      <c r="AL17" s="559"/>
      <c r="AM17" s="560"/>
      <c r="AN17" s="10"/>
      <c r="AO17" s="9"/>
      <c r="AP17" s="9"/>
      <c r="AQ17" s="46"/>
      <c r="AR17" s="46"/>
      <c r="AS17" s="46"/>
      <c r="AT17" s="9"/>
      <c r="AU17" s="9"/>
      <c r="AV17" s="9"/>
      <c r="AW17" s="9"/>
      <c r="AX17" s="9"/>
    </row>
    <row r="18" spans="1:50" x14ac:dyDescent="0.25">
      <c r="A18" s="26">
        <f t="shared" si="0"/>
        <v>12</v>
      </c>
      <c r="B18" s="32"/>
      <c r="C18" s="12"/>
      <c r="D18" s="12"/>
      <c r="E18" s="12"/>
      <c r="F18" s="12"/>
      <c r="G18" s="12"/>
      <c r="H18" s="12"/>
      <c r="I18" s="12"/>
      <c r="J18" s="12"/>
      <c r="K18" s="14"/>
      <c r="L18" s="14"/>
      <c r="M18" s="12"/>
      <c r="N18" s="12"/>
      <c r="O18" s="12"/>
      <c r="P18" s="11"/>
      <c r="Q18" s="12"/>
      <c r="R18" s="12"/>
      <c r="S18" s="12"/>
      <c r="T18" s="33"/>
      <c r="U18" s="34"/>
      <c r="V18" s="35"/>
      <c r="W18" s="34"/>
      <c r="X18" s="34"/>
      <c r="Y18" s="34"/>
      <c r="Z18" s="41"/>
      <c r="AA18" s="40"/>
      <c r="AB18" s="42"/>
      <c r="AC18" s="34"/>
      <c r="AD18" s="34"/>
      <c r="AE18" s="35"/>
      <c r="AF18" s="11"/>
      <c r="AG18" s="11"/>
      <c r="AH18" s="11"/>
      <c r="AI18" s="36"/>
      <c r="AJ18" s="11"/>
      <c r="AK18" s="11"/>
      <c r="AL18" s="9"/>
      <c r="AM18" s="37"/>
      <c r="AN18" s="10"/>
      <c r="AO18" s="9"/>
      <c r="AP18" s="9"/>
      <c r="AQ18" s="46"/>
      <c r="AR18" s="46"/>
      <c r="AS18" s="46"/>
      <c r="AT18" s="9"/>
      <c r="AU18" s="9"/>
      <c r="AV18" s="9"/>
      <c r="AW18" s="9"/>
      <c r="AX18" s="9"/>
    </row>
    <row r="19" spans="1:50" x14ac:dyDescent="0.25">
      <c r="A19" s="26">
        <f t="shared" si="0"/>
        <v>13</v>
      </c>
      <c r="B19" s="12"/>
      <c r="C19" s="12" t="s">
        <v>37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33"/>
      <c r="U19" s="34"/>
      <c r="V19" s="35"/>
      <c r="W19" s="34"/>
      <c r="X19" s="34"/>
      <c r="Y19" s="35"/>
      <c r="Z19" s="34"/>
      <c r="AA19" s="34"/>
      <c r="AB19" s="35"/>
      <c r="AC19" s="34"/>
      <c r="AD19" s="34"/>
      <c r="AE19" s="34"/>
      <c r="AF19" s="41"/>
      <c r="AG19" s="40"/>
      <c r="AH19" s="40"/>
      <c r="AI19" s="41"/>
      <c r="AJ19" s="40"/>
      <c r="AK19" s="40"/>
      <c r="AL19" s="50"/>
      <c r="AM19" s="42"/>
      <c r="AN19" s="10"/>
      <c r="AO19" s="9"/>
      <c r="AP19" s="9"/>
      <c r="AQ19" s="46"/>
      <c r="AR19" s="46"/>
      <c r="AS19" s="46"/>
      <c r="AT19" s="9"/>
      <c r="AU19" s="9"/>
      <c r="AV19" s="9"/>
      <c r="AW19" s="9"/>
      <c r="AX19" s="9"/>
    </row>
    <row r="20" spans="1:50" x14ac:dyDescent="0.25">
      <c r="A20" s="26">
        <f t="shared" si="0"/>
        <v>14</v>
      </c>
      <c r="B20" s="32"/>
      <c r="C20" s="12" t="s">
        <v>280</v>
      </c>
      <c r="D20" s="12"/>
      <c r="E20" s="12"/>
      <c r="F20" s="12"/>
      <c r="G20" s="12"/>
      <c r="H20" s="12"/>
      <c r="I20" s="12"/>
      <c r="J20" s="12"/>
      <c r="K20" s="11"/>
      <c r="L20" s="12"/>
      <c r="M20" s="12"/>
      <c r="N20" s="12"/>
      <c r="O20" s="12"/>
      <c r="P20" s="12"/>
      <c r="Q20" s="12"/>
      <c r="R20" s="12"/>
      <c r="S20" s="12"/>
      <c r="T20" s="333"/>
      <c r="U20" s="334"/>
      <c r="V20" s="335"/>
      <c r="W20" s="555"/>
      <c r="X20" s="556"/>
      <c r="Y20" s="557"/>
      <c r="Z20" s="334"/>
      <c r="AA20" s="334"/>
      <c r="AB20" s="335"/>
      <c r="AC20" s="34"/>
      <c r="AD20" s="34"/>
      <c r="AE20" s="35"/>
      <c r="AF20" s="34"/>
      <c r="AG20" s="34"/>
      <c r="AH20" s="34"/>
      <c r="AI20" s="33"/>
      <c r="AJ20" s="34"/>
      <c r="AK20" s="34"/>
      <c r="AL20" s="9"/>
      <c r="AM20" s="35"/>
      <c r="AN20" s="10"/>
      <c r="AO20" s="9"/>
      <c r="AP20" s="9"/>
      <c r="AQ20" s="529"/>
      <c r="AR20" s="529"/>
      <c r="AS20" s="46"/>
      <c r="AT20" s="9"/>
      <c r="AU20" s="9"/>
      <c r="AV20" s="9"/>
      <c r="AW20" s="9"/>
      <c r="AX20" s="9"/>
    </row>
    <row r="21" spans="1:50" x14ac:dyDescent="0.25">
      <c r="A21" s="26">
        <f t="shared" si="0"/>
        <v>15</v>
      </c>
      <c r="B21" s="32"/>
      <c r="C21" s="12" t="s">
        <v>38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577">
        <v>107400</v>
      </c>
      <c r="U21" s="578"/>
      <c r="V21" s="579"/>
      <c r="W21" s="555"/>
      <c r="X21" s="556"/>
      <c r="Y21" s="557"/>
      <c r="Z21" s="577">
        <v>117466</v>
      </c>
      <c r="AA21" s="578"/>
      <c r="AB21" s="579"/>
      <c r="AC21" s="580"/>
      <c r="AD21" s="581"/>
      <c r="AE21" s="582"/>
      <c r="AF21" s="34"/>
      <c r="AG21" s="34"/>
      <c r="AH21" s="34"/>
      <c r="AI21" s="33"/>
      <c r="AJ21" s="34"/>
      <c r="AK21" s="34"/>
      <c r="AL21" s="9"/>
      <c r="AM21" s="35"/>
      <c r="AN21" s="10"/>
      <c r="AO21" s="9"/>
      <c r="AP21" s="9"/>
      <c r="AQ21" s="46"/>
      <c r="AR21" s="46"/>
      <c r="AS21" s="46"/>
      <c r="AT21" s="9"/>
      <c r="AU21" s="9"/>
      <c r="AV21" s="9"/>
      <c r="AW21" s="9"/>
      <c r="AX21" s="9"/>
    </row>
    <row r="22" spans="1:50" ht="15.75" thickBot="1" x14ac:dyDescent="0.3">
      <c r="A22" s="26">
        <f t="shared" si="0"/>
        <v>16</v>
      </c>
      <c r="B22" s="32"/>
      <c r="C22" s="38" t="s">
        <v>39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336"/>
      <c r="U22" s="337"/>
      <c r="V22" s="338"/>
      <c r="W22" s="336"/>
      <c r="X22" s="337"/>
      <c r="Y22" s="338"/>
      <c r="Z22" s="336"/>
      <c r="AA22" s="337"/>
      <c r="AB22" s="338"/>
      <c r="AC22" s="39"/>
      <c r="AD22" s="39"/>
      <c r="AE22" s="39"/>
      <c r="AF22" s="11"/>
      <c r="AG22" s="11"/>
      <c r="AH22" s="11"/>
      <c r="AI22" s="11"/>
      <c r="AJ22" s="11"/>
      <c r="AK22" s="11"/>
      <c r="AL22" s="9"/>
      <c r="AM22" s="37"/>
      <c r="AN22" s="10"/>
      <c r="AO22" s="9"/>
      <c r="AP22" s="9"/>
      <c r="AQ22" s="46"/>
      <c r="AR22" s="46"/>
      <c r="AS22" s="46"/>
      <c r="AT22" s="9"/>
      <c r="AU22" s="9"/>
      <c r="AV22" s="9"/>
      <c r="AW22" s="9"/>
      <c r="AX22" s="9"/>
    </row>
    <row r="23" spans="1:50" ht="15.75" thickBot="1" x14ac:dyDescent="0.3">
      <c r="A23" s="26">
        <f t="shared" si="0"/>
        <v>17</v>
      </c>
      <c r="B23" s="32"/>
      <c r="C23" s="12" t="s">
        <v>40</v>
      </c>
      <c r="D23" s="12"/>
      <c r="E23" s="12"/>
      <c r="F23" s="12"/>
      <c r="G23" s="12"/>
      <c r="H23" s="12"/>
      <c r="I23" s="12"/>
      <c r="J23" s="12" t="s">
        <v>414</v>
      </c>
      <c r="K23" s="12"/>
      <c r="L23" s="12"/>
      <c r="M23" s="12"/>
      <c r="N23" s="12"/>
      <c r="O23" s="12"/>
      <c r="P23" s="12"/>
      <c r="Q23" s="12"/>
      <c r="R23" s="12"/>
      <c r="S23" s="12"/>
      <c r="T23" s="533">
        <v>47.39</v>
      </c>
      <c r="U23" s="534"/>
      <c r="V23" s="535"/>
      <c r="W23" s="339"/>
      <c r="X23" s="340"/>
      <c r="Y23" s="341"/>
      <c r="Z23" s="533">
        <v>135.38</v>
      </c>
      <c r="AA23" s="534"/>
      <c r="AB23" s="535"/>
      <c r="AC23" s="538"/>
      <c r="AD23" s="539"/>
      <c r="AE23" s="540"/>
      <c r="AF23" s="40"/>
      <c r="AG23" s="40"/>
      <c r="AH23" s="40"/>
      <c r="AI23" s="41"/>
      <c r="AJ23" s="40"/>
      <c r="AK23" s="40"/>
      <c r="AL23" s="9"/>
      <c r="AM23" s="42"/>
      <c r="AN23" s="10"/>
      <c r="AO23" s="9"/>
      <c r="AP23" s="9"/>
      <c r="AQ23" s="550" t="s">
        <v>302</v>
      </c>
      <c r="AR23" s="551"/>
      <c r="AS23" s="551"/>
      <c r="AT23" s="552"/>
      <c r="AU23" s="9"/>
      <c r="AV23" s="9"/>
      <c r="AW23" s="9"/>
      <c r="AX23" s="9"/>
    </row>
    <row r="24" spans="1:50" ht="15.75" thickBot="1" x14ac:dyDescent="0.3">
      <c r="A24" s="26">
        <f t="shared" si="0"/>
        <v>18</v>
      </c>
      <c r="B24" s="32"/>
      <c r="C24" s="12" t="s">
        <v>41</v>
      </c>
      <c r="D24" s="12"/>
      <c r="E24" s="12"/>
      <c r="F24" s="12"/>
      <c r="G24" s="12"/>
      <c r="H24" s="11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533">
        <v>40</v>
      </c>
      <c r="U24" s="534"/>
      <c r="V24" s="535"/>
      <c r="W24" s="336"/>
      <c r="X24" s="337"/>
      <c r="Y24" s="338"/>
      <c r="Z24" s="533">
        <v>40</v>
      </c>
      <c r="AA24" s="534"/>
      <c r="AB24" s="535"/>
      <c r="AC24" s="538"/>
      <c r="AD24" s="539"/>
      <c r="AE24" s="540"/>
      <c r="AF24" s="40"/>
      <c r="AG24" s="40"/>
      <c r="AH24" s="40"/>
      <c r="AI24" s="41"/>
      <c r="AJ24" s="40"/>
      <c r="AK24" s="40"/>
      <c r="AL24" s="9"/>
      <c r="AM24" s="42"/>
      <c r="AN24" s="10"/>
      <c r="AO24" s="9"/>
      <c r="AP24" s="9"/>
      <c r="AQ24" s="553" t="s">
        <v>332</v>
      </c>
      <c r="AR24" s="554"/>
      <c r="AS24" s="235">
        <v>1</v>
      </c>
      <c r="AT24" s="235">
        <v>2</v>
      </c>
      <c r="AU24" s="9"/>
      <c r="AV24" s="9"/>
      <c r="AW24" s="9"/>
      <c r="AX24" s="9"/>
    </row>
    <row r="25" spans="1:50" x14ac:dyDescent="0.25">
      <c r="A25" s="26">
        <f t="shared" si="0"/>
        <v>19</v>
      </c>
      <c r="B25" s="32"/>
      <c r="C25" s="12" t="s">
        <v>42</v>
      </c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339"/>
      <c r="U25" s="340"/>
      <c r="V25" s="341"/>
      <c r="W25" s="339"/>
      <c r="X25" s="340"/>
      <c r="Y25" s="341"/>
      <c r="Z25" s="339"/>
      <c r="AA25" s="340"/>
      <c r="AB25" s="341"/>
      <c r="AC25" s="44"/>
      <c r="AD25" s="44"/>
      <c r="AE25" s="45"/>
      <c r="AF25" s="40"/>
      <c r="AG25" s="40"/>
      <c r="AH25" s="40"/>
      <c r="AI25" s="41"/>
      <c r="AJ25" s="40"/>
      <c r="AK25" s="40"/>
      <c r="AL25" s="9"/>
      <c r="AM25" s="42"/>
      <c r="AN25" s="10"/>
      <c r="AO25" s="9"/>
      <c r="AP25" s="46"/>
      <c r="AQ25" s="521" t="s">
        <v>303</v>
      </c>
      <c r="AR25" s="522"/>
      <c r="AS25" s="364">
        <v>0.65657688299185191</v>
      </c>
      <c r="AT25" s="226">
        <v>0.53394665429152144</v>
      </c>
      <c r="AU25" s="9"/>
      <c r="AV25" s="9"/>
      <c r="AW25" s="9"/>
      <c r="AX25" s="9"/>
    </row>
    <row r="26" spans="1:50" x14ac:dyDescent="0.25">
      <c r="A26" s="26">
        <f t="shared" si="0"/>
        <v>20</v>
      </c>
      <c r="B26" s="32"/>
      <c r="C26" s="12" t="s">
        <v>43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339"/>
      <c r="U26" s="340"/>
      <c r="V26" s="341"/>
      <c r="W26" s="339"/>
      <c r="X26" s="340"/>
      <c r="Y26" s="341"/>
      <c r="Z26" s="339"/>
      <c r="AA26" s="340"/>
      <c r="AB26" s="341"/>
      <c r="AC26" s="44"/>
      <c r="AD26" s="44"/>
      <c r="AE26" s="45"/>
      <c r="AF26" s="40"/>
      <c r="AG26" s="40"/>
      <c r="AH26" s="40"/>
      <c r="AI26" s="41"/>
      <c r="AJ26" s="40"/>
      <c r="AK26" s="40"/>
      <c r="AL26" s="9"/>
      <c r="AM26" s="42"/>
      <c r="AN26" s="10"/>
      <c r="AO26" s="9"/>
      <c r="AP26" s="46"/>
      <c r="AQ26" s="523" t="s">
        <v>304</v>
      </c>
      <c r="AR26" s="524"/>
      <c r="AS26" s="379">
        <v>8986326.8127629422</v>
      </c>
      <c r="AT26" s="238">
        <v>11427452.104761589</v>
      </c>
      <c r="AU26" s="46"/>
      <c r="AV26" s="46"/>
      <c r="AW26" s="9"/>
      <c r="AX26" s="9"/>
    </row>
    <row r="27" spans="1:50" ht="15.75" thickBot="1" x14ac:dyDescent="0.3">
      <c r="A27" s="26">
        <f t="shared" si="0"/>
        <v>21</v>
      </c>
      <c r="B27" s="30"/>
      <c r="C27" s="47" t="s">
        <v>281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339"/>
      <c r="U27" s="340"/>
      <c r="V27" s="341"/>
      <c r="W27" s="339"/>
      <c r="X27" s="340"/>
      <c r="Y27" s="341"/>
      <c r="Z27" s="339"/>
      <c r="AA27" s="340"/>
      <c r="AB27" s="341"/>
      <c r="AC27" s="570"/>
      <c r="AD27" s="571"/>
      <c r="AE27" s="572"/>
      <c r="AF27" s="40"/>
      <c r="AG27" s="40"/>
      <c r="AH27" s="40"/>
      <c r="AI27" s="41"/>
      <c r="AJ27" s="40"/>
      <c r="AK27" s="40"/>
      <c r="AL27" s="9"/>
      <c r="AM27" s="42"/>
      <c r="AN27" s="10"/>
      <c r="AO27" s="9"/>
      <c r="AP27" s="46"/>
      <c r="AQ27" s="525" t="s">
        <v>305</v>
      </c>
      <c r="AR27" s="526"/>
      <c r="AS27" s="368">
        <v>0.455251986743269</v>
      </c>
      <c r="AT27" s="369">
        <v>1.2874895860936066</v>
      </c>
      <c r="AU27" s="46"/>
      <c r="AV27" s="46"/>
      <c r="AW27" s="9"/>
      <c r="AX27" s="9"/>
    </row>
    <row r="28" spans="1:50" x14ac:dyDescent="0.25">
      <c r="A28" s="26">
        <f t="shared" si="0"/>
        <v>22</v>
      </c>
      <c r="B28" s="30"/>
      <c r="C28" s="47" t="s">
        <v>282</v>
      </c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339"/>
      <c r="U28" s="340"/>
      <c r="V28" s="341"/>
      <c r="W28" s="530"/>
      <c r="X28" s="531"/>
      <c r="Y28" s="532"/>
      <c r="Z28" s="339"/>
      <c r="AA28" s="340"/>
      <c r="AB28" s="341"/>
      <c r="AC28" s="44"/>
      <c r="AD28" s="44"/>
      <c r="AE28" s="45"/>
      <c r="AF28" s="40"/>
      <c r="AG28" s="40"/>
      <c r="AH28" s="40"/>
      <c r="AI28" s="41"/>
      <c r="AJ28" s="40"/>
      <c r="AK28" s="40"/>
      <c r="AL28" s="9"/>
      <c r="AM28" s="42"/>
      <c r="AN28" s="10"/>
      <c r="AO28" s="9"/>
      <c r="AP28" s="567" t="s">
        <v>393</v>
      </c>
      <c r="AQ28" s="544" t="s">
        <v>389</v>
      </c>
      <c r="AR28" s="545"/>
      <c r="AS28" s="373">
        <v>121424.15243800028</v>
      </c>
      <c r="AT28" s="370">
        <v>59124.776849032809</v>
      </c>
      <c r="AU28" s="46" t="s">
        <v>395</v>
      </c>
      <c r="AV28" s="46"/>
      <c r="AW28" s="9"/>
      <c r="AX28" s="9"/>
    </row>
    <row r="29" spans="1:50" x14ac:dyDescent="0.25">
      <c r="A29" s="26">
        <f t="shared" si="0"/>
        <v>23</v>
      </c>
      <c r="B29" s="30"/>
      <c r="C29" s="12" t="s">
        <v>283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577">
        <v>2283</v>
      </c>
      <c r="U29" s="578"/>
      <c r="V29" s="579"/>
      <c r="W29" s="555"/>
      <c r="X29" s="556"/>
      <c r="Y29" s="557"/>
      <c r="Z29" s="577">
        <v>726</v>
      </c>
      <c r="AA29" s="578"/>
      <c r="AB29" s="579"/>
      <c r="AC29" s="538"/>
      <c r="AD29" s="539"/>
      <c r="AE29" s="540"/>
      <c r="AF29" s="40"/>
      <c r="AG29" s="40"/>
      <c r="AH29" s="40"/>
      <c r="AI29" s="41"/>
      <c r="AJ29" s="40"/>
      <c r="AK29" s="40"/>
      <c r="AL29" s="9"/>
      <c r="AM29" s="42"/>
      <c r="AN29" s="10"/>
      <c r="AO29" s="9"/>
      <c r="AP29" s="568"/>
      <c r="AQ29" s="561" t="s">
        <v>390</v>
      </c>
      <c r="AR29" s="562"/>
      <c r="AS29" s="374">
        <v>125.25502018342956</v>
      </c>
      <c r="AT29" s="371">
        <v>86.477834552979459</v>
      </c>
      <c r="AU29" s="46" t="s">
        <v>143</v>
      </c>
      <c r="AV29" s="46"/>
      <c r="AW29" s="9"/>
      <c r="AX29" s="9"/>
    </row>
    <row r="30" spans="1:50" ht="15.75" thickBot="1" x14ac:dyDescent="0.3">
      <c r="A30" s="26">
        <f t="shared" si="0"/>
        <v>24</v>
      </c>
      <c r="B30" s="32"/>
      <c r="C30" s="38" t="s">
        <v>44</v>
      </c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336"/>
      <c r="U30" s="337"/>
      <c r="V30" s="338"/>
      <c r="W30" s="530"/>
      <c r="X30" s="531"/>
      <c r="Y30" s="532"/>
      <c r="Z30" s="336"/>
      <c r="AA30" s="337"/>
      <c r="AB30" s="338"/>
      <c r="AC30" s="48"/>
      <c r="AD30" s="48"/>
      <c r="AE30" s="48"/>
      <c r="AF30" s="11"/>
      <c r="AG30" s="11"/>
      <c r="AH30" s="11"/>
      <c r="AI30" s="36"/>
      <c r="AJ30" s="11"/>
      <c r="AK30" s="11"/>
      <c r="AL30" s="9"/>
      <c r="AM30" s="37"/>
      <c r="AN30" s="10"/>
      <c r="AO30" s="9"/>
      <c r="AP30" s="569"/>
      <c r="AQ30" s="563" t="s">
        <v>391</v>
      </c>
      <c r="AR30" s="564"/>
      <c r="AS30" s="375">
        <v>4266.7693926976935</v>
      </c>
      <c r="AT30" s="372">
        <v>2804.0822986710627</v>
      </c>
      <c r="AU30" s="46" t="s">
        <v>307</v>
      </c>
      <c r="AV30" s="46"/>
      <c r="AW30" s="9"/>
      <c r="AX30" s="9"/>
    </row>
    <row r="31" spans="1:50" x14ac:dyDescent="0.25">
      <c r="A31" s="26">
        <f t="shared" si="0"/>
        <v>25</v>
      </c>
      <c r="B31" s="32"/>
      <c r="C31" s="12" t="s">
        <v>40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533">
        <v>136.27000000000001</v>
      </c>
      <c r="U31" s="534"/>
      <c r="V31" s="535"/>
      <c r="W31" s="530"/>
      <c r="X31" s="531"/>
      <c r="Y31" s="532"/>
      <c r="Z31" s="533">
        <v>250.44</v>
      </c>
      <c r="AA31" s="534"/>
      <c r="AB31" s="535"/>
      <c r="AC31" s="538"/>
      <c r="AD31" s="539"/>
      <c r="AE31" s="540"/>
      <c r="AF31" s="41"/>
      <c r="AG31" s="40"/>
      <c r="AH31" s="40"/>
      <c r="AI31" s="41"/>
      <c r="AJ31" s="40"/>
      <c r="AK31" s="40"/>
      <c r="AL31" s="9"/>
      <c r="AM31" s="42"/>
      <c r="AN31" s="10"/>
      <c r="AO31" s="9"/>
      <c r="AP31" s="567" t="s">
        <v>394</v>
      </c>
      <c r="AQ31" s="565" t="s">
        <v>389</v>
      </c>
      <c r="AR31" s="566"/>
      <c r="AS31" s="377">
        <v>121019.09107568485</v>
      </c>
      <c r="AT31" s="378">
        <v>59157.300145814341</v>
      </c>
      <c r="AU31" s="46" t="s">
        <v>395</v>
      </c>
      <c r="AV31" s="46"/>
      <c r="AW31" s="9"/>
      <c r="AX31" s="9"/>
    </row>
    <row r="32" spans="1:50" x14ac:dyDescent="0.25">
      <c r="A32" s="26">
        <f t="shared" si="0"/>
        <v>26</v>
      </c>
      <c r="B32" s="32"/>
      <c r="C32" s="12" t="s">
        <v>41</v>
      </c>
      <c r="D32" s="12"/>
      <c r="E32" s="12"/>
      <c r="F32" s="12"/>
      <c r="G32" s="12"/>
      <c r="H32" s="11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533">
        <v>123.7</v>
      </c>
      <c r="U32" s="534"/>
      <c r="V32" s="535"/>
      <c r="W32" s="530"/>
      <c r="X32" s="531"/>
      <c r="Y32" s="532"/>
      <c r="Z32" s="533">
        <v>86.7</v>
      </c>
      <c r="AA32" s="534"/>
      <c r="AB32" s="535"/>
      <c r="AC32" s="538"/>
      <c r="AD32" s="539"/>
      <c r="AE32" s="540"/>
      <c r="AF32" s="41"/>
      <c r="AG32" s="40"/>
      <c r="AH32" s="40"/>
      <c r="AI32" s="41"/>
      <c r="AJ32" s="40"/>
      <c r="AK32" s="40"/>
      <c r="AL32" s="9"/>
      <c r="AM32" s="42"/>
      <c r="AN32" s="10"/>
      <c r="AO32" s="9"/>
      <c r="AP32" s="568"/>
      <c r="AQ32" s="523" t="s">
        <v>306</v>
      </c>
      <c r="AR32" s="524"/>
      <c r="AS32" s="365">
        <v>0.87288655145086047</v>
      </c>
      <c r="AT32" s="224">
        <v>0.68285131976608626</v>
      </c>
      <c r="AU32" s="46"/>
      <c r="AV32" s="46"/>
      <c r="AW32" s="9"/>
      <c r="AX32" s="9"/>
    </row>
    <row r="33" spans="1:50" ht="15.75" thickBot="1" x14ac:dyDescent="0.3">
      <c r="A33" s="26">
        <f t="shared" si="0"/>
        <v>27</v>
      </c>
      <c r="B33" s="32"/>
      <c r="C33" s="47" t="s">
        <v>284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339"/>
      <c r="U33" s="340"/>
      <c r="V33" s="340"/>
      <c r="W33" s="339"/>
      <c r="X33" s="340"/>
      <c r="Y33" s="340"/>
      <c r="Z33" s="339"/>
      <c r="AA33" s="340"/>
      <c r="AB33" s="340"/>
      <c r="AC33" s="49"/>
      <c r="AD33" s="44"/>
      <c r="AE33" s="44"/>
      <c r="AF33" s="41"/>
      <c r="AG33" s="40"/>
      <c r="AH33" s="40"/>
      <c r="AI33" s="41"/>
      <c r="AJ33" s="40"/>
      <c r="AK33" s="40"/>
      <c r="AL33" s="9"/>
      <c r="AM33" s="42"/>
      <c r="AN33" s="10"/>
      <c r="AO33" s="9"/>
      <c r="AP33" s="569"/>
      <c r="AQ33" s="536" t="s">
        <v>392</v>
      </c>
      <c r="AR33" s="537"/>
      <c r="AS33" s="376">
        <v>4136.1650924245914</v>
      </c>
      <c r="AT33" s="225">
        <v>2826.7790992223559</v>
      </c>
      <c r="AU33" s="9" t="s">
        <v>307</v>
      </c>
      <c r="AV33" s="46"/>
      <c r="AW33" s="9"/>
      <c r="AX33" s="9"/>
    </row>
    <row r="34" spans="1:50" ht="15.75" thickBot="1" x14ac:dyDescent="0.3">
      <c r="A34" s="26">
        <f t="shared" si="0"/>
        <v>28</v>
      </c>
      <c r="B34" s="32"/>
      <c r="C34" s="47" t="s">
        <v>285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339"/>
      <c r="U34" s="340"/>
      <c r="V34" s="340"/>
      <c r="W34" s="339"/>
      <c r="X34" s="340"/>
      <c r="Y34" s="340"/>
      <c r="Z34" s="339"/>
      <c r="AA34" s="340"/>
      <c r="AB34" s="340"/>
      <c r="AC34" s="49"/>
      <c r="AD34" s="44"/>
      <c r="AE34" s="44"/>
      <c r="AF34" s="41"/>
      <c r="AG34" s="40"/>
      <c r="AH34" s="40"/>
      <c r="AI34" s="41"/>
      <c r="AJ34" s="40"/>
      <c r="AK34" s="40"/>
      <c r="AL34" s="9"/>
      <c r="AM34" s="42"/>
      <c r="AN34" s="10"/>
      <c r="AO34" s="9"/>
      <c r="AP34" s="46"/>
      <c r="AQ34" s="527" t="s">
        <v>339</v>
      </c>
      <c r="AR34" s="528"/>
      <c r="AS34" s="366">
        <v>2279.484256270584</v>
      </c>
      <c r="AT34" s="225">
        <v>697.10193319617588</v>
      </c>
      <c r="AU34" s="46" t="s">
        <v>309</v>
      </c>
      <c r="AV34" s="46"/>
      <c r="AW34" s="9"/>
      <c r="AX34" s="9"/>
    </row>
    <row r="35" spans="1:50" ht="15.75" thickBot="1" x14ac:dyDescent="0.3">
      <c r="A35" s="26">
        <f t="shared" si="0"/>
        <v>29</v>
      </c>
      <c r="B35" s="32"/>
      <c r="C35" s="12" t="s">
        <v>45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533">
        <v>4785.7</v>
      </c>
      <c r="U35" s="534"/>
      <c r="V35" s="535"/>
      <c r="W35" s="340"/>
      <c r="X35" s="340"/>
      <c r="Y35" s="340"/>
      <c r="Z35" s="533">
        <v>2856.5</v>
      </c>
      <c r="AA35" s="534"/>
      <c r="AB35" s="535"/>
      <c r="AC35" s="538"/>
      <c r="AD35" s="539"/>
      <c r="AE35" s="540"/>
      <c r="AF35" s="11"/>
      <c r="AG35" s="11"/>
      <c r="AH35" s="11"/>
      <c r="AI35" s="36"/>
      <c r="AJ35" s="11"/>
      <c r="AK35" s="11"/>
      <c r="AL35" s="9"/>
      <c r="AM35" s="37"/>
      <c r="AN35" s="10"/>
      <c r="AO35" s="9"/>
      <c r="AP35" s="46"/>
      <c r="AQ35" s="527" t="s">
        <v>340</v>
      </c>
      <c r="AR35" s="528"/>
      <c r="AS35" s="367"/>
      <c r="AT35" s="225">
        <v>1.0595085461750955</v>
      </c>
      <c r="AU35" s="46" t="s">
        <v>143</v>
      </c>
      <c r="AV35" s="46"/>
      <c r="AW35" s="9"/>
      <c r="AX35" s="9"/>
    </row>
    <row r="36" spans="1:50" x14ac:dyDescent="0.25">
      <c r="A36" s="26">
        <f t="shared" si="0"/>
        <v>30</v>
      </c>
      <c r="B36" s="32"/>
      <c r="C36" s="12" t="s">
        <v>46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533">
        <v>4785.7</v>
      </c>
      <c r="U36" s="534"/>
      <c r="V36" s="535"/>
      <c r="W36" s="340"/>
      <c r="X36" s="340"/>
      <c r="Y36" s="340"/>
      <c r="Z36" s="533">
        <v>2856.5</v>
      </c>
      <c r="AA36" s="534"/>
      <c r="AB36" s="535"/>
      <c r="AC36" s="49"/>
      <c r="AD36" s="44"/>
      <c r="AE36" s="44"/>
      <c r="AF36" s="40"/>
      <c r="AG36" s="40"/>
      <c r="AH36" s="40"/>
      <c r="AI36" s="40"/>
      <c r="AJ36" s="40"/>
      <c r="AK36" s="40"/>
      <c r="AL36" s="50"/>
      <c r="AM36" s="42"/>
      <c r="AN36" s="10"/>
      <c r="AO36" s="9"/>
      <c r="AP36" s="9"/>
      <c r="AQ36" s="529"/>
      <c r="AR36" s="529"/>
      <c r="AS36" s="46"/>
      <c r="AT36" s="9"/>
      <c r="AU36" s="9"/>
      <c r="AV36" s="9"/>
      <c r="AW36" s="9"/>
      <c r="AX36" s="9"/>
    </row>
    <row r="37" spans="1:50" x14ac:dyDescent="0.25">
      <c r="A37" s="26">
        <f t="shared" si="0"/>
        <v>31</v>
      </c>
      <c r="B37" s="32"/>
      <c r="C37" s="12" t="s">
        <v>47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342"/>
      <c r="U37" s="343"/>
      <c r="V37" s="343"/>
      <c r="W37" s="343"/>
      <c r="X37" s="343"/>
      <c r="Y37" s="343"/>
      <c r="Z37" s="343"/>
      <c r="AA37" s="343"/>
      <c r="AB37" s="344"/>
      <c r="AC37" s="239"/>
      <c r="AD37" s="239"/>
      <c r="AE37" s="240"/>
      <c r="AF37" s="40"/>
      <c r="AG37" s="40"/>
      <c r="AH37" s="40"/>
      <c r="AI37" s="40"/>
      <c r="AJ37" s="40"/>
      <c r="AK37" s="40"/>
      <c r="AL37" s="50"/>
      <c r="AM37" s="42"/>
      <c r="AN37" s="10"/>
      <c r="AO37" s="9"/>
      <c r="AP37" s="9"/>
      <c r="AQ37" s="46"/>
      <c r="AR37" s="46"/>
      <c r="AS37" s="46"/>
      <c r="AT37" s="9"/>
      <c r="AU37" s="9"/>
      <c r="AV37" s="9"/>
      <c r="AW37" s="9"/>
      <c r="AX37" s="43"/>
    </row>
    <row r="38" spans="1:50" ht="15.75" thickBot="1" x14ac:dyDescent="0.3">
      <c r="A38" s="26">
        <f>A37+1</f>
        <v>32</v>
      </c>
      <c r="B38" s="32"/>
      <c r="C38" s="12" t="s">
        <v>48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533">
        <v>12152.451870000001</v>
      </c>
      <c r="U38" s="534"/>
      <c r="V38" s="534"/>
      <c r="W38" s="534"/>
      <c r="X38" s="534"/>
      <c r="Y38" s="534"/>
      <c r="Z38" s="534"/>
      <c r="AA38" s="534"/>
      <c r="AB38" s="535"/>
      <c r="AC38" s="44"/>
      <c r="AD38" s="44"/>
      <c r="AE38" s="45"/>
      <c r="AF38" s="40"/>
      <c r="AG38" s="40"/>
      <c r="AH38" s="40"/>
      <c r="AI38" s="40"/>
      <c r="AJ38" s="40"/>
      <c r="AK38" s="40"/>
      <c r="AL38" s="50"/>
      <c r="AM38" s="42"/>
      <c r="AN38" s="10"/>
      <c r="AO38" s="9"/>
      <c r="AP38" s="46"/>
      <c r="AQ38" s="46"/>
      <c r="AR38" s="46"/>
      <c r="AS38" s="46"/>
      <c r="AT38" s="46"/>
      <c r="AU38" s="46"/>
      <c r="AV38" s="46"/>
      <c r="AW38" s="9"/>
      <c r="AX38" s="9"/>
    </row>
    <row r="39" spans="1:50" ht="15" customHeight="1" x14ac:dyDescent="0.25">
      <c r="A39" s="26">
        <f t="shared" si="0"/>
        <v>33</v>
      </c>
      <c r="B39" s="32"/>
      <c r="C39" s="12" t="s">
        <v>49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345"/>
      <c r="U39" s="346"/>
      <c r="V39" s="347"/>
      <c r="W39" s="340"/>
      <c r="X39" s="340"/>
      <c r="Y39" s="340"/>
      <c r="Z39" s="348"/>
      <c r="AA39" s="348"/>
      <c r="AB39" s="349"/>
      <c r="AC39" s="51"/>
      <c r="AD39" s="51"/>
      <c r="AE39" s="52"/>
      <c r="AF39" s="34"/>
      <c r="AG39" s="34"/>
      <c r="AH39" s="34"/>
      <c r="AI39" s="33"/>
      <c r="AJ39" s="34"/>
      <c r="AK39" s="34"/>
      <c r="AL39" s="9"/>
      <c r="AM39" s="35"/>
      <c r="AN39" s="10"/>
      <c r="AO39" s="9"/>
      <c r="AP39" s="514" t="s">
        <v>382</v>
      </c>
      <c r="AQ39" s="515"/>
      <c r="AR39" s="515"/>
      <c r="AS39" s="516"/>
      <c r="AT39" s="511" t="s">
        <v>378</v>
      </c>
      <c r="AU39" s="9"/>
      <c r="AV39" s="9"/>
      <c r="AW39" s="9"/>
      <c r="AX39" s="9"/>
    </row>
    <row r="40" spans="1:50" ht="15.75" thickBot="1" x14ac:dyDescent="0.3">
      <c r="A40" s="26">
        <f t="shared" si="0"/>
        <v>34</v>
      </c>
      <c r="B40" s="32"/>
      <c r="C40" s="12" t="s">
        <v>50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533">
        <v>121514</v>
      </c>
      <c r="U40" s="534"/>
      <c r="V40" s="535"/>
      <c r="W40" s="340"/>
      <c r="X40" s="340"/>
      <c r="Y40" s="340"/>
      <c r="Z40" s="533">
        <v>61645</v>
      </c>
      <c r="AA40" s="534"/>
      <c r="AB40" s="535"/>
      <c r="AC40" s="538"/>
      <c r="AD40" s="539"/>
      <c r="AE40" s="540"/>
      <c r="AF40" s="40"/>
      <c r="AG40" s="40"/>
      <c r="AH40" s="40"/>
      <c r="AI40" s="41"/>
      <c r="AJ40" s="40"/>
      <c r="AK40" s="40"/>
      <c r="AL40" s="9"/>
      <c r="AM40" s="42"/>
      <c r="AN40" s="10"/>
      <c r="AO40" s="9"/>
      <c r="AP40" s="322" t="s">
        <v>376</v>
      </c>
      <c r="AQ40" s="517" t="s">
        <v>379</v>
      </c>
      <c r="AR40" s="517"/>
      <c r="AS40" s="323" t="s">
        <v>380</v>
      </c>
      <c r="AT40" s="511"/>
      <c r="AU40" s="9"/>
      <c r="AV40" s="9"/>
      <c r="AW40" s="9"/>
      <c r="AX40" s="9"/>
    </row>
    <row r="41" spans="1:50" x14ac:dyDescent="0.25">
      <c r="A41" s="26">
        <f t="shared" si="0"/>
        <v>35</v>
      </c>
      <c r="B41" s="32"/>
      <c r="C41" s="12" t="s">
        <v>51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541">
        <v>0.84899999999999998</v>
      </c>
      <c r="U41" s="542"/>
      <c r="V41" s="543"/>
      <c r="W41" s="340"/>
      <c r="X41" s="340"/>
      <c r="Y41" s="340"/>
      <c r="Z41" s="541">
        <v>0.68799999999999994</v>
      </c>
      <c r="AA41" s="542"/>
      <c r="AB41" s="543"/>
      <c r="AC41" s="538"/>
      <c r="AD41" s="539"/>
      <c r="AE41" s="540"/>
      <c r="AF41" s="40"/>
      <c r="AG41" s="40"/>
      <c r="AH41" s="40"/>
      <c r="AI41" s="41"/>
      <c r="AJ41" s="40"/>
      <c r="AK41" s="40"/>
      <c r="AL41" s="9"/>
      <c r="AM41" s="42"/>
      <c r="AN41" s="10"/>
      <c r="AO41" s="9"/>
      <c r="AP41" s="324" t="s">
        <v>309</v>
      </c>
      <c r="AQ41" s="518" t="s">
        <v>381</v>
      </c>
      <c r="AR41" s="518"/>
      <c r="AS41" s="325" t="s">
        <v>65</v>
      </c>
      <c r="AT41" s="511"/>
      <c r="AU41" s="9"/>
      <c r="AV41" s="9"/>
      <c r="AW41" s="9"/>
      <c r="AX41" s="9"/>
    </row>
    <row r="42" spans="1:50" x14ac:dyDescent="0.25">
      <c r="A42" s="26">
        <f t="shared" si="0"/>
        <v>36</v>
      </c>
      <c r="B42" s="32"/>
      <c r="C42" s="12" t="s">
        <v>52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350"/>
      <c r="U42" s="351"/>
      <c r="V42" s="352"/>
      <c r="W42" s="351"/>
      <c r="X42" s="351"/>
      <c r="Y42" s="352"/>
      <c r="Z42" s="351"/>
      <c r="AA42" s="351"/>
      <c r="AB42" s="352"/>
      <c r="AC42" s="6"/>
      <c r="AD42" s="6"/>
      <c r="AE42" s="53"/>
      <c r="AF42" s="6"/>
      <c r="AG42" s="6"/>
      <c r="AH42" s="6"/>
      <c r="AI42" s="1"/>
      <c r="AJ42" s="6"/>
      <c r="AK42" s="6"/>
      <c r="AL42" s="9"/>
      <c r="AM42" s="53"/>
      <c r="AN42" s="10"/>
      <c r="AO42" s="9"/>
      <c r="AP42" s="326">
        <v>1800</v>
      </c>
      <c r="AQ42" s="509">
        <v>128</v>
      </c>
      <c r="AR42" s="509"/>
      <c r="AS42" s="327">
        <v>0.85</v>
      </c>
      <c r="AT42" s="511"/>
      <c r="AU42" s="9"/>
      <c r="AV42" s="9"/>
      <c r="AW42" s="9"/>
      <c r="AX42" s="9"/>
    </row>
    <row r="43" spans="1:50" x14ac:dyDescent="0.25">
      <c r="A43" s="26">
        <f t="shared" si="0"/>
        <v>37</v>
      </c>
      <c r="B43" s="32"/>
      <c r="C43" s="12" t="s">
        <v>53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353"/>
      <c r="U43" s="354"/>
      <c r="V43" s="354"/>
      <c r="W43" s="354"/>
      <c r="X43" s="354"/>
      <c r="Y43" s="355"/>
      <c r="Z43" s="353"/>
      <c r="AA43" s="354"/>
      <c r="AB43" s="354"/>
      <c r="AC43" s="40"/>
      <c r="AD43" s="40"/>
      <c r="AE43" s="42"/>
      <c r="AF43" s="40"/>
      <c r="AG43" s="40"/>
      <c r="AH43" s="40"/>
      <c r="AI43" s="40"/>
      <c r="AJ43" s="40"/>
      <c r="AK43" s="40"/>
      <c r="AL43" s="50"/>
      <c r="AM43" s="42"/>
      <c r="AN43" s="10"/>
      <c r="AO43" s="9"/>
      <c r="AP43" s="326">
        <v>2200</v>
      </c>
      <c r="AQ43" s="509">
        <v>124</v>
      </c>
      <c r="AR43" s="509"/>
      <c r="AS43" s="327">
        <v>0.85</v>
      </c>
      <c r="AT43" s="511"/>
      <c r="AU43" s="9"/>
      <c r="AV43" s="9"/>
      <c r="AW43" s="9"/>
      <c r="AX43" s="9"/>
    </row>
    <row r="44" spans="1:50" x14ac:dyDescent="0.25">
      <c r="A44" s="26">
        <f t="shared" si="0"/>
        <v>38</v>
      </c>
      <c r="B44" s="32"/>
      <c r="C44" s="12" t="s">
        <v>54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333"/>
      <c r="U44" s="334"/>
      <c r="V44" s="335"/>
      <c r="W44" s="334"/>
      <c r="X44" s="334"/>
      <c r="Y44" s="335"/>
      <c r="Z44" s="334"/>
      <c r="AA44" s="334"/>
      <c r="AB44" s="335"/>
      <c r="AC44" s="34"/>
      <c r="AD44" s="34"/>
      <c r="AE44" s="35"/>
      <c r="AF44" s="34"/>
      <c r="AG44" s="34"/>
      <c r="AH44" s="34"/>
      <c r="AI44" s="33"/>
      <c r="AJ44" s="34"/>
      <c r="AK44" s="34"/>
      <c r="AL44" s="9"/>
      <c r="AM44" s="35"/>
      <c r="AN44" s="10"/>
      <c r="AO44" s="9"/>
      <c r="AP44" s="326">
        <v>2279.484256270584</v>
      </c>
      <c r="AQ44" s="519">
        <v>121.01909107568486</v>
      </c>
      <c r="AR44" s="520"/>
      <c r="AS44" s="327">
        <v>0.87288655145086047</v>
      </c>
      <c r="AT44" s="511"/>
      <c r="AU44" s="9"/>
      <c r="AV44" s="9"/>
      <c r="AW44" s="9"/>
      <c r="AX44" s="9"/>
    </row>
    <row r="45" spans="1:50" x14ac:dyDescent="0.25">
      <c r="A45" s="26">
        <f t="shared" si="0"/>
        <v>39</v>
      </c>
      <c r="B45" s="27"/>
      <c r="C45" s="38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2"/>
      <c r="AL45" s="12"/>
      <c r="AM45" s="29"/>
      <c r="AN45" s="10"/>
      <c r="AO45" s="9"/>
      <c r="AP45" s="326">
        <v>2600</v>
      </c>
      <c r="AQ45" s="519">
        <v>116</v>
      </c>
      <c r="AR45" s="520"/>
      <c r="AS45" s="327">
        <v>0.84</v>
      </c>
      <c r="AT45" s="511"/>
      <c r="AU45" s="9"/>
      <c r="AV45" s="9"/>
      <c r="AW45" s="9"/>
      <c r="AX45" s="9"/>
    </row>
    <row r="46" spans="1:50" x14ac:dyDescent="0.25">
      <c r="A46" s="26">
        <f t="shared" si="0"/>
        <v>40</v>
      </c>
      <c r="B46" s="27"/>
      <c r="C46" s="12" t="s">
        <v>56</v>
      </c>
      <c r="D46" s="12"/>
      <c r="E46" s="12"/>
      <c r="F46" s="30"/>
      <c r="G46" s="12" t="s">
        <v>57</v>
      </c>
      <c r="H46" s="12"/>
      <c r="I46" s="12"/>
      <c r="J46" s="12"/>
      <c r="K46" s="12"/>
      <c r="L46" s="12"/>
      <c r="M46" s="30"/>
      <c r="N46" s="30"/>
      <c r="O46" s="12" t="s">
        <v>58</v>
      </c>
      <c r="P46" s="12"/>
      <c r="Q46" s="12"/>
      <c r="R46" s="12"/>
      <c r="S46" s="12"/>
      <c r="T46" s="30"/>
      <c r="U46" s="12" t="s">
        <v>59</v>
      </c>
      <c r="V46" s="12"/>
      <c r="W46" s="12"/>
      <c r="X46" s="12"/>
      <c r="Y46" s="12"/>
      <c r="Z46" s="30"/>
      <c r="AA46" s="12" t="s">
        <v>60</v>
      </c>
      <c r="AB46" s="12"/>
      <c r="AC46" s="12"/>
      <c r="AD46" s="12"/>
      <c r="AE46" s="30"/>
      <c r="AF46" s="12" t="s">
        <v>61</v>
      </c>
      <c r="AG46" s="12"/>
      <c r="AH46" s="12"/>
      <c r="AI46" s="12"/>
      <c r="AJ46" s="12"/>
      <c r="AK46" s="9"/>
      <c r="AL46" s="12"/>
      <c r="AM46" s="29"/>
      <c r="AN46" s="10"/>
      <c r="AO46" s="9"/>
      <c r="AP46" s="326">
        <v>3000</v>
      </c>
      <c r="AQ46" s="509">
        <v>108</v>
      </c>
      <c r="AR46" s="509"/>
      <c r="AS46" s="327">
        <v>0.82</v>
      </c>
      <c r="AT46" s="511"/>
      <c r="AU46" s="9"/>
      <c r="AV46" s="9"/>
      <c r="AW46" s="9"/>
      <c r="AX46" s="9"/>
    </row>
    <row r="47" spans="1:50" x14ac:dyDescent="0.25">
      <c r="A47" s="26">
        <f t="shared" si="0"/>
        <v>41</v>
      </c>
      <c r="B47" s="27"/>
      <c r="C47" s="12"/>
      <c r="D47" s="12"/>
      <c r="E47" s="12"/>
      <c r="F47" s="12"/>
      <c r="G47" s="12" t="s">
        <v>62</v>
      </c>
      <c r="H47" s="12"/>
      <c r="I47" s="14"/>
      <c r="J47" s="14"/>
      <c r="K47" s="12" t="s">
        <v>63</v>
      </c>
      <c r="L47" s="12"/>
      <c r="M47" s="12"/>
      <c r="N47" s="12"/>
      <c r="O47" s="12" t="s">
        <v>64</v>
      </c>
      <c r="P47" s="12"/>
      <c r="Q47" s="12"/>
      <c r="R47" s="12"/>
      <c r="S47" s="12"/>
      <c r="T47" s="12"/>
      <c r="U47" s="12" t="s">
        <v>62</v>
      </c>
      <c r="V47" s="12"/>
      <c r="W47" s="14"/>
      <c r="X47" s="14"/>
      <c r="Y47" s="12" t="s">
        <v>65</v>
      </c>
      <c r="Z47" s="12"/>
      <c r="AA47" s="12" t="s">
        <v>66</v>
      </c>
      <c r="AB47" s="12"/>
      <c r="AC47" s="12"/>
      <c r="AD47" s="12"/>
      <c r="AE47" s="12"/>
      <c r="AF47" s="12" t="s">
        <v>62</v>
      </c>
      <c r="AG47" s="12"/>
      <c r="AH47" s="14"/>
      <c r="AI47" s="14"/>
      <c r="AJ47" s="14"/>
      <c r="AK47" s="14"/>
      <c r="AL47" s="12"/>
      <c r="AM47" s="29"/>
      <c r="AN47" s="10"/>
      <c r="AO47" s="9"/>
      <c r="AP47" s="326">
        <v>3300</v>
      </c>
      <c r="AQ47" s="509">
        <v>84</v>
      </c>
      <c r="AR47" s="509"/>
      <c r="AS47" s="327">
        <v>0.7</v>
      </c>
      <c r="AT47" s="511"/>
      <c r="AU47" s="9"/>
      <c r="AV47" s="9"/>
      <c r="AW47" s="9"/>
      <c r="AX47" s="9"/>
    </row>
    <row r="48" spans="1:50" x14ac:dyDescent="0.25">
      <c r="A48" s="26">
        <f t="shared" si="0"/>
        <v>42</v>
      </c>
      <c r="B48" s="27"/>
      <c r="C48" s="12"/>
      <c r="D48" s="12"/>
      <c r="E48" s="12"/>
      <c r="F48" s="12"/>
      <c r="G48" s="12" t="s">
        <v>67</v>
      </c>
      <c r="H48" s="14"/>
      <c r="I48" s="14"/>
      <c r="J48" s="14"/>
      <c r="K48" s="12" t="s">
        <v>63</v>
      </c>
      <c r="L48" s="12"/>
      <c r="M48" s="12"/>
      <c r="N48" s="12"/>
      <c r="O48" s="12" t="s">
        <v>68</v>
      </c>
      <c r="P48" s="12"/>
      <c r="Q48" s="12"/>
      <c r="R48" s="12"/>
      <c r="S48" s="12"/>
      <c r="T48" s="12"/>
      <c r="U48" s="12" t="s">
        <v>67</v>
      </c>
      <c r="V48" s="14"/>
      <c r="W48" s="14"/>
      <c r="X48" s="14"/>
      <c r="Y48" s="12" t="s">
        <v>65</v>
      </c>
      <c r="Z48" s="12"/>
      <c r="AA48" s="12" t="s">
        <v>67</v>
      </c>
      <c r="AB48" s="14"/>
      <c r="AC48" s="14">
        <v>5</v>
      </c>
      <c r="AD48" s="14"/>
      <c r="AE48" s="12"/>
      <c r="AF48" s="12" t="s">
        <v>67</v>
      </c>
      <c r="AG48" s="14"/>
      <c r="AH48" s="14"/>
      <c r="AI48" s="14"/>
      <c r="AJ48" s="14"/>
      <c r="AK48" s="14"/>
      <c r="AL48" s="12"/>
      <c r="AM48" s="29"/>
      <c r="AN48" s="10"/>
      <c r="AO48" s="9"/>
      <c r="AP48" s="326"/>
      <c r="AQ48" s="509"/>
      <c r="AR48" s="509"/>
      <c r="AS48" s="327"/>
      <c r="AT48" s="511"/>
      <c r="AU48" s="9"/>
      <c r="AV48" s="9"/>
      <c r="AW48" s="9"/>
      <c r="AX48" s="9"/>
    </row>
    <row r="49" spans="1:52" ht="15.75" thickBot="1" x14ac:dyDescent="0.3">
      <c r="A49" s="26">
        <f t="shared" si="0"/>
        <v>43</v>
      </c>
      <c r="B49" s="27"/>
      <c r="C49" s="12" t="s">
        <v>69</v>
      </c>
      <c r="D49" s="12"/>
      <c r="E49" s="12"/>
      <c r="F49" s="30"/>
      <c r="G49" s="12" t="s">
        <v>70</v>
      </c>
      <c r="H49" s="12"/>
      <c r="I49" s="12"/>
      <c r="J49" s="12"/>
      <c r="K49" s="12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2"/>
      <c r="AM49" s="29"/>
      <c r="AN49" s="10"/>
      <c r="AO49" s="9"/>
      <c r="AP49" s="328"/>
      <c r="AQ49" s="510"/>
      <c r="AR49" s="510"/>
      <c r="AS49" s="329"/>
      <c r="AT49" s="511"/>
      <c r="AU49" s="9"/>
      <c r="AV49" s="9"/>
      <c r="AW49" s="9"/>
      <c r="AX49" s="9"/>
    </row>
    <row r="50" spans="1:52" x14ac:dyDescent="0.25">
      <c r="A50" s="26">
        <f t="shared" si="0"/>
        <v>44</v>
      </c>
      <c r="B50" s="27"/>
      <c r="C50" s="11"/>
      <c r="D50" s="12"/>
      <c r="E50" s="12"/>
      <c r="F50" s="12" t="s">
        <v>71</v>
      </c>
      <c r="G50" s="12"/>
      <c r="H50" s="12"/>
      <c r="I50" s="30"/>
      <c r="J50" s="12" t="s">
        <v>72</v>
      </c>
      <c r="K50" s="12"/>
      <c r="L50" s="12"/>
      <c r="M50" s="12"/>
      <c r="N50" s="30"/>
      <c r="O50" s="12" t="s">
        <v>73</v>
      </c>
      <c r="P50" s="12"/>
      <c r="Q50" s="12"/>
      <c r="R50" s="12"/>
      <c r="S50" s="12"/>
      <c r="T50" s="30"/>
      <c r="U50" s="12" t="s">
        <v>74</v>
      </c>
      <c r="V50" s="12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2"/>
      <c r="AM50" s="29"/>
      <c r="AN50" s="10"/>
      <c r="AO50" s="9"/>
      <c r="AP50" s="514" t="s">
        <v>383</v>
      </c>
      <c r="AQ50" s="515"/>
      <c r="AR50" s="515"/>
      <c r="AS50" s="516"/>
      <c r="AT50" s="511"/>
      <c r="AU50" s="9"/>
      <c r="AV50" s="9"/>
      <c r="AW50" s="9"/>
      <c r="AX50" s="9"/>
    </row>
    <row r="51" spans="1:52" ht="15.75" thickBot="1" x14ac:dyDescent="0.3">
      <c r="A51" s="26">
        <f t="shared" si="0"/>
        <v>45</v>
      </c>
      <c r="B51" s="27"/>
      <c r="C51" s="12"/>
      <c r="D51" s="12"/>
      <c r="E51" s="12"/>
      <c r="F51" s="12" t="s">
        <v>75</v>
      </c>
      <c r="G51" s="12"/>
      <c r="H51" s="14"/>
      <c r="I51" s="14"/>
      <c r="J51" s="14"/>
      <c r="K51" s="14"/>
      <c r="L51" s="12" t="s">
        <v>76</v>
      </c>
      <c r="M51" s="12"/>
      <c r="N51" s="12"/>
      <c r="O51" s="14"/>
      <c r="P51" s="14"/>
      <c r="Q51" s="14"/>
      <c r="R51" s="12" t="s">
        <v>63</v>
      </c>
      <c r="S51" s="12"/>
      <c r="T51" s="12"/>
      <c r="U51" s="12"/>
      <c r="V51" s="12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2"/>
      <c r="AM51" s="29"/>
      <c r="AN51" s="10"/>
      <c r="AO51" s="9"/>
      <c r="AP51" s="322" t="s">
        <v>376</v>
      </c>
      <c r="AQ51" s="517" t="s">
        <v>379</v>
      </c>
      <c r="AR51" s="517"/>
      <c r="AS51" s="323" t="s">
        <v>380</v>
      </c>
      <c r="AT51" s="511"/>
      <c r="AU51" s="9"/>
      <c r="AV51" s="9"/>
      <c r="AW51" s="9"/>
      <c r="AX51" s="9"/>
    </row>
    <row r="52" spans="1:52" x14ac:dyDescent="0.25">
      <c r="A52" s="26">
        <f t="shared" si="0"/>
        <v>46</v>
      </c>
      <c r="B52" s="3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29"/>
      <c r="AN52" s="10"/>
      <c r="AO52" s="9"/>
      <c r="AP52" s="324" t="s">
        <v>309</v>
      </c>
      <c r="AQ52" s="518" t="s">
        <v>381</v>
      </c>
      <c r="AR52" s="518"/>
      <c r="AS52" s="325" t="s">
        <v>65</v>
      </c>
      <c r="AT52" s="511"/>
      <c r="AU52" s="9"/>
      <c r="AV52" s="9"/>
      <c r="AW52" s="9"/>
      <c r="AX52" s="9"/>
    </row>
    <row r="53" spans="1:52" x14ac:dyDescent="0.25">
      <c r="A53" s="26">
        <f t="shared" si="0"/>
        <v>47</v>
      </c>
      <c r="B53" s="27"/>
      <c r="C53" s="12" t="s">
        <v>77</v>
      </c>
      <c r="D53" s="12"/>
      <c r="E53" s="12"/>
      <c r="F53" s="12"/>
      <c r="G53" s="12"/>
      <c r="H53" s="12"/>
      <c r="I53" s="12"/>
      <c r="J53" s="30"/>
      <c r="K53" s="31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2"/>
      <c r="AM53" s="29"/>
      <c r="AN53" s="10"/>
      <c r="AO53" s="9"/>
      <c r="AP53" s="326">
        <v>560</v>
      </c>
      <c r="AQ53" s="519">
        <v>65</v>
      </c>
      <c r="AR53" s="520"/>
      <c r="AS53" s="327">
        <v>0.66</v>
      </c>
      <c r="AT53" s="511"/>
      <c r="AU53" s="9"/>
      <c r="AV53" s="9"/>
      <c r="AW53" s="9"/>
      <c r="AX53" s="9"/>
    </row>
    <row r="54" spans="1:52" x14ac:dyDescent="0.25">
      <c r="A54" s="26"/>
      <c r="B54" s="21"/>
      <c r="C54" s="21"/>
      <c r="D54" s="21"/>
      <c r="E54" s="21"/>
      <c r="F54" s="21"/>
      <c r="G54" s="21"/>
      <c r="H54" s="21"/>
      <c r="I54" s="21"/>
      <c r="J54" s="20"/>
      <c r="K54" s="54"/>
      <c r="L54" s="20"/>
      <c r="M54" s="21"/>
      <c r="N54" s="21"/>
      <c r="O54" s="20"/>
      <c r="P54" s="21"/>
      <c r="Q54" s="20"/>
      <c r="R54" s="21"/>
      <c r="S54" s="21"/>
      <c r="T54" s="21"/>
      <c r="U54" s="20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55"/>
      <c r="AN54" s="10"/>
      <c r="AO54" s="9"/>
      <c r="AP54" s="326">
        <v>697.10193319617588</v>
      </c>
      <c r="AQ54" s="519">
        <v>59.157300145814339</v>
      </c>
      <c r="AR54" s="520"/>
      <c r="AS54" s="327">
        <v>0.68285131976608626</v>
      </c>
      <c r="AT54" s="511"/>
      <c r="AU54" s="9"/>
      <c r="AV54" s="9"/>
      <c r="AW54" s="9"/>
      <c r="AX54" s="9"/>
      <c r="AZ54" s="468"/>
    </row>
    <row r="55" spans="1:52" x14ac:dyDescent="0.25">
      <c r="A55" s="26">
        <f>A53+1</f>
        <v>48</v>
      </c>
      <c r="B55" s="56" t="s">
        <v>78</v>
      </c>
      <c r="C55" s="12"/>
      <c r="D55" s="12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2"/>
      <c r="AM55" s="29"/>
      <c r="AN55" s="10"/>
      <c r="AO55" s="9"/>
      <c r="AP55" s="326">
        <v>727.16</v>
      </c>
      <c r="AQ55" s="519">
        <v>61.63</v>
      </c>
      <c r="AR55" s="520"/>
      <c r="AS55" s="327">
        <v>0.68799999999999994</v>
      </c>
      <c r="AT55" s="511"/>
      <c r="AU55" s="9"/>
      <c r="AV55" s="9"/>
      <c r="AW55" s="9"/>
      <c r="AX55" s="9"/>
      <c r="AZ55" s="468"/>
    </row>
    <row r="56" spans="1:52" x14ac:dyDescent="0.25">
      <c r="A56" s="26">
        <f>A55+1</f>
        <v>49</v>
      </c>
      <c r="B56" s="57" t="s">
        <v>286</v>
      </c>
      <c r="C56" s="58"/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8"/>
      <c r="AL56" s="12"/>
      <c r="AM56" s="29"/>
      <c r="AN56" s="10"/>
      <c r="AO56" s="9"/>
      <c r="AP56" s="326">
        <v>800</v>
      </c>
      <c r="AQ56" s="519">
        <v>60</v>
      </c>
      <c r="AR56" s="520"/>
      <c r="AS56" s="327">
        <v>0.69</v>
      </c>
      <c r="AT56" s="511"/>
      <c r="AU56" s="9"/>
      <c r="AV56" s="9"/>
      <c r="AW56" s="9"/>
      <c r="AX56" s="9"/>
      <c r="AZ56" s="468"/>
    </row>
    <row r="57" spans="1:52" x14ac:dyDescent="0.25">
      <c r="A57" s="59"/>
      <c r="B57" s="60" t="s">
        <v>79</v>
      </c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10"/>
      <c r="AO57" s="9"/>
      <c r="AP57" s="326">
        <v>1040</v>
      </c>
      <c r="AQ57" s="519">
        <v>50</v>
      </c>
      <c r="AR57" s="520"/>
      <c r="AS57" s="327">
        <v>0.68</v>
      </c>
      <c r="AT57" s="511"/>
      <c r="AU57" s="9"/>
      <c r="AV57" s="9"/>
      <c r="AW57" s="9"/>
      <c r="AX57" s="9"/>
      <c r="AZ57" s="468"/>
    </row>
    <row r="58" spans="1:52" x14ac:dyDescent="0.25">
      <c r="A58" s="62">
        <v>1</v>
      </c>
      <c r="B58" s="62">
        <v>2</v>
      </c>
      <c r="C58" s="62">
        <v>3</v>
      </c>
      <c r="D58" s="62">
        <v>4</v>
      </c>
      <c r="E58" s="62">
        <v>5</v>
      </c>
      <c r="F58" s="62">
        <v>6</v>
      </c>
      <c r="G58" s="62">
        <v>7</v>
      </c>
      <c r="H58" s="62">
        <v>8</v>
      </c>
      <c r="I58" s="62">
        <v>9</v>
      </c>
      <c r="J58" s="62">
        <v>10</v>
      </c>
      <c r="K58" s="62">
        <v>11</v>
      </c>
      <c r="L58" s="62">
        <v>12</v>
      </c>
      <c r="M58" s="62">
        <v>13</v>
      </c>
      <c r="N58" s="62">
        <v>14</v>
      </c>
      <c r="O58" s="62">
        <v>15</v>
      </c>
      <c r="P58" s="62">
        <v>16</v>
      </c>
      <c r="Q58" s="62">
        <v>17</v>
      </c>
      <c r="R58" s="62">
        <v>18</v>
      </c>
      <c r="S58" s="62">
        <v>19</v>
      </c>
      <c r="T58" s="62">
        <v>20</v>
      </c>
      <c r="U58" s="62">
        <v>21</v>
      </c>
      <c r="V58" s="62">
        <v>22</v>
      </c>
      <c r="W58" s="62">
        <v>23</v>
      </c>
      <c r="X58" s="62">
        <v>24</v>
      </c>
      <c r="Y58" s="62">
        <v>25</v>
      </c>
      <c r="Z58" s="62">
        <v>26</v>
      </c>
      <c r="AA58" s="62">
        <v>27</v>
      </c>
      <c r="AB58" s="62">
        <v>28</v>
      </c>
      <c r="AC58" s="62">
        <v>29</v>
      </c>
      <c r="AD58" s="62">
        <v>30</v>
      </c>
      <c r="AE58" s="62">
        <v>31</v>
      </c>
      <c r="AF58" s="62">
        <v>32</v>
      </c>
      <c r="AG58" s="62">
        <v>33</v>
      </c>
      <c r="AH58" s="62">
        <v>34</v>
      </c>
      <c r="AI58" s="62">
        <v>35</v>
      </c>
      <c r="AJ58" s="62">
        <v>36</v>
      </c>
      <c r="AK58" s="62">
        <v>37</v>
      </c>
      <c r="AL58" s="62">
        <v>38</v>
      </c>
      <c r="AM58" s="62">
        <v>39</v>
      </c>
      <c r="AN58" s="9"/>
      <c r="AO58" s="9"/>
      <c r="AP58" s="326">
        <v>1120</v>
      </c>
      <c r="AQ58" s="509">
        <v>35</v>
      </c>
      <c r="AR58" s="509"/>
      <c r="AS58" s="327">
        <v>0.5</v>
      </c>
      <c r="AT58" s="511"/>
      <c r="AU58" s="9"/>
      <c r="AV58" s="9"/>
      <c r="AW58" s="9"/>
      <c r="AX58" s="9"/>
      <c r="AZ58" s="468"/>
    </row>
    <row r="59" spans="1:52" x14ac:dyDescent="0.25">
      <c r="A59" s="63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5"/>
      <c r="T59" s="66" t="s">
        <v>1</v>
      </c>
      <c r="U59" s="61" t="s">
        <v>1</v>
      </c>
      <c r="V59" s="67" t="s">
        <v>1</v>
      </c>
      <c r="W59" s="61" t="s">
        <v>1</v>
      </c>
      <c r="X59" s="61" t="s">
        <v>1</v>
      </c>
      <c r="Y59" s="61" t="s">
        <v>1</v>
      </c>
      <c r="Z59" s="61" t="s">
        <v>1</v>
      </c>
      <c r="AA59" s="61" t="s">
        <v>1</v>
      </c>
      <c r="AB59" s="61" t="s">
        <v>1</v>
      </c>
      <c r="AC59" s="61" t="s">
        <v>1</v>
      </c>
      <c r="AD59" s="61" t="s">
        <v>1</v>
      </c>
      <c r="AE59" s="61" t="s">
        <v>1</v>
      </c>
      <c r="AF59" s="61" t="s">
        <v>1</v>
      </c>
      <c r="AG59" s="61" t="s">
        <v>1</v>
      </c>
      <c r="AH59" s="61" t="s">
        <v>1</v>
      </c>
      <c r="AI59" s="61" t="s">
        <v>1</v>
      </c>
      <c r="AJ59" s="61" t="s">
        <v>1</v>
      </c>
      <c r="AK59" s="61" t="s">
        <v>1</v>
      </c>
      <c r="AL59" s="64"/>
      <c r="AM59" s="65"/>
      <c r="AN59" s="10"/>
      <c r="AO59" s="9"/>
      <c r="AP59" s="326"/>
      <c r="AQ59" s="509"/>
      <c r="AR59" s="509"/>
      <c r="AS59" s="327"/>
      <c r="AT59" s="511"/>
      <c r="AU59" s="9"/>
      <c r="AV59" s="9"/>
      <c r="AW59" s="9"/>
      <c r="AX59" s="9"/>
      <c r="AZ59" s="468"/>
    </row>
    <row r="60" spans="1:52" ht="21" thickBot="1" x14ac:dyDescent="0.35">
      <c r="A60" s="68"/>
      <c r="B60" s="185"/>
      <c r="C60" s="185"/>
      <c r="D60" s="185"/>
      <c r="E60" s="69"/>
      <c r="F60" s="185"/>
      <c r="G60" s="185"/>
      <c r="H60" s="185"/>
      <c r="I60" s="185"/>
      <c r="J60" s="185"/>
      <c r="K60" s="185"/>
      <c r="L60" s="185"/>
      <c r="M60" s="185"/>
      <c r="N60" s="185"/>
      <c r="O60" s="185"/>
      <c r="P60" s="185"/>
      <c r="Q60" s="185"/>
      <c r="R60" s="185"/>
      <c r="S60" s="70"/>
      <c r="T60" s="71"/>
      <c r="U60" s="71"/>
      <c r="V60" s="72"/>
      <c r="W60" s="71"/>
      <c r="X60" s="71"/>
      <c r="Y60" s="71"/>
      <c r="Z60" s="72"/>
      <c r="AA60" s="72"/>
      <c r="AB60" s="72"/>
      <c r="AC60" s="72"/>
      <c r="AD60" s="72"/>
      <c r="AE60" s="72"/>
      <c r="AF60" s="72"/>
      <c r="AG60" s="72"/>
      <c r="AH60" s="72"/>
      <c r="AI60" s="72"/>
      <c r="AJ60" s="72"/>
      <c r="AK60" s="71"/>
      <c r="AL60" s="10"/>
      <c r="AM60" s="73"/>
      <c r="AN60" s="10"/>
      <c r="AO60" s="9"/>
      <c r="AP60" s="328"/>
      <c r="AQ60" s="510"/>
      <c r="AR60" s="510"/>
      <c r="AS60" s="329"/>
      <c r="AT60" s="511"/>
      <c r="AU60" s="9"/>
      <c r="AV60" s="9"/>
      <c r="AW60" s="9"/>
      <c r="AX60" s="9"/>
      <c r="AZ60" s="468"/>
    </row>
    <row r="61" spans="1:52" x14ac:dyDescent="0.25">
      <c r="A61" s="74"/>
      <c r="B61" s="75"/>
      <c r="C61" s="75"/>
      <c r="D61" s="75"/>
      <c r="E61" s="75" t="s">
        <v>80</v>
      </c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6"/>
      <c r="T61" s="71" t="s">
        <v>81</v>
      </c>
      <c r="U61" s="71"/>
      <c r="V61" s="71"/>
      <c r="W61" s="588">
        <v>0</v>
      </c>
      <c r="X61" s="588"/>
      <c r="Y61" s="588"/>
      <c r="Z61" s="588"/>
      <c r="AA61" s="588"/>
      <c r="AB61" s="72" t="s">
        <v>2</v>
      </c>
      <c r="AC61" s="72"/>
      <c r="AD61" s="72"/>
      <c r="AE61" s="588" t="s">
        <v>82</v>
      </c>
      <c r="AF61" s="588"/>
      <c r="AG61" s="588"/>
      <c r="AH61" s="588"/>
      <c r="AI61" s="588"/>
      <c r="AJ61" s="588"/>
      <c r="AK61" s="588"/>
      <c r="AL61" s="10"/>
      <c r="AM61" s="70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  <c r="AZ61" s="468"/>
    </row>
    <row r="62" spans="1:52" x14ac:dyDescent="0.25">
      <c r="A62" s="187" t="s">
        <v>5</v>
      </c>
      <c r="B62" s="185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70"/>
      <c r="T62" s="71" t="s">
        <v>83</v>
      </c>
      <c r="U62" s="71"/>
      <c r="V62" s="71"/>
      <c r="W62" s="72"/>
      <c r="X62" s="589" t="s">
        <v>82</v>
      </c>
      <c r="Y62" s="589"/>
      <c r="Z62" s="589"/>
      <c r="AA62" s="589"/>
      <c r="AB62" s="77" t="s">
        <v>7</v>
      </c>
      <c r="AC62" s="77"/>
      <c r="AD62" s="588" t="s">
        <v>82</v>
      </c>
      <c r="AE62" s="588"/>
      <c r="AF62" s="588"/>
      <c r="AG62" s="588"/>
      <c r="AH62" s="588"/>
      <c r="AI62" s="588"/>
      <c r="AJ62" s="588"/>
      <c r="AK62" s="588"/>
      <c r="AL62" s="10"/>
      <c r="AM62" s="70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  <c r="AZ62" s="468"/>
    </row>
    <row r="63" spans="1:52" x14ac:dyDescent="0.25">
      <c r="A63" s="188" t="s">
        <v>8</v>
      </c>
      <c r="B63" s="185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70"/>
      <c r="T63" s="71" t="s">
        <v>84</v>
      </c>
      <c r="U63" s="71"/>
      <c r="V63" s="189">
        <v>2</v>
      </c>
      <c r="W63" s="186"/>
      <c r="X63" s="190" t="s">
        <v>11</v>
      </c>
      <c r="Y63" s="190"/>
      <c r="Z63" s="78">
        <v>7</v>
      </c>
      <c r="AA63" s="79"/>
      <c r="AB63" s="77" t="s">
        <v>12</v>
      </c>
      <c r="AC63" s="80" t="s">
        <v>82</v>
      </c>
      <c r="AD63" s="81"/>
      <c r="AE63" s="81"/>
      <c r="AF63" s="81"/>
      <c r="AG63" s="81"/>
      <c r="AH63" s="81"/>
      <c r="AI63" s="81"/>
      <c r="AJ63" s="81"/>
      <c r="AK63" s="80" t="s">
        <v>82</v>
      </c>
      <c r="AL63" s="10"/>
      <c r="AM63" s="70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2" x14ac:dyDescent="0.25">
      <c r="A64" s="188" t="s">
        <v>279</v>
      </c>
      <c r="B64" s="191"/>
      <c r="C64" s="191"/>
      <c r="D64" s="191"/>
      <c r="E64" s="191"/>
      <c r="F64" s="191"/>
      <c r="G64" s="191"/>
      <c r="H64" s="191"/>
      <c r="I64" s="191"/>
      <c r="J64" s="191"/>
      <c r="K64" s="191"/>
      <c r="L64" s="191"/>
      <c r="M64" s="191"/>
      <c r="N64" s="191"/>
      <c r="O64" s="191"/>
      <c r="P64" s="191"/>
      <c r="Q64" s="191"/>
      <c r="R64" s="191"/>
      <c r="S64" s="82" t="s">
        <v>1</v>
      </c>
      <c r="T64" s="83" t="s">
        <v>1</v>
      </c>
      <c r="U64" s="83" t="s">
        <v>1</v>
      </c>
      <c r="V64" s="83" t="s">
        <v>1</v>
      </c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75"/>
      <c r="AM64" s="76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85">
        <v>1</v>
      </c>
      <c r="B65" s="83" t="s">
        <v>85</v>
      </c>
      <c r="C65" s="98"/>
      <c r="D65" s="98"/>
      <c r="E65" s="98"/>
      <c r="F65" s="98"/>
      <c r="G65" s="83"/>
      <c r="H65" s="83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83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  <c r="AK65" s="98"/>
      <c r="AL65" s="75"/>
      <c r="AM65" s="100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86">
        <f t="shared" ref="A66:A113" si="1">A65+1</f>
        <v>2</v>
      </c>
      <c r="B66" s="87" t="s">
        <v>86</v>
      </c>
      <c r="C66" s="88"/>
      <c r="D66" s="67"/>
      <c r="E66" s="67"/>
      <c r="F66" s="67"/>
      <c r="G66" s="67"/>
      <c r="H66" s="67"/>
      <c r="I66" s="67"/>
      <c r="J66" s="67"/>
      <c r="K66" s="590" t="s">
        <v>87</v>
      </c>
      <c r="L66" s="591"/>
      <c r="M66" s="591"/>
      <c r="N66" s="591"/>
      <c r="O66" s="591"/>
      <c r="P66" s="591"/>
      <c r="Q66" s="192" t="s">
        <v>88</v>
      </c>
      <c r="R66" s="193"/>
      <c r="S66" s="193"/>
      <c r="T66" s="193"/>
      <c r="U66" s="193"/>
      <c r="V66" s="193"/>
      <c r="W66" s="101"/>
      <c r="X66" s="101"/>
      <c r="Y66" s="101"/>
      <c r="Z66" s="101"/>
      <c r="AA66" s="101"/>
      <c r="AB66" s="67"/>
      <c r="AC66" s="89"/>
      <c r="AD66" s="67"/>
      <c r="AE66" s="67"/>
      <c r="AF66" s="67"/>
      <c r="AG66" s="67"/>
      <c r="AH66" s="90"/>
      <c r="AI66" s="67"/>
      <c r="AJ66" s="67"/>
      <c r="AK66" s="67"/>
      <c r="AL66" s="116"/>
      <c r="AM66" s="8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86">
        <f t="shared" si="1"/>
        <v>3</v>
      </c>
      <c r="B67" s="91"/>
      <c r="C67" s="92" t="s">
        <v>89</v>
      </c>
      <c r="D67" s="92"/>
      <c r="E67" s="83"/>
      <c r="F67" s="92"/>
      <c r="G67" s="92"/>
      <c r="H67" s="92"/>
      <c r="I67" s="92"/>
      <c r="J67" s="92"/>
      <c r="K67" s="595" t="s">
        <v>35</v>
      </c>
      <c r="L67" s="596"/>
      <c r="M67" s="603"/>
      <c r="N67" s="595"/>
      <c r="O67" s="596"/>
      <c r="P67" s="603"/>
      <c r="Q67" s="595" t="s">
        <v>36</v>
      </c>
      <c r="R67" s="596"/>
      <c r="S67" s="487"/>
      <c r="T67" s="488"/>
      <c r="U67" s="93"/>
      <c r="V67" s="94" t="s">
        <v>90</v>
      </c>
      <c r="W67" s="95"/>
      <c r="X67" s="93"/>
      <c r="Y67" s="94" t="s">
        <v>91</v>
      </c>
      <c r="Z67" s="95"/>
      <c r="AA67" s="93"/>
      <c r="AB67" s="94" t="s">
        <v>92</v>
      </c>
      <c r="AC67" s="95"/>
      <c r="AD67" s="612" t="s">
        <v>93</v>
      </c>
      <c r="AE67" s="613"/>
      <c r="AF67" s="613"/>
      <c r="AG67" s="613"/>
      <c r="AH67" s="613"/>
      <c r="AI67" s="613"/>
      <c r="AJ67" s="613"/>
      <c r="AK67" s="613"/>
      <c r="AL67" s="613"/>
      <c r="AM67" s="96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25">
      <c r="A68" s="86">
        <f t="shared" si="1"/>
        <v>4</v>
      </c>
      <c r="B68" s="92"/>
      <c r="C68" s="92"/>
      <c r="D68" s="92"/>
      <c r="E68" s="92"/>
      <c r="F68" s="92"/>
      <c r="G68" s="92"/>
      <c r="H68" s="194" t="s">
        <v>94</v>
      </c>
      <c r="I68" s="195"/>
      <c r="J68" s="196"/>
      <c r="K68" s="75"/>
      <c r="L68" s="92"/>
      <c r="M68" s="92"/>
      <c r="N68" s="97"/>
      <c r="O68" s="98"/>
      <c r="P68" s="98"/>
      <c r="Q68" s="99"/>
      <c r="R68" s="75"/>
      <c r="S68" s="98"/>
      <c r="T68" s="100"/>
      <c r="U68" s="99"/>
      <c r="V68" s="101"/>
      <c r="W68" s="102"/>
      <c r="X68" s="103"/>
      <c r="Y68" s="101"/>
      <c r="Z68" s="102"/>
      <c r="AA68" s="103"/>
      <c r="AB68" s="92"/>
      <c r="AC68" s="96"/>
      <c r="AD68" s="92"/>
      <c r="AE68" s="92"/>
      <c r="AF68" s="92"/>
      <c r="AG68" s="92"/>
      <c r="AH68" s="92"/>
      <c r="AI68" s="92"/>
      <c r="AJ68" s="92"/>
      <c r="AK68" s="92"/>
      <c r="AL68" s="92"/>
      <c r="AM68" s="96"/>
      <c r="AN68" s="9"/>
      <c r="AO68" s="435"/>
      <c r="AP68" s="435"/>
      <c r="AQ68" s="435"/>
      <c r="AR68" s="435"/>
      <c r="AS68" s="435"/>
      <c r="AT68" s="435"/>
      <c r="AU68" s="435"/>
      <c r="AV68" s="435"/>
      <c r="AW68" s="9"/>
      <c r="AX68" s="9"/>
    </row>
    <row r="69" spans="1:50" x14ac:dyDescent="0.25">
      <c r="A69" s="86">
        <f t="shared" si="1"/>
        <v>5</v>
      </c>
      <c r="B69" s="585" t="s">
        <v>487</v>
      </c>
      <c r="C69" s="586" t="s">
        <v>487</v>
      </c>
      <c r="D69" s="586" t="s">
        <v>487</v>
      </c>
      <c r="E69" s="586" t="s">
        <v>487</v>
      </c>
      <c r="F69" s="586" t="s">
        <v>487</v>
      </c>
      <c r="G69" s="587" t="s">
        <v>487</v>
      </c>
      <c r="H69" s="200"/>
      <c r="I69" s="201"/>
      <c r="J69" s="196"/>
      <c r="K69" s="592">
        <v>0.73660000000000003</v>
      </c>
      <c r="L69" s="593"/>
      <c r="M69" s="594"/>
      <c r="N69" s="97"/>
      <c r="O69" s="98"/>
      <c r="P69" s="98"/>
      <c r="Q69" s="592">
        <v>0.73660000000000003</v>
      </c>
      <c r="R69" s="593"/>
      <c r="S69" s="594"/>
      <c r="T69" s="483"/>
      <c r="U69" s="99"/>
      <c r="V69" s="98"/>
      <c r="W69" s="100"/>
      <c r="X69" s="99"/>
      <c r="Y69" s="98"/>
      <c r="Z69" s="100"/>
      <c r="AA69" s="99"/>
      <c r="AB69" s="92"/>
      <c r="AC69" s="96"/>
      <c r="AD69" s="92"/>
      <c r="AE69" s="92"/>
      <c r="AF69" s="92"/>
      <c r="AG69" s="92"/>
      <c r="AH69" s="92"/>
      <c r="AI69" s="92"/>
      <c r="AJ69" s="92"/>
      <c r="AK69" s="92"/>
      <c r="AL69" s="92"/>
      <c r="AM69" s="96"/>
      <c r="AN69" s="9"/>
      <c r="AO69" s="435"/>
      <c r="AP69" s="435"/>
      <c r="AQ69" s="435"/>
      <c r="AR69" s="435"/>
      <c r="AS69" s="435"/>
      <c r="AT69" s="435"/>
      <c r="AU69" s="435"/>
      <c r="AV69" s="435"/>
      <c r="AW69" s="450"/>
      <c r="AX69" s="450"/>
    </row>
    <row r="70" spans="1:50" x14ac:dyDescent="0.25">
      <c r="A70" s="86">
        <f t="shared" si="1"/>
        <v>6</v>
      </c>
      <c r="B70" s="585" t="s">
        <v>95</v>
      </c>
      <c r="C70" s="586" t="s">
        <v>487</v>
      </c>
      <c r="D70" s="586" t="s">
        <v>487</v>
      </c>
      <c r="E70" s="586" t="s">
        <v>487</v>
      </c>
      <c r="F70" s="586" t="s">
        <v>487</v>
      </c>
      <c r="G70" s="587" t="s">
        <v>487</v>
      </c>
      <c r="H70" s="200"/>
      <c r="I70" s="201"/>
      <c r="J70" s="196"/>
      <c r="K70" s="592">
        <v>0.11527</v>
      </c>
      <c r="L70" s="593"/>
      <c r="M70" s="594"/>
      <c r="N70" s="97"/>
      <c r="O70" s="98"/>
      <c r="P70" s="98"/>
      <c r="Q70" s="592">
        <v>0.11527</v>
      </c>
      <c r="R70" s="593"/>
      <c r="S70" s="594"/>
      <c r="T70" s="483"/>
      <c r="U70" s="99"/>
      <c r="V70" s="98"/>
      <c r="W70" s="100"/>
      <c r="X70" s="99"/>
      <c r="Y70" s="98"/>
      <c r="Z70" s="100"/>
      <c r="AA70" s="99"/>
      <c r="AB70" s="92"/>
      <c r="AC70" s="96"/>
      <c r="AD70" s="92"/>
      <c r="AE70" s="92"/>
      <c r="AF70" s="92"/>
      <c r="AG70" s="92"/>
      <c r="AH70" s="92"/>
      <c r="AI70" s="92"/>
      <c r="AJ70" s="92"/>
      <c r="AK70" s="92"/>
      <c r="AL70" s="92"/>
      <c r="AM70" s="96"/>
      <c r="AN70" s="9"/>
      <c r="AO70" s="435"/>
      <c r="AP70" s="435"/>
      <c r="AQ70" s="435"/>
      <c r="AR70" s="435"/>
      <c r="AS70" s="435"/>
      <c r="AT70" s="435"/>
      <c r="AU70" s="435"/>
      <c r="AV70" s="435"/>
      <c r="AW70" s="450"/>
      <c r="AX70" s="450"/>
    </row>
    <row r="71" spans="1:50" x14ac:dyDescent="0.25">
      <c r="A71" s="86">
        <f t="shared" si="1"/>
        <v>7</v>
      </c>
      <c r="B71" s="585" t="s">
        <v>96</v>
      </c>
      <c r="C71" s="586" t="s">
        <v>487</v>
      </c>
      <c r="D71" s="586" t="s">
        <v>487</v>
      </c>
      <c r="E71" s="586" t="s">
        <v>487</v>
      </c>
      <c r="F71" s="586" t="s">
        <v>487</v>
      </c>
      <c r="G71" s="587" t="s">
        <v>487</v>
      </c>
      <c r="H71" s="200"/>
      <c r="I71" s="201"/>
      <c r="J71" s="196"/>
      <c r="K71" s="592">
        <v>7.3779999999999998E-2</v>
      </c>
      <c r="L71" s="593"/>
      <c r="M71" s="594"/>
      <c r="N71" s="99"/>
      <c r="O71" s="98"/>
      <c r="P71" s="100"/>
      <c r="Q71" s="592">
        <v>7.3779999999999998E-2</v>
      </c>
      <c r="R71" s="593"/>
      <c r="S71" s="594"/>
      <c r="T71" s="483"/>
      <c r="U71" s="99"/>
      <c r="V71" s="98"/>
      <c r="W71" s="100"/>
      <c r="X71" s="99"/>
      <c r="Y71" s="98"/>
      <c r="Z71" s="100"/>
      <c r="AA71" s="99"/>
      <c r="AB71" s="92"/>
      <c r="AC71" s="96"/>
      <c r="AD71" s="92"/>
      <c r="AE71" s="92"/>
      <c r="AF71" s="92"/>
      <c r="AG71" s="92"/>
      <c r="AH71" s="92"/>
      <c r="AI71" s="92"/>
      <c r="AJ71" s="92"/>
      <c r="AK71" s="92"/>
      <c r="AL71" s="92"/>
      <c r="AM71" s="96"/>
      <c r="AN71" s="104"/>
      <c r="AO71" s="435"/>
      <c r="AP71" s="435"/>
      <c r="AQ71" s="435"/>
      <c r="AR71" s="435"/>
      <c r="AS71" s="435"/>
      <c r="AT71" s="435"/>
      <c r="AU71" s="435"/>
      <c r="AV71" s="435"/>
      <c r="AW71" s="450"/>
      <c r="AX71" s="450"/>
    </row>
    <row r="72" spans="1:50" x14ac:dyDescent="0.25">
      <c r="A72" s="86">
        <f t="shared" si="1"/>
        <v>8</v>
      </c>
      <c r="B72" s="585" t="s">
        <v>97</v>
      </c>
      <c r="C72" s="586" t="s">
        <v>487</v>
      </c>
      <c r="D72" s="586" t="s">
        <v>487</v>
      </c>
      <c r="E72" s="586" t="s">
        <v>487</v>
      </c>
      <c r="F72" s="586" t="s">
        <v>487</v>
      </c>
      <c r="G72" s="587" t="s">
        <v>487</v>
      </c>
      <c r="H72" s="200"/>
      <c r="I72" s="201"/>
      <c r="J72" s="196"/>
      <c r="K72" s="592">
        <v>1.8689999999999998E-2</v>
      </c>
      <c r="L72" s="593"/>
      <c r="M72" s="594"/>
      <c r="N72" s="99"/>
      <c r="O72" s="98"/>
      <c r="P72" s="100"/>
      <c r="Q72" s="592">
        <v>1.8689999999999998E-2</v>
      </c>
      <c r="R72" s="593"/>
      <c r="S72" s="594"/>
      <c r="T72" s="483"/>
      <c r="U72" s="99"/>
      <c r="V72" s="98"/>
      <c r="W72" s="100"/>
      <c r="X72" s="99"/>
      <c r="Y72" s="98"/>
      <c r="Z72" s="100"/>
      <c r="AA72" s="99"/>
      <c r="AB72" s="92"/>
      <c r="AC72" s="96"/>
      <c r="AD72" s="92"/>
      <c r="AE72" s="92"/>
      <c r="AF72" s="92"/>
      <c r="AG72" s="92"/>
      <c r="AH72" s="92"/>
      <c r="AI72" s="92"/>
      <c r="AJ72" s="92"/>
      <c r="AK72" s="92"/>
      <c r="AL72" s="92"/>
      <c r="AM72" s="96"/>
      <c r="AN72" s="104"/>
      <c r="AO72" s="435"/>
      <c r="AP72" s="435"/>
      <c r="AQ72" s="435"/>
      <c r="AR72" s="435"/>
      <c r="AS72" s="435"/>
      <c r="AT72" s="435"/>
      <c r="AU72" s="435"/>
      <c r="AV72" s="435"/>
      <c r="AW72" s="450"/>
      <c r="AX72" s="450"/>
    </row>
    <row r="73" spans="1:50" x14ac:dyDescent="0.25">
      <c r="A73" s="86">
        <f t="shared" si="1"/>
        <v>9</v>
      </c>
      <c r="B73" s="585" t="s">
        <v>98</v>
      </c>
      <c r="C73" s="586" t="s">
        <v>487</v>
      </c>
      <c r="D73" s="586" t="s">
        <v>487</v>
      </c>
      <c r="E73" s="586" t="s">
        <v>487</v>
      </c>
      <c r="F73" s="586" t="s">
        <v>487</v>
      </c>
      <c r="G73" s="587" t="s">
        <v>487</v>
      </c>
      <c r="H73" s="200"/>
      <c r="I73" s="201"/>
      <c r="J73" s="196"/>
      <c r="K73" s="592">
        <v>1.0999999999999999E-2</v>
      </c>
      <c r="L73" s="593"/>
      <c r="M73" s="594"/>
      <c r="N73" s="99"/>
      <c r="O73" s="98"/>
      <c r="P73" s="100"/>
      <c r="Q73" s="592">
        <v>1.0999999999999999E-2</v>
      </c>
      <c r="R73" s="593"/>
      <c r="S73" s="594"/>
      <c r="T73" s="483"/>
      <c r="U73" s="99"/>
      <c r="V73" s="98"/>
      <c r="W73" s="100"/>
      <c r="X73" s="99"/>
      <c r="Y73" s="98"/>
      <c r="Z73" s="100"/>
      <c r="AA73" s="99"/>
      <c r="AB73" s="92"/>
      <c r="AC73" s="96"/>
      <c r="AD73" s="92"/>
      <c r="AE73" s="92"/>
      <c r="AF73" s="92"/>
      <c r="AG73" s="92"/>
      <c r="AH73" s="92"/>
      <c r="AI73" s="92"/>
      <c r="AJ73" s="92"/>
      <c r="AK73" s="92"/>
      <c r="AL73" s="92"/>
      <c r="AM73" s="96"/>
      <c r="AN73" s="104"/>
      <c r="AO73" s="435"/>
      <c r="AP73" s="435"/>
      <c r="AQ73" s="435"/>
      <c r="AR73" s="435"/>
      <c r="AS73" s="435"/>
      <c r="AT73" s="435"/>
      <c r="AU73" s="435"/>
      <c r="AV73" s="435"/>
      <c r="AW73" s="450"/>
      <c r="AX73" s="450"/>
    </row>
    <row r="74" spans="1:50" x14ac:dyDescent="0.25">
      <c r="A74" s="86">
        <f t="shared" si="1"/>
        <v>10</v>
      </c>
      <c r="B74" s="585" t="s">
        <v>99</v>
      </c>
      <c r="C74" s="586" t="s">
        <v>487</v>
      </c>
      <c r="D74" s="586" t="s">
        <v>487</v>
      </c>
      <c r="E74" s="586" t="s">
        <v>487</v>
      </c>
      <c r="F74" s="586" t="s">
        <v>487</v>
      </c>
      <c r="G74" s="587" t="s">
        <v>487</v>
      </c>
      <c r="H74" s="200"/>
      <c r="I74" s="201"/>
      <c r="J74" s="196"/>
      <c r="K74" s="592">
        <v>3.3E-3</v>
      </c>
      <c r="L74" s="593"/>
      <c r="M74" s="594"/>
      <c r="N74" s="99"/>
      <c r="O74" s="98"/>
      <c r="P74" s="100"/>
      <c r="Q74" s="592">
        <v>3.3E-3</v>
      </c>
      <c r="R74" s="593"/>
      <c r="S74" s="594"/>
      <c r="T74" s="483"/>
      <c r="U74" s="99"/>
      <c r="V74" s="98"/>
      <c r="W74" s="100"/>
      <c r="X74" s="99"/>
      <c r="Y74" s="98"/>
      <c r="Z74" s="100"/>
      <c r="AA74" s="99"/>
      <c r="AB74" s="92"/>
      <c r="AC74" s="96"/>
      <c r="AD74" s="92"/>
      <c r="AE74" s="92"/>
      <c r="AF74" s="92"/>
      <c r="AG74" s="92"/>
      <c r="AH74" s="92"/>
      <c r="AI74" s="92"/>
      <c r="AJ74" s="92"/>
      <c r="AK74" s="92"/>
      <c r="AL74" s="92"/>
      <c r="AM74" s="96"/>
      <c r="AN74" s="104"/>
      <c r="AO74" s="435"/>
      <c r="AP74" s="435"/>
      <c r="AQ74" s="435"/>
      <c r="AR74" s="435"/>
      <c r="AS74" s="435"/>
      <c r="AT74" s="435"/>
      <c r="AU74" s="435"/>
      <c r="AV74" s="435"/>
      <c r="AW74" s="450"/>
      <c r="AX74" s="450"/>
    </row>
    <row r="75" spans="1:50" x14ac:dyDescent="0.25">
      <c r="A75" s="86">
        <f t="shared" si="1"/>
        <v>11</v>
      </c>
      <c r="B75" s="585" t="s">
        <v>100</v>
      </c>
      <c r="C75" s="586" t="s">
        <v>487</v>
      </c>
      <c r="D75" s="586" t="s">
        <v>487</v>
      </c>
      <c r="E75" s="586" t="s">
        <v>487</v>
      </c>
      <c r="F75" s="586" t="s">
        <v>487</v>
      </c>
      <c r="G75" s="587" t="s">
        <v>487</v>
      </c>
      <c r="H75" s="200"/>
      <c r="I75" s="201"/>
      <c r="J75" s="196"/>
      <c r="K75" s="592">
        <v>3.0000000000000001E-3</v>
      </c>
      <c r="L75" s="593"/>
      <c r="M75" s="594"/>
      <c r="N75" s="99"/>
      <c r="O75" s="98"/>
      <c r="P75" s="100"/>
      <c r="Q75" s="592">
        <v>3.0000000000000001E-3</v>
      </c>
      <c r="R75" s="593"/>
      <c r="S75" s="594"/>
      <c r="T75" s="483"/>
      <c r="U75" s="97"/>
      <c r="V75" s="92"/>
      <c r="W75" s="96"/>
      <c r="X75" s="97"/>
      <c r="Y75" s="92"/>
      <c r="Z75" s="96"/>
      <c r="AA75" s="97"/>
      <c r="AB75" s="75"/>
      <c r="AC75" s="96"/>
      <c r="AD75" s="96" t="s">
        <v>101</v>
      </c>
      <c r="AE75" s="92"/>
      <c r="AF75" s="92"/>
      <c r="AG75" s="92"/>
      <c r="AH75" s="92"/>
      <c r="AI75" s="92"/>
      <c r="AJ75" s="92"/>
      <c r="AK75" s="92"/>
      <c r="AL75" s="92"/>
      <c r="AM75" s="96"/>
      <c r="AN75" s="104"/>
      <c r="AO75" s="435"/>
      <c r="AP75" s="435"/>
      <c r="AQ75" s="435"/>
      <c r="AR75" s="435"/>
      <c r="AS75" s="435"/>
      <c r="AT75" s="435"/>
      <c r="AU75" s="435"/>
      <c r="AV75" s="435"/>
      <c r="AW75" s="450"/>
      <c r="AX75" s="450"/>
    </row>
    <row r="76" spans="1:50" x14ac:dyDescent="0.25">
      <c r="A76" s="86">
        <f t="shared" si="1"/>
        <v>12</v>
      </c>
      <c r="B76" s="585" t="s">
        <v>102</v>
      </c>
      <c r="C76" s="586" t="s">
        <v>487</v>
      </c>
      <c r="D76" s="586" t="s">
        <v>487</v>
      </c>
      <c r="E76" s="586" t="s">
        <v>487</v>
      </c>
      <c r="F76" s="586" t="s">
        <v>487</v>
      </c>
      <c r="G76" s="587" t="s">
        <v>487</v>
      </c>
      <c r="H76" s="200"/>
      <c r="I76" s="201"/>
      <c r="J76" s="196"/>
      <c r="K76" s="592">
        <v>5.9999999999999995E-4</v>
      </c>
      <c r="L76" s="593"/>
      <c r="M76" s="594"/>
      <c r="N76" s="99"/>
      <c r="O76" s="98"/>
      <c r="P76" s="100"/>
      <c r="Q76" s="592">
        <v>5.9999999999999995E-4</v>
      </c>
      <c r="R76" s="593"/>
      <c r="S76" s="594"/>
      <c r="T76" s="483"/>
      <c r="U76" s="97"/>
      <c r="V76" s="92"/>
      <c r="W76" s="96"/>
      <c r="X76" s="97"/>
      <c r="Y76" s="92"/>
      <c r="Z76" s="96"/>
      <c r="AA76" s="97"/>
      <c r="AB76" s="92"/>
      <c r="AC76" s="96"/>
      <c r="AD76" s="92" t="s">
        <v>103</v>
      </c>
      <c r="AE76" s="92"/>
      <c r="AF76" s="92"/>
      <c r="AG76" s="92"/>
      <c r="AH76" s="92"/>
      <c r="AI76" s="92"/>
      <c r="AJ76" s="92"/>
      <c r="AK76" s="92"/>
      <c r="AL76" s="92"/>
      <c r="AM76" s="96"/>
      <c r="AN76" s="104"/>
      <c r="AO76" s="435"/>
      <c r="AP76" s="435"/>
      <c r="AQ76" s="435"/>
      <c r="AR76" s="435"/>
      <c r="AS76" s="435"/>
      <c r="AT76" s="435"/>
      <c r="AU76" s="435"/>
      <c r="AV76" s="435"/>
      <c r="AW76" s="450"/>
      <c r="AX76" s="450"/>
    </row>
    <row r="77" spans="1:50" x14ac:dyDescent="0.25">
      <c r="A77" s="86">
        <f t="shared" si="1"/>
        <v>13</v>
      </c>
      <c r="B77" s="585" t="s">
        <v>104</v>
      </c>
      <c r="C77" s="586" t="s">
        <v>487</v>
      </c>
      <c r="D77" s="586" t="s">
        <v>487</v>
      </c>
      <c r="E77" s="586" t="s">
        <v>487</v>
      </c>
      <c r="F77" s="586" t="s">
        <v>487</v>
      </c>
      <c r="G77" s="587" t="s">
        <v>487</v>
      </c>
      <c r="H77" s="200"/>
      <c r="I77" s="201"/>
      <c r="J77" s="196"/>
      <c r="K77" s="592">
        <v>7.6E-3</v>
      </c>
      <c r="L77" s="593"/>
      <c r="M77" s="594"/>
      <c r="N77" s="97"/>
      <c r="O77" s="92"/>
      <c r="P77" s="96"/>
      <c r="Q77" s="592">
        <v>7.6E-3</v>
      </c>
      <c r="R77" s="593"/>
      <c r="S77" s="594"/>
      <c r="T77" s="483"/>
      <c r="U77" s="97"/>
      <c r="V77" s="92"/>
      <c r="W77" s="96"/>
      <c r="X77" s="97"/>
      <c r="Y77" s="92"/>
      <c r="Z77" s="96"/>
      <c r="AA77" s="97"/>
      <c r="AB77" s="92"/>
      <c r="AC77" s="96"/>
      <c r="AD77" s="92"/>
      <c r="AE77" s="92"/>
      <c r="AF77" s="92"/>
      <c r="AG77" s="92"/>
      <c r="AH77" s="92"/>
      <c r="AI77" s="92"/>
      <c r="AJ77" s="92"/>
      <c r="AK77" s="92"/>
      <c r="AL77" s="92"/>
      <c r="AM77" s="96"/>
      <c r="AN77" s="104"/>
      <c r="AO77" s="435"/>
      <c r="AP77" s="435"/>
      <c r="AQ77" s="435"/>
      <c r="AR77" s="435"/>
      <c r="AS77" s="435"/>
      <c r="AT77" s="435"/>
      <c r="AU77" s="435"/>
      <c r="AV77" s="435"/>
      <c r="AW77" s="450"/>
      <c r="AX77" s="450"/>
    </row>
    <row r="78" spans="1:50" x14ac:dyDescent="0.25">
      <c r="A78" s="86">
        <f t="shared" si="1"/>
        <v>14</v>
      </c>
      <c r="B78" s="585" t="s">
        <v>105</v>
      </c>
      <c r="C78" s="586" t="s">
        <v>487</v>
      </c>
      <c r="D78" s="586" t="s">
        <v>487</v>
      </c>
      <c r="E78" s="586" t="s">
        <v>487</v>
      </c>
      <c r="F78" s="586" t="s">
        <v>487</v>
      </c>
      <c r="G78" s="587" t="s">
        <v>487</v>
      </c>
      <c r="H78" s="200"/>
      <c r="I78" s="201"/>
      <c r="J78" s="196"/>
      <c r="K78" s="592">
        <v>2.0000000000000001E-4</v>
      </c>
      <c r="L78" s="593"/>
      <c r="M78" s="594"/>
      <c r="N78" s="97"/>
      <c r="O78" s="92"/>
      <c r="P78" s="96"/>
      <c r="Q78" s="592">
        <v>2.0000000000000001E-4</v>
      </c>
      <c r="R78" s="593"/>
      <c r="S78" s="594"/>
      <c r="T78" s="483"/>
      <c r="U78" s="97"/>
      <c r="V78" s="92"/>
      <c r="W78" s="96"/>
      <c r="X78" s="97"/>
      <c r="Y78" s="92"/>
      <c r="Z78" s="96"/>
      <c r="AA78" s="97"/>
      <c r="AB78" s="92"/>
      <c r="AC78" s="96"/>
      <c r="AD78" s="92"/>
      <c r="AE78" s="92"/>
      <c r="AF78" s="92"/>
      <c r="AG78" s="92"/>
      <c r="AH78" s="92"/>
      <c r="AI78" s="92"/>
      <c r="AJ78" s="92"/>
      <c r="AK78" s="92"/>
      <c r="AL78" s="92"/>
      <c r="AM78" s="96"/>
      <c r="AN78" s="104"/>
      <c r="AO78" s="435"/>
      <c r="AP78" s="435"/>
      <c r="AQ78" s="435"/>
      <c r="AR78" s="435"/>
      <c r="AS78" s="435"/>
      <c r="AT78" s="435"/>
      <c r="AU78" s="435"/>
      <c r="AV78" s="435"/>
      <c r="AW78" s="450"/>
      <c r="AX78" s="450"/>
    </row>
    <row r="79" spans="1:50" x14ac:dyDescent="0.25">
      <c r="A79" s="86">
        <f t="shared" si="1"/>
        <v>15</v>
      </c>
      <c r="B79" s="585" t="s">
        <v>485</v>
      </c>
      <c r="C79" s="586" t="s">
        <v>487</v>
      </c>
      <c r="D79" s="586" t="s">
        <v>487</v>
      </c>
      <c r="E79" s="586" t="s">
        <v>487</v>
      </c>
      <c r="F79" s="586" t="s">
        <v>487</v>
      </c>
      <c r="G79" s="587" t="s">
        <v>487</v>
      </c>
      <c r="H79" s="200"/>
      <c r="I79" s="201"/>
      <c r="J79" s="196"/>
      <c r="K79" s="592">
        <v>0.03</v>
      </c>
      <c r="L79" s="593"/>
      <c r="M79" s="594"/>
      <c r="N79" s="97"/>
      <c r="O79" s="92"/>
      <c r="P79" s="96"/>
      <c r="Q79" s="592">
        <v>0.03</v>
      </c>
      <c r="R79" s="593"/>
      <c r="S79" s="594"/>
      <c r="T79" s="483"/>
      <c r="U79" s="97"/>
      <c r="V79" s="92"/>
      <c r="W79" s="96"/>
      <c r="X79" s="97"/>
      <c r="Y79" s="92"/>
      <c r="Z79" s="96"/>
      <c r="AA79" s="97"/>
      <c r="AB79" s="92"/>
      <c r="AC79" s="96"/>
      <c r="AD79" s="92"/>
      <c r="AE79" s="92"/>
      <c r="AF79" s="92"/>
      <c r="AG79" s="92"/>
      <c r="AH79" s="92"/>
      <c r="AI79" s="92"/>
      <c r="AJ79" s="92"/>
      <c r="AK79" s="92"/>
      <c r="AL79" s="92"/>
      <c r="AM79" s="96"/>
      <c r="AN79" s="104"/>
      <c r="AO79" s="435"/>
      <c r="AP79" s="435"/>
      <c r="AQ79" s="435"/>
      <c r="AR79" s="435"/>
      <c r="AS79" s="435"/>
      <c r="AT79" s="435"/>
      <c r="AU79" s="435"/>
      <c r="AV79" s="435"/>
      <c r="AW79" s="450"/>
      <c r="AX79" s="450"/>
    </row>
    <row r="80" spans="1:50" x14ac:dyDescent="0.25">
      <c r="A80" s="86">
        <f t="shared" si="1"/>
        <v>16</v>
      </c>
      <c r="B80" s="585" t="s">
        <v>486</v>
      </c>
      <c r="C80" s="586" t="s">
        <v>487</v>
      </c>
      <c r="D80" s="586" t="s">
        <v>487</v>
      </c>
      <c r="E80" s="586" t="s">
        <v>487</v>
      </c>
      <c r="F80" s="586" t="s">
        <v>487</v>
      </c>
      <c r="G80" s="587" t="s">
        <v>487</v>
      </c>
      <c r="H80" s="200"/>
      <c r="I80" s="201"/>
      <c r="J80" s="196"/>
      <c r="K80" s="592">
        <v>0</v>
      </c>
      <c r="L80" s="593"/>
      <c r="M80" s="594"/>
      <c r="N80" s="97"/>
      <c r="O80" s="92"/>
      <c r="P80" s="96"/>
      <c r="Q80" s="592">
        <v>0</v>
      </c>
      <c r="R80" s="593"/>
      <c r="S80" s="594"/>
      <c r="T80" s="483"/>
      <c r="U80" s="97"/>
      <c r="V80" s="92"/>
      <c r="W80" s="96"/>
      <c r="X80" s="97"/>
      <c r="Y80" s="92"/>
      <c r="Z80" s="96"/>
      <c r="AA80" s="97"/>
      <c r="AB80" s="92"/>
      <c r="AC80" s="96"/>
      <c r="AD80" s="92"/>
      <c r="AE80" s="92"/>
      <c r="AF80" s="92"/>
      <c r="AG80" s="92"/>
      <c r="AH80" s="92"/>
      <c r="AI80" s="92"/>
      <c r="AJ80" s="92"/>
      <c r="AK80" s="92"/>
      <c r="AL80" s="92"/>
      <c r="AM80" s="96"/>
      <c r="AN80" s="104"/>
      <c r="AO80" s="435"/>
      <c r="AP80" s="435"/>
      <c r="AQ80" s="435"/>
      <c r="AR80" s="435"/>
      <c r="AS80" s="435"/>
      <c r="AT80" s="435"/>
      <c r="AU80" s="435"/>
      <c r="AV80" s="435"/>
      <c r="AW80" s="450"/>
      <c r="AX80" s="450"/>
    </row>
    <row r="81" spans="1:50" x14ac:dyDescent="0.25">
      <c r="A81" s="86">
        <f>A80+1</f>
        <v>17</v>
      </c>
      <c r="B81" s="585" t="s">
        <v>492</v>
      </c>
      <c r="C81" s="586" t="s">
        <v>487</v>
      </c>
      <c r="D81" s="586" t="s">
        <v>487</v>
      </c>
      <c r="E81" s="586" t="s">
        <v>487</v>
      </c>
      <c r="F81" s="586" t="s">
        <v>487</v>
      </c>
      <c r="G81" s="587" t="s">
        <v>487</v>
      </c>
      <c r="H81" s="200"/>
      <c r="I81" s="201"/>
      <c r="J81" s="196"/>
      <c r="K81" s="592">
        <v>0</v>
      </c>
      <c r="L81" s="593"/>
      <c r="M81" s="594"/>
      <c r="N81" s="97"/>
      <c r="O81" s="92"/>
      <c r="P81" s="96"/>
      <c r="Q81" s="592">
        <v>0</v>
      </c>
      <c r="R81" s="593"/>
      <c r="S81" s="594"/>
      <c r="T81" s="483"/>
      <c r="U81" s="97"/>
      <c r="V81" s="92"/>
      <c r="W81" s="96"/>
      <c r="X81" s="97"/>
      <c r="Y81" s="92"/>
      <c r="Z81" s="96"/>
      <c r="AA81" s="97"/>
      <c r="AB81" s="92"/>
      <c r="AC81" s="96"/>
      <c r="AD81" s="92"/>
      <c r="AE81" s="92"/>
      <c r="AF81" s="92"/>
      <c r="AG81" s="92"/>
      <c r="AH81" s="92"/>
      <c r="AI81" s="92"/>
      <c r="AJ81" s="92"/>
      <c r="AK81" s="92"/>
      <c r="AL81" s="92"/>
      <c r="AM81" s="96"/>
      <c r="AN81" s="104"/>
      <c r="AO81" s="435"/>
      <c r="AP81" s="435"/>
      <c r="AQ81" s="435"/>
      <c r="AR81" s="435"/>
      <c r="AS81" s="435"/>
      <c r="AT81" s="435"/>
      <c r="AU81" s="435"/>
      <c r="AV81" s="435"/>
      <c r="AW81" s="450"/>
      <c r="AX81" s="450"/>
    </row>
    <row r="82" spans="1:50" x14ac:dyDescent="0.25">
      <c r="A82" s="86">
        <f t="shared" si="1"/>
        <v>18</v>
      </c>
      <c r="B82" s="585" t="s">
        <v>492</v>
      </c>
      <c r="C82" s="586" t="s">
        <v>487</v>
      </c>
      <c r="D82" s="586" t="s">
        <v>487</v>
      </c>
      <c r="E82" s="586" t="s">
        <v>487</v>
      </c>
      <c r="F82" s="586" t="s">
        <v>487</v>
      </c>
      <c r="G82" s="587" t="s">
        <v>487</v>
      </c>
      <c r="H82" s="200"/>
      <c r="I82" s="201"/>
      <c r="J82" s="196"/>
      <c r="K82" s="592">
        <v>0</v>
      </c>
      <c r="L82" s="593"/>
      <c r="M82" s="594"/>
      <c r="N82" s="97"/>
      <c r="O82" s="92"/>
      <c r="P82" s="96"/>
      <c r="Q82" s="592">
        <v>0</v>
      </c>
      <c r="R82" s="593"/>
      <c r="S82" s="594"/>
      <c r="T82" s="483"/>
      <c r="U82" s="97"/>
      <c r="V82" s="92"/>
      <c r="W82" s="96"/>
      <c r="X82" s="97"/>
      <c r="Y82" s="92"/>
      <c r="Z82" s="96"/>
      <c r="AA82" s="97"/>
      <c r="AB82" s="92"/>
      <c r="AC82" s="96"/>
      <c r="AD82" s="92"/>
      <c r="AE82" s="92"/>
      <c r="AF82" s="92"/>
      <c r="AG82" s="92"/>
      <c r="AH82" s="92"/>
      <c r="AI82" s="92"/>
      <c r="AJ82" s="92"/>
      <c r="AK82" s="92"/>
      <c r="AL82" s="92"/>
      <c r="AM82" s="96"/>
      <c r="AN82" s="104"/>
      <c r="AO82" s="435"/>
      <c r="AP82" s="435"/>
      <c r="AQ82" s="435"/>
      <c r="AR82" s="435"/>
      <c r="AS82" s="435"/>
      <c r="AT82" s="435"/>
      <c r="AU82" s="435"/>
      <c r="AV82" s="435"/>
      <c r="AW82" s="450"/>
      <c r="AX82" s="450"/>
    </row>
    <row r="83" spans="1:50" x14ac:dyDescent="0.25">
      <c r="A83" s="86">
        <f>A82+1</f>
        <v>19</v>
      </c>
      <c r="B83" s="585" t="s">
        <v>492</v>
      </c>
      <c r="C83" s="586" t="s">
        <v>487</v>
      </c>
      <c r="D83" s="586" t="s">
        <v>487</v>
      </c>
      <c r="E83" s="586" t="s">
        <v>487</v>
      </c>
      <c r="F83" s="586" t="s">
        <v>487</v>
      </c>
      <c r="G83" s="587" t="s">
        <v>487</v>
      </c>
      <c r="H83" s="200"/>
      <c r="I83" s="201"/>
      <c r="J83" s="196"/>
      <c r="K83" s="592">
        <v>0</v>
      </c>
      <c r="L83" s="593"/>
      <c r="M83" s="594"/>
      <c r="N83" s="97"/>
      <c r="O83" s="92"/>
      <c r="P83" s="96"/>
      <c r="Q83" s="592">
        <v>0</v>
      </c>
      <c r="R83" s="593"/>
      <c r="S83" s="594"/>
      <c r="T83" s="483"/>
      <c r="U83" s="97"/>
      <c r="V83" s="92"/>
      <c r="W83" s="96"/>
      <c r="X83" s="97"/>
      <c r="Y83" s="92"/>
      <c r="Z83" s="96"/>
      <c r="AA83" s="97"/>
      <c r="AB83" s="92"/>
      <c r="AC83" s="96"/>
      <c r="AD83" s="92"/>
      <c r="AE83" s="92"/>
      <c r="AF83" s="92"/>
      <c r="AG83" s="92"/>
      <c r="AH83" s="92"/>
      <c r="AI83" s="92"/>
      <c r="AJ83" s="92"/>
      <c r="AK83" s="92"/>
      <c r="AL83" s="92"/>
      <c r="AM83" s="96"/>
      <c r="AN83" s="104"/>
      <c r="AO83" s="435"/>
      <c r="AP83" s="435"/>
      <c r="AQ83" s="435"/>
      <c r="AR83" s="435"/>
      <c r="AS83" s="435"/>
      <c r="AT83" s="435"/>
      <c r="AU83" s="435"/>
      <c r="AV83" s="435"/>
      <c r="AW83" s="450"/>
      <c r="AX83" s="450"/>
    </row>
    <row r="84" spans="1:50" x14ac:dyDescent="0.25">
      <c r="A84" s="86">
        <f t="shared" si="1"/>
        <v>20</v>
      </c>
      <c r="B84" s="585" t="s">
        <v>492</v>
      </c>
      <c r="C84" s="586" t="s">
        <v>487</v>
      </c>
      <c r="D84" s="586" t="s">
        <v>487</v>
      </c>
      <c r="E84" s="586" t="s">
        <v>487</v>
      </c>
      <c r="F84" s="586" t="s">
        <v>487</v>
      </c>
      <c r="G84" s="587" t="s">
        <v>487</v>
      </c>
      <c r="H84" s="200"/>
      <c r="I84" s="201"/>
      <c r="J84" s="196"/>
      <c r="K84" s="592">
        <v>0</v>
      </c>
      <c r="L84" s="593"/>
      <c r="M84" s="594"/>
      <c r="N84" s="97"/>
      <c r="O84" s="92"/>
      <c r="P84" s="96"/>
      <c r="Q84" s="592">
        <v>0</v>
      </c>
      <c r="R84" s="593"/>
      <c r="S84" s="594"/>
      <c r="T84" s="483"/>
      <c r="U84" s="97"/>
      <c r="V84" s="92"/>
      <c r="W84" s="96"/>
      <c r="X84" s="97"/>
      <c r="Y84" s="92"/>
      <c r="Z84" s="96"/>
      <c r="AA84" s="97"/>
      <c r="AB84" s="92"/>
      <c r="AC84" s="96"/>
      <c r="AD84" s="92"/>
      <c r="AE84" s="92"/>
      <c r="AF84" s="92"/>
      <c r="AG84" s="92"/>
      <c r="AH84" s="92"/>
      <c r="AI84" s="92"/>
      <c r="AJ84" s="92"/>
      <c r="AK84" s="92"/>
      <c r="AL84" s="92"/>
      <c r="AM84" s="96"/>
      <c r="AN84" s="104"/>
      <c r="AO84" s="435"/>
      <c r="AP84" s="435"/>
      <c r="AQ84" s="435"/>
      <c r="AR84" s="435"/>
      <c r="AS84" s="435"/>
      <c r="AT84" s="435"/>
      <c r="AU84" s="435"/>
      <c r="AV84" s="435"/>
      <c r="AW84" s="450"/>
      <c r="AX84" s="450"/>
    </row>
    <row r="85" spans="1:50" x14ac:dyDescent="0.25">
      <c r="A85" s="86">
        <f t="shared" si="1"/>
        <v>21</v>
      </c>
      <c r="B85" s="585" t="s">
        <v>492</v>
      </c>
      <c r="C85" s="586" t="s">
        <v>487</v>
      </c>
      <c r="D85" s="586" t="s">
        <v>487</v>
      </c>
      <c r="E85" s="586" t="s">
        <v>487</v>
      </c>
      <c r="F85" s="586" t="s">
        <v>487</v>
      </c>
      <c r="G85" s="587" t="s">
        <v>487</v>
      </c>
      <c r="H85" s="200"/>
      <c r="I85" s="201"/>
      <c r="J85" s="196"/>
      <c r="K85" s="592">
        <v>0</v>
      </c>
      <c r="L85" s="593"/>
      <c r="M85" s="594"/>
      <c r="N85" s="97"/>
      <c r="O85" s="92"/>
      <c r="P85" s="96"/>
      <c r="Q85" s="592">
        <v>0</v>
      </c>
      <c r="R85" s="593"/>
      <c r="S85" s="594"/>
      <c r="T85" s="483"/>
      <c r="U85" s="97"/>
      <c r="V85" s="92"/>
      <c r="W85" s="96"/>
      <c r="X85" s="97"/>
      <c r="Y85" s="92"/>
      <c r="Z85" s="96"/>
      <c r="AA85" s="97"/>
      <c r="AB85" s="92"/>
      <c r="AC85" s="96"/>
      <c r="AD85" s="92"/>
      <c r="AE85" s="92"/>
      <c r="AF85" s="92"/>
      <c r="AG85" s="92"/>
      <c r="AH85" s="92"/>
      <c r="AI85" s="92"/>
      <c r="AJ85" s="92"/>
      <c r="AK85" s="92"/>
      <c r="AL85" s="92"/>
      <c r="AM85" s="96"/>
      <c r="AN85" s="104"/>
      <c r="AO85" s="435"/>
      <c r="AP85" s="435"/>
      <c r="AQ85" s="435"/>
      <c r="AR85" s="435"/>
      <c r="AS85" s="435"/>
      <c r="AT85" s="435"/>
      <c r="AU85" s="435"/>
      <c r="AV85" s="435"/>
      <c r="AW85" s="450"/>
      <c r="AX85" s="450"/>
    </row>
    <row r="86" spans="1:50" x14ac:dyDescent="0.25">
      <c r="A86" s="86">
        <f t="shared" si="1"/>
        <v>22</v>
      </c>
      <c r="B86" s="585"/>
      <c r="C86" s="586"/>
      <c r="D86" s="586"/>
      <c r="E86" s="586"/>
      <c r="F86" s="586"/>
      <c r="G86" s="587"/>
      <c r="H86" s="197"/>
      <c r="I86" s="198"/>
      <c r="J86" s="199"/>
      <c r="K86" s="198"/>
      <c r="L86" s="198"/>
      <c r="M86" s="199"/>
      <c r="N86" s="97"/>
      <c r="O86" s="92"/>
      <c r="P86" s="96"/>
      <c r="Q86" s="465"/>
      <c r="R86" s="465"/>
      <c r="S86" s="466"/>
      <c r="T86" s="486"/>
      <c r="U86" s="97"/>
      <c r="V86" s="92"/>
      <c r="W86" s="96"/>
      <c r="X86" s="97"/>
      <c r="Y86" s="92"/>
      <c r="Z86" s="96"/>
      <c r="AA86" s="97"/>
      <c r="AB86" s="92"/>
      <c r="AC86" s="96"/>
      <c r="AD86" s="92"/>
      <c r="AE86" s="92"/>
      <c r="AF86" s="92"/>
      <c r="AG86" s="92"/>
      <c r="AH86" s="92"/>
      <c r="AI86" s="92"/>
      <c r="AJ86" s="92"/>
      <c r="AK86" s="92"/>
      <c r="AL86" s="92"/>
      <c r="AM86" s="96"/>
      <c r="AN86" s="104"/>
      <c r="AO86" s="435"/>
      <c r="AP86" s="435"/>
      <c r="AQ86" s="435"/>
      <c r="AR86" s="435"/>
      <c r="AS86" s="435"/>
      <c r="AT86" s="435"/>
      <c r="AU86" s="435"/>
      <c r="AV86" s="435"/>
      <c r="AW86" s="450"/>
      <c r="AX86" s="450"/>
    </row>
    <row r="87" spans="1:50" x14ac:dyDescent="0.25">
      <c r="A87" s="86">
        <f>A86+1</f>
        <v>23</v>
      </c>
      <c r="B87" s="585"/>
      <c r="C87" s="586"/>
      <c r="D87" s="586"/>
      <c r="E87" s="586"/>
      <c r="F87" s="586"/>
      <c r="G87" s="587"/>
      <c r="H87" s="197"/>
      <c r="I87" s="198"/>
      <c r="J87" s="199"/>
      <c r="K87" s="198"/>
      <c r="L87" s="198"/>
      <c r="M87" s="199"/>
      <c r="N87" s="97"/>
      <c r="O87" s="92"/>
      <c r="P87" s="96"/>
      <c r="Q87" s="465"/>
      <c r="R87" s="465"/>
      <c r="S87" s="466"/>
      <c r="T87" s="486"/>
      <c r="U87" s="97"/>
      <c r="V87" s="92"/>
      <c r="W87" s="96"/>
      <c r="X87" s="97"/>
      <c r="Y87" s="92"/>
      <c r="Z87" s="96"/>
      <c r="AA87" s="97"/>
      <c r="AB87" s="92"/>
      <c r="AC87" s="96"/>
      <c r="AD87" s="92" t="s">
        <v>106</v>
      </c>
      <c r="AE87" s="92"/>
      <c r="AF87" s="92"/>
      <c r="AG87" s="92"/>
      <c r="AH87" s="105"/>
      <c r="AI87" s="92"/>
      <c r="AJ87" s="92"/>
      <c r="AK87" s="92"/>
      <c r="AL87" s="92"/>
      <c r="AM87" s="96"/>
      <c r="AN87" s="104"/>
      <c r="AO87" s="435"/>
      <c r="AP87" s="435"/>
      <c r="AQ87" s="435"/>
      <c r="AR87" s="435"/>
      <c r="AS87" s="435"/>
      <c r="AT87" s="435"/>
      <c r="AU87" s="435"/>
      <c r="AV87" s="435"/>
      <c r="AW87" s="450"/>
      <c r="AX87" s="450"/>
    </row>
    <row r="88" spans="1:50" x14ac:dyDescent="0.25">
      <c r="A88" s="86">
        <f t="shared" si="1"/>
        <v>24</v>
      </c>
      <c r="B88" s="585"/>
      <c r="C88" s="586"/>
      <c r="D88" s="586"/>
      <c r="E88" s="586"/>
      <c r="F88" s="586"/>
      <c r="G88" s="587"/>
      <c r="H88" s="197"/>
      <c r="I88" s="198"/>
      <c r="J88" s="199"/>
      <c r="K88" s="198"/>
      <c r="L88" s="198"/>
      <c r="M88" s="199"/>
      <c r="N88" s="608">
        <v>0</v>
      </c>
      <c r="O88" s="609"/>
      <c r="P88" s="610"/>
      <c r="Q88" s="465"/>
      <c r="R88" s="465"/>
      <c r="S88" s="466"/>
      <c r="T88" s="486"/>
      <c r="U88" s="97"/>
      <c r="V88" s="92"/>
      <c r="W88" s="96"/>
      <c r="X88" s="97"/>
      <c r="Y88" s="92"/>
      <c r="Z88" s="96"/>
      <c r="AA88" s="97"/>
      <c r="AB88" s="92"/>
      <c r="AC88" s="96"/>
      <c r="AD88" s="92"/>
      <c r="AE88" s="92"/>
      <c r="AF88" s="92"/>
      <c r="AG88" s="92"/>
      <c r="AH88" s="92"/>
      <c r="AI88" s="92"/>
      <c r="AJ88" s="92"/>
      <c r="AK88" s="92"/>
      <c r="AL88" s="92"/>
      <c r="AM88" s="96"/>
      <c r="AN88" s="104"/>
      <c r="AO88" s="435"/>
      <c r="AP88" s="435"/>
      <c r="AQ88" s="435"/>
      <c r="AR88" s="435"/>
      <c r="AS88" s="435"/>
      <c r="AT88" s="435"/>
      <c r="AU88" s="435"/>
      <c r="AV88" s="435"/>
      <c r="AW88" s="450"/>
      <c r="AX88" s="450"/>
    </row>
    <row r="89" spans="1:50" x14ac:dyDescent="0.25">
      <c r="A89" s="86">
        <f t="shared" si="1"/>
        <v>25</v>
      </c>
      <c r="B89" s="92" t="s">
        <v>107</v>
      </c>
      <c r="C89" s="106"/>
      <c r="D89" s="92"/>
      <c r="E89" s="92"/>
      <c r="F89" s="92"/>
      <c r="G89" s="92"/>
      <c r="H89" s="97"/>
      <c r="I89" s="92"/>
      <c r="J89" s="96"/>
      <c r="K89" s="597">
        <f>IF(SUM(K69:M88)=0,"",SUM(K69:M85))</f>
        <v>1.00004</v>
      </c>
      <c r="L89" s="598"/>
      <c r="M89" s="599"/>
      <c r="N89" s="600" t="str">
        <f>IF(SUM(N69:P88)=0,"",SUM(N69:P88))</f>
        <v/>
      </c>
      <c r="O89" s="601"/>
      <c r="P89" s="602"/>
      <c r="Q89" s="597">
        <f>IF(SUM(Q69:S88)=0,"",SUM(Q69:S85))</f>
        <v>1.00004</v>
      </c>
      <c r="R89" s="598"/>
      <c r="S89" s="599"/>
      <c r="T89" s="484"/>
      <c r="U89" s="97"/>
      <c r="V89" s="92"/>
      <c r="W89" s="96"/>
      <c r="X89" s="97"/>
      <c r="Y89" s="92"/>
      <c r="Z89" s="96"/>
      <c r="AA89" s="97"/>
      <c r="AB89" s="92"/>
      <c r="AC89" s="96"/>
      <c r="AD89" s="92"/>
      <c r="AE89" s="92"/>
      <c r="AF89" s="92"/>
      <c r="AG89" s="92"/>
      <c r="AH89" s="92"/>
      <c r="AI89" s="92"/>
      <c r="AJ89" s="92"/>
      <c r="AK89" s="92"/>
      <c r="AL89" s="92"/>
      <c r="AM89" s="96"/>
      <c r="AN89" s="10"/>
      <c r="AO89" s="435"/>
      <c r="AP89" s="435"/>
      <c r="AQ89" s="435"/>
      <c r="AR89" s="435"/>
      <c r="AS89" s="435"/>
      <c r="AT89" s="435"/>
      <c r="AU89" s="435"/>
      <c r="AV89" s="435"/>
      <c r="AW89" s="450"/>
      <c r="AX89" s="450"/>
    </row>
    <row r="90" spans="1:50" x14ac:dyDescent="0.25">
      <c r="A90" s="86">
        <f t="shared" si="1"/>
        <v>26</v>
      </c>
      <c r="B90" s="92" t="s">
        <v>108</v>
      </c>
      <c r="C90" s="106"/>
      <c r="D90" s="92"/>
      <c r="E90" s="92"/>
      <c r="F90" s="92"/>
      <c r="G90" s="92"/>
      <c r="H90" s="97"/>
      <c r="I90" s="92"/>
      <c r="J90" s="96"/>
      <c r="K90" s="604">
        <v>22.307570533578655</v>
      </c>
      <c r="L90" s="605"/>
      <c r="M90" s="606"/>
      <c r="N90" s="604"/>
      <c r="O90" s="605"/>
      <c r="P90" s="606"/>
      <c r="Q90" s="604">
        <v>22.307570533578655</v>
      </c>
      <c r="R90" s="605"/>
      <c r="S90" s="606"/>
      <c r="T90" s="485"/>
      <c r="U90" s="97"/>
      <c r="V90" s="92"/>
      <c r="W90" s="96"/>
      <c r="X90" s="97"/>
      <c r="Y90" s="92"/>
      <c r="Z90" s="96"/>
      <c r="AA90" s="97"/>
      <c r="AB90" s="92"/>
      <c r="AC90" s="96"/>
      <c r="AD90" s="92"/>
      <c r="AE90" s="92"/>
      <c r="AF90" s="92"/>
      <c r="AG90" s="92"/>
      <c r="AH90" s="92"/>
      <c r="AI90" s="92"/>
      <c r="AJ90" s="92"/>
      <c r="AK90" s="92"/>
      <c r="AL90" s="92"/>
      <c r="AM90" s="96"/>
      <c r="AN90" s="10"/>
      <c r="AO90" s="435"/>
      <c r="AP90" s="435"/>
      <c r="AQ90" s="435"/>
      <c r="AR90" s="435"/>
      <c r="AS90" s="435"/>
      <c r="AT90" s="435"/>
      <c r="AU90" s="435"/>
      <c r="AV90" s="435"/>
      <c r="AW90" s="450"/>
      <c r="AX90" s="450"/>
    </row>
    <row r="91" spans="1:50" x14ac:dyDescent="0.25">
      <c r="A91" s="86">
        <f t="shared" si="1"/>
        <v>27</v>
      </c>
      <c r="B91" s="107" t="s">
        <v>109</v>
      </c>
      <c r="C91" s="108"/>
      <c r="D91" s="108"/>
      <c r="E91" s="108"/>
      <c r="F91" s="108" t="s">
        <v>110</v>
      </c>
      <c r="G91" s="108"/>
      <c r="H91" s="10"/>
      <c r="I91" s="71"/>
      <c r="J91" s="71"/>
      <c r="K91" s="109" t="e">
        <v>#NAME?</v>
      </c>
      <c r="L91" s="110"/>
      <c r="M91" s="110"/>
      <c r="N91" s="109" t="e">
        <v>#NAME?</v>
      </c>
      <c r="O91" s="110"/>
      <c r="P91" s="110"/>
      <c r="Q91" s="71"/>
      <c r="R91" s="72"/>
      <c r="S91" s="111"/>
      <c r="T91" s="107" t="s">
        <v>111</v>
      </c>
      <c r="U91" s="71"/>
      <c r="V91" s="71"/>
      <c r="W91" s="71"/>
      <c r="X91" s="71"/>
      <c r="Y91" s="71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1"/>
      <c r="AL91" s="72"/>
      <c r="AM91" s="111"/>
      <c r="AN91" s="10"/>
      <c r="AO91" s="435"/>
      <c r="AP91" s="435"/>
      <c r="AQ91" s="435"/>
      <c r="AR91" s="435"/>
      <c r="AS91" s="435"/>
      <c r="AT91" s="435"/>
      <c r="AU91" s="435"/>
      <c r="AV91" s="435"/>
      <c r="AW91" s="450"/>
      <c r="AX91" s="450"/>
    </row>
    <row r="92" spans="1:50" x14ac:dyDescent="0.25">
      <c r="A92" s="86">
        <f t="shared" si="1"/>
        <v>28</v>
      </c>
      <c r="B92" s="112"/>
      <c r="C92" s="113" t="s">
        <v>112</v>
      </c>
      <c r="D92" s="113"/>
      <c r="E92" s="113"/>
      <c r="F92" s="113"/>
      <c r="G92" s="112"/>
      <c r="H92" s="71" t="s">
        <v>113</v>
      </c>
      <c r="I92" s="113"/>
      <c r="J92" s="112"/>
      <c r="K92" s="113"/>
      <c r="L92" s="113"/>
      <c r="M92" s="112"/>
      <c r="N92" s="71" t="s">
        <v>114</v>
      </c>
      <c r="O92" s="113"/>
      <c r="P92" s="113"/>
      <c r="Q92" s="113"/>
      <c r="R92" s="113"/>
      <c r="S92" s="114"/>
      <c r="T92" s="112"/>
      <c r="U92" s="71" t="s">
        <v>115</v>
      </c>
      <c r="V92" s="71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111"/>
      <c r="AN92" s="10"/>
      <c r="AO92" s="435"/>
      <c r="AP92" s="435"/>
      <c r="AQ92" s="435"/>
      <c r="AR92" s="435"/>
      <c r="AS92" s="435"/>
      <c r="AT92" s="435"/>
      <c r="AU92" s="435"/>
      <c r="AV92" s="435"/>
      <c r="AW92" s="450"/>
      <c r="AX92" s="450"/>
    </row>
    <row r="93" spans="1:50" x14ac:dyDescent="0.25">
      <c r="A93" s="86">
        <f t="shared" si="1"/>
        <v>29</v>
      </c>
      <c r="B93" s="71"/>
      <c r="C93" s="112"/>
      <c r="D93" s="113" t="s">
        <v>116</v>
      </c>
      <c r="E93" s="71"/>
      <c r="F93" s="71"/>
      <c r="G93" s="71"/>
      <c r="H93" s="112"/>
      <c r="I93" s="113" t="s">
        <v>117</v>
      </c>
      <c r="J93" s="71"/>
      <c r="K93" s="71"/>
      <c r="L93" s="71"/>
      <c r="M93" s="71"/>
      <c r="N93" s="112"/>
      <c r="O93" s="71" t="s">
        <v>118</v>
      </c>
      <c r="P93" s="71"/>
      <c r="Q93" s="71"/>
      <c r="R93" s="71"/>
      <c r="S93" s="111"/>
      <c r="T93" s="113"/>
      <c r="U93" s="113" t="s">
        <v>119</v>
      </c>
      <c r="V93" s="113"/>
      <c r="W93" s="113"/>
      <c r="X93" s="113"/>
      <c r="Y93" s="113"/>
      <c r="Z93" s="113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71"/>
      <c r="AM93" s="115"/>
      <c r="AN93" s="10"/>
      <c r="AO93" s="435"/>
      <c r="AP93" s="435"/>
      <c r="AQ93" s="435"/>
      <c r="AR93" s="435"/>
      <c r="AS93" s="435"/>
      <c r="AT93" s="435"/>
      <c r="AU93" s="435"/>
      <c r="AV93" s="435"/>
      <c r="AW93" s="450"/>
      <c r="AX93" s="450"/>
    </row>
    <row r="94" spans="1:50" x14ac:dyDescent="0.25">
      <c r="A94" s="86">
        <f t="shared" si="1"/>
        <v>30</v>
      </c>
      <c r="B94" s="71"/>
      <c r="C94" s="112"/>
      <c r="D94" s="71" t="s">
        <v>120</v>
      </c>
      <c r="E94" s="71"/>
      <c r="F94" s="71"/>
      <c r="G94" s="71"/>
      <c r="H94" s="112"/>
      <c r="I94" s="71" t="s">
        <v>121</v>
      </c>
      <c r="J94" s="116"/>
      <c r="K94" s="71"/>
      <c r="L94" s="71"/>
      <c r="M94" s="71"/>
      <c r="N94" s="112"/>
      <c r="O94" s="80"/>
      <c r="P94" s="80"/>
      <c r="Q94" s="80"/>
      <c r="R94" s="80"/>
      <c r="S94" s="111"/>
      <c r="T94" s="112"/>
      <c r="U94" s="72" t="s">
        <v>122</v>
      </c>
      <c r="V94" s="116"/>
      <c r="W94" s="116"/>
      <c r="X94" s="116"/>
      <c r="Y94" s="116"/>
      <c r="Z94" s="116"/>
      <c r="AA94" s="116"/>
      <c r="AB94" s="116"/>
      <c r="AC94" s="116"/>
      <c r="AD94" s="116"/>
      <c r="AE94" s="116"/>
      <c r="AF94" s="116"/>
      <c r="AG94" s="116"/>
      <c r="AH94" s="116"/>
      <c r="AI94" s="116"/>
      <c r="AJ94" s="116"/>
      <c r="AK94" s="116"/>
      <c r="AL94" s="72"/>
      <c r="AM94" s="202"/>
      <c r="AN94" s="10"/>
      <c r="AO94" s="435"/>
      <c r="AP94" s="435"/>
      <c r="AQ94" s="435"/>
      <c r="AR94" s="435"/>
      <c r="AS94" s="435"/>
      <c r="AT94" s="435"/>
      <c r="AU94" s="435"/>
      <c r="AV94" s="435"/>
      <c r="AW94" s="450"/>
      <c r="AX94" s="450"/>
    </row>
    <row r="95" spans="1:50" x14ac:dyDescent="0.25">
      <c r="A95" s="86">
        <f t="shared" si="1"/>
        <v>31</v>
      </c>
      <c r="B95" s="112"/>
      <c r="C95" s="72" t="s">
        <v>123</v>
      </c>
      <c r="D95" s="71"/>
      <c r="E95" s="71"/>
      <c r="F95" s="71"/>
      <c r="G95" s="71"/>
      <c r="H95" s="71"/>
      <c r="I95" s="116"/>
      <c r="J95" s="71"/>
      <c r="K95" s="71"/>
      <c r="L95" s="71"/>
      <c r="M95" s="71" t="s">
        <v>124</v>
      </c>
      <c r="N95" s="80"/>
      <c r="O95" s="71" t="s">
        <v>125</v>
      </c>
      <c r="P95" s="80"/>
      <c r="Q95" s="71" t="s">
        <v>126</v>
      </c>
      <c r="R95" s="80"/>
      <c r="S95" s="111"/>
      <c r="T95" s="108"/>
      <c r="U95" s="71" t="s">
        <v>127</v>
      </c>
      <c r="V95" s="71"/>
      <c r="W95" s="71"/>
      <c r="X95" s="71"/>
      <c r="Y95" s="71"/>
      <c r="Z95" s="71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116"/>
      <c r="AM95" s="111"/>
      <c r="AN95" s="10"/>
      <c r="AO95" s="435"/>
      <c r="AP95" s="435"/>
      <c r="AQ95" s="435"/>
      <c r="AR95" s="435"/>
      <c r="AS95" s="435"/>
      <c r="AT95" s="435"/>
      <c r="AU95" s="435"/>
      <c r="AV95" s="435"/>
      <c r="AW95" s="450"/>
      <c r="AX95" s="450"/>
    </row>
    <row r="96" spans="1:50" x14ac:dyDescent="0.25">
      <c r="A96" s="86">
        <f t="shared" si="1"/>
        <v>32</v>
      </c>
      <c r="B96" s="107" t="s">
        <v>128</v>
      </c>
      <c r="C96" s="117"/>
      <c r="D96" s="118"/>
      <c r="E96" s="118"/>
      <c r="F96" s="118"/>
      <c r="G96" s="118"/>
      <c r="H96" s="118"/>
      <c r="I96" s="118"/>
      <c r="J96" s="118"/>
      <c r="K96" s="119"/>
      <c r="L96" s="118"/>
      <c r="M96" s="118"/>
      <c r="N96" s="118"/>
      <c r="O96" s="118"/>
      <c r="P96" s="118"/>
      <c r="Q96" s="118"/>
      <c r="R96" s="118"/>
      <c r="S96" s="111"/>
      <c r="T96" s="72" t="s">
        <v>129</v>
      </c>
      <c r="U96" s="71"/>
      <c r="V96" s="71"/>
      <c r="W96" s="71"/>
      <c r="X96" s="71"/>
      <c r="Y96" s="71"/>
      <c r="Z96" s="71"/>
      <c r="AA96" s="71"/>
      <c r="AB96" s="112"/>
      <c r="AC96" s="71" t="s">
        <v>130</v>
      </c>
      <c r="AD96" s="71"/>
      <c r="AE96" s="71"/>
      <c r="AF96" s="112"/>
      <c r="AG96" s="71" t="s">
        <v>131</v>
      </c>
      <c r="AH96" s="71"/>
      <c r="AI96" s="71"/>
      <c r="AJ96" s="71"/>
      <c r="AK96" s="71"/>
      <c r="AL96" s="71"/>
      <c r="AM96" s="111"/>
      <c r="AN96" s="10"/>
      <c r="AO96" s="435"/>
      <c r="AP96" s="435"/>
      <c r="AQ96" s="435"/>
      <c r="AR96" s="435"/>
      <c r="AS96" s="435"/>
      <c r="AT96" s="435"/>
      <c r="AU96" s="435"/>
      <c r="AV96" s="435"/>
      <c r="AW96" s="450"/>
      <c r="AX96" s="450"/>
    </row>
    <row r="97" spans="1:50" x14ac:dyDescent="0.25">
      <c r="A97" s="86">
        <f t="shared" si="1"/>
        <v>33</v>
      </c>
      <c r="B97" s="112"/>
      <c r="C97" s="71" t="s">
        <v>132</v>
      </c>
      <c r="D97" s="71"/>
      <c r="E97" s="72"/>
      <c r="F97" s="80"/>
      <c r="G97" s="80"/>
      <c r="H97" s="80"/>
      <c r="I97" s="72" t="s">
        <v>133</v>
      </c>
      <c r="J97" s="72"/>
      <c r="K97" s="72" t="s">
        <v>134</v>
      </c>
      <c r="L97" s="72"/>
      <c r="M97" s="72"/>
      <c r="N97" s="72"/>
      <c r="O97" s="80"/>
      <c r="P97" s="80"/>
      <c r="Q97" s="72" t="s">
        <v>135</v>
      </c>
      <c r="R97" s="72"/>
      <c r="S97" s="115"/>
      <c r="T97" s="107" t="s">
        <v>136</v>
      </c>
      <c r="U97" s="71"/>
      <c r="V97" s="71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111"/>
      <c r="AN97" s="10"/>
      <c r="AO97" s="435"/>
      <c r="AP97" s="435"/>
      <c r="AQ97" s="435"/>
      <c r="AR97" s="435"/>
      <c r="AS97" s="435"/>
      <c r="AT97" s="435"/>
      <c r="AU97" s="435"/>
      <c r="AV97" s="435"/>
      <c r="AW97" s="450"/>
      <c r="AX97" s="450"/>
    </row>
    <row r="98" spans="1:50" x14ac:dyDescent="0.25">
      <c r="A98" s="86">
        <f t="shared" si="1"/>
        <v>34</v>
      </c>
      <c r="B98" s="112"/>
      <c r="C98" s="71" t="s">
        <v>137</v>
      </c>
      <c r="D98" s="71"/>
      <c r="E98" s="71"/>
      <c r="F98" s="71"/>
      <c r="G98" s="71"/>
      <c r="H98" s="112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111"/>
      <c r="T98" s="72" t="s">
        <v>138</v>
      </c>
      <c r="U98" s="71"/>
      <c r="V98" s="71"/>
      <c r="W98" s="71"/>
      <c r="X98" s="72"/>
      <c r="Y98" s="72"/>
      <c r="Z98" s="72"/>
      <c r="AA98" s="71"/>
      <c r="AB98" s="71"/>
      <c r="AC98" s="71"/>
      <c r="AD98" s="72"/>
      <c r="AE98" s="71"/>
      <c r="AF98" s="71"/>
      <c r="AG98" s="72"/>
      <c r="AH98" s="72"/>
      <c r="AI98" s="72"/>
      <c r="AJ98" s="72"/>
      <c r="AK98" s="71"/>
      <c r="AL98" s="71"/>
      <c r="AM98" s="111"/>
      <c r="AN98" s="10"/>
      <c r="AO98" s="9"/>
      <c r="AP98" s="450"/>
      <c r="AQ98" s="450"/>
      <c r="AR98" s="450"/>
      <c r="AS98" s="450"/>
      <c r="AT98" s="450"/>
      <c r="AU98" s="450"/>
      <c r="AV98" s="450"/>
      <c r="AW98" s="450"/>
      <c r="AX98" s="450"/>
    </row>
    <row r="99" spans="1:50" x14ac:dyDescent="0.25">
      <c r="A99" s="86">
        <f t="shared" si="1"/>
        <v>35</v>
      </c>
      <c r="B99" s="116"/>
      <c r="C99" s="71"/>
      <c r="D99" s="71"/>
      <c r="E99" s="71"/>
      <c r="F99" s="71"/>
      <c r="G99" s="72"/>
      <c r="H99" s="71"/>
      <c r="I99" s="72"/>
      <c r="J99" s="72" t="s">
        <v>139</v>
      </c>
      <c r="K99" s="72"/>
      <c r="L99" s="72"/>
      <c r="M99" s="72"/>
      <c r="N99" s="72"/>
      <c r="O99" s="72" t="s">
        <v>140</v>
      </c>
      <c r="P99" s="72"/>
      <c r="Q99" s="72"/>
      <c r="R99" s="72"/>
      <c r="S99" s="115"/>
      <c r="T99" s="112"/>
      <c r="U99" s="72" t="s">
        <v>141</v>
      </c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1"/>
      <c r="AL99" s="71"/>
      <c r="AM99" s="111"/>
      <c r="AN99" s="10"/>
      <c r="AO99" s="9"/>
      <c r="AP99" s="450"/>
      <c r="AQ99" s="450"/>
      <c r="AR99" s="450"/>
      <c r="AS99" s="450"/>
      <c r="AT99" s="450"/>
      <c r="AU99" s="450"/>
      <c r="AV99" s="450"/>
      <c r="AW99" s="450"/>
      <c r="AX99" s="450"/>
    </row>
    <row r="100" spans="1:50" x14ac:dyDescent="0.25">
      <c r="A100" s="86">
        <f t="shared" si="1"/>
        <v>36</v>
      </c>
      <c r="B100" s="71"/>
      <c r="C100" s="72" t="s">
        <v>142</v>
      </c>
      <c r="D100" s="72"/>
      <c r="E100" s="72"/>
      <c r="F100" s="72"/>
      <c r="G100" s="72" t="s">
        <v>143</v>
      </c>
      <c r="H100" s="72"/>
      <c r="I100" s="72"/>
      <c r="J100" s="80"/>
      <c r="K100" s="80"/>
      <c r="L100" s="80"/>
      <c r="M100" s="72"/>
      <c r="N100" s="72"/>
      <c r="O100" s="80"/>
      <c r="P100" s="80"/>
      <c r="Q100" s="80"/>
      <c r="R100" s="72"/>
      <c r="S100" s="115"/>
      <c r="T100" s="112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71"/>
      <c r="AM100" s="111"/>
      <c r="AN100" s="10"/>
      <c r="AO100" s="9"/>
      <c r="AP100" s="450"/>
      <c r="AQ100" s="450"/>
      <c r="AR100" s="450"/>
      <c r="AS100" s="450"/>
      <c r="AT100" s="450"/>
      <c r="AU100" s="450"/>
      <c r="AV100" s="450"/>
      <c r="AW100" s="450"/>
      <c r="AX100" s="450"/>
    </row>
    <row r="101" spans="1:50" x14ac:dyDescent="0.25">
      <c r="A101" s="86">
        <f t="shared" si="1"/>
        <v>37</v>
      </c>
      <c r="B101" s="107"/>
      <c r="C101" s="71" t="s">
        <v>144</v>
      </c>
      <c r="D101" s="71"/>
      <c r="E101" s="71"/>
      <c r="F101" s="71"/>
      <c r="G101" s="72" t="s">
        <v>143</v>
      </c>
      <c r="H101" s="71"/>
      <c r="I101" s="72"/>
      <c r="J101" s="80"/>
      <c r="K101" s="80"/>
      <c r="L101" s="80"/>
      <c r="M101" s="72"/>
      <c r="N101" s="71"/>
      <c r="O101" s="80"/>
      <c r="P101" s="80"/>
      <c r="Q101" s="80"/>
      <c r="R101" s="71"/>
      <c r="S101" s="111"/>
      <c r="T101" s="112"/>
      <c r="U101" s="72" t="s">
        <v>145</v>
      </c>
      <c r="V101" s="72"/>
      <c r="W101" s="72"/>
      <c r="X101" s="72"/>
      <c r="Y101" s="112"/>
      <c r="Z101" s="72"/>
      <c r="AA101" s="72"/>
      <c r="AB101" s="72"/>
      <c r="AC101" s="72"/>
      <c r="AD101" s="72"/>
      <c r="AE101" s="72"/>
      <c r="AF101" s="112"/>
      <c r="AG101" s="72"/>
      <c r="AH101" s="72"/>
      <c r="AI101" s="72"/>
      <c r="AJ101" s="72"/>
      <c r="AK101" s="72"/>
      <c r="AL101" s="71"/>
      <c r="AM101" s="115"/>
      <c r="AN101" s="10"/>
      <c r="AO101" s="9"/>
      <c r="AP101" s="450"/>
      <c r="AQ101" s="450"/>
      <c r="AR101" s="450"/>
      <c r="AS101" s="450"/>
      <c r="AT101" s="450"/>
      <c r="AU101" s="450"/>
      <c r="AV101" s="450"/>
      <c r="AW101" s="450"/>
      <c r="AX101" s="450"/>
    </row>
    <row r="102" spans="1:50" x14ac:dyDescent="0.25">
      <c r="A102" s="86">
        <f t="shared" si="1"/>
        <v>38</v>
      </c>
      <c r="B102" s="72"/>
      <c r="C102" s="71" t="s">
        <v>146</v>
      </c>
      <c r="D102" s="71"/>
      <c r="E102" s="71"/>
      <c r="F102" s="72"/>
      <c r="G102" s="72" t="s">
        <v>143</v>
      </c>
      <c r="H102" s="72"/>
      <c r="I102" s="72"/>
      <c r="J102" s="80"/>
      <c r="K102" s="80"/>
      <c r="L102" s="80"/>
      <c r="M102" s="72"/>
      <c r="N102" s="72"/>
      <c r="O102" s="80"/>
      <c r="P102" s="80"/>
      <c r="Q102" s="80"/>
      <c r="R102" s="72"/>
      <c r="S102" s="115"/>
      <c r="T102" s="112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72"/>
      <c r="AM102" s="111"/>
      <c r="AN102" s="10"/>
      <c r="AO102" s="9"/>
      <c r="AP102" s="450"/>
      <c r="AQ102" s="450"/>
      <c r="AR102" s="450"/>
      <c r="AS102" s="450"/>
      <c r="AT102" s="450"/>
      <c r="AU102" s="450"/>
      <c r="AV102" s="450"/>
      <c r="AW102" s="450"/>
      <c r="AX102" s="450"/>
    </row>
    <row r="103" spans="1:50" x14ac:dyDescent="0.25">
      <c r="A103" s="86">
        <f t="shared" si="1"/>
        <v>39</v>
      </c>
      <c r="B103" s="72"/>
      <c r="C103" s="81"/>
      <c r="D103" s="81"/>
      <c r="E103" s="81"/>
      <c r="F103" s="72"/>
      <c r="G103" s="72" t="s">
        <v>143</v>
      </c>
      <c r="H103" s="72"/>
      <c r="I103" s="72"/>
      <c r="J103" s="80"/>
      <c r="K103" s="80"/>
      <c r="L103" s="80"/>
      <c r="M103" s="72"/>
      <c r="N103" s="72"/>
      <c r="O103" s="80"/>
      <c r="P103" s="80"/>
      <c r="Q103" s="80"/>
      <c r="R103" s="72"/>
      <c r="S103" s="115"/>
      <c r="T103" s="83"/>
      <c r="U103" s="84"/>
      <c r="V103" s="98"/>
      <c r="W103" s="84"/>
      <c r="X103" s="84"/>
      <c r="Y103" s="84"/>
      <c r="Z103" s="84"/>
      <c r="AA103" s="84"/>
      <c r="AB103" s="84"/>
      <c r="AC103" s="84"/>
      <c r="AD103" s="84"/>
      <c r="AE103" s="84"/>
      <c r="AF103" s="84"/>
      <c r="AG103" s="84"/>
      <c r="AH103" s="84"/>
      <c r="AI103" s="84"/>
      <c r="AJ103" s="84"/>
      <c r="AK103" s="84"/>
      <c r="AL103" s="71"/>
      <c r="AM103" s="111"/>
      <c r="AN103" s="10"/>
      <c r="AO103" s="9"/>
      <c r="AP103" s="450"/>
      <c r="AQ103" s="450"/>
      <c r="AR103" s="450"/>
      <c r="AS103" s="450"/>
      <c r="AT103" s="450"/>
      <c r="AU103" s="450"/>
      <c r="AV103" s="450"/>
      <c r="AW103" s="450"/>
      <c r="AX103" s="450"/>
    </row>
    <row r="104" spans="1:50" x14ac:dyDescent="0.25">
      <c r="A104" s="86">
        <f t="shared" si="1"/>
        <v>40</v>
      </c>
      <c r="B104" s="107" t="s">
        <v>147</v>
      </c>
      <c r="C104" s="71"/>
      <c r="D104" s="71"/>
      <c r="E104" s="72"/>
      <c r="F104" s="72"/>
      <c r="G104" s="72"/>
      <c r="H104" s="72"/>
      <c r="I104" s="72"/>
      <c r="J104" s="112"/>
      <c r="K104" s="72" t="s">
        <v>148</v>
      </c>
      <c r="L104" s="72"/>
      <c r="M104" s="72"/>
      <c r="N104" s="112"/>
      <c r="O104" s="72" t="s">
        <v>149</v>
      </c>
      <c r="P104" s="72"/>
      <c r="Q104" s="72"/>
      <c r="R104" s="72"/>
      <c r="S104" s="115"/>
      <c r="T104" s="107" t="s">
        <v>150</v>
      </c>
      <c r="U104" s="71"/>
      <c r="V104" s="116"/>
      <c r="W104" s="71"/>
      <c r="X104" s="71"/>
      <c r="Y104" s="112"/>
      <c r="Z104" s="71"/>
      <c r="AA104" s="71"/>
      <c r="AB104" s="116"/>
      <c r="AC104" s="71"/>
      <c r="AD104" s="71"/>
      <c r="AE104" s="71"/>
      <c r="AF104" s="112"/>
      <c r="AG104" s="71"/>
      <c r="AH104" s="71"/>
      <c r="AI104" s="71"/>
      <c r="AJ104" s="71"/>
      <c r="AK104" s="71"/>
      <c r="AL104" s="71"/>
      <c r="AM104" s="111"/>
      <c r="AN104" s="10"/>
      <c r="AO104" s="120"/>
      <c r="AP104" s="450"/>
      <c r="AQ104" s="450"/>
      <c r="AR104" s="450"/>
      <c r="AS104" s="450"/>
      <c r="AT104" s="450"/>
      <c r="AU104" s="450"/>
      <c r="AV104" s="450"/>
      <c r="AW104" s="450"/>
      <c r="AX104" s="450"/>
    </row>
    <row r="105" spans="1:50" x14ac:dyDescent="0.25">
      <c r="A105" s="86">
        <f t="shared" si="1"/>
        <v>41</v>
      </c>
      <c r="B105" s="107"/>
      <c r="C105" s="81"/>
      <c r="D105" s="81"/>
      <c r="E105" s="80"/>
      <c r="F105" s="72"/>
      <c r="G105" s="72" t="s">
        <v>143</v>
      </c>
      <c r="H105" s="72"/>
      <c r="I105" s="72"/>
      <c r="J105" s="121"/>
      <c r="K105" s="80"/>
      <c r="L105" s="80"/>
      <c r="M105" s="72"/>
      <c r="N105" s="112"/>
      <c r="O105" s="80"/>
      <c r="P105" s="80"/>
      <c r="Q105" s="80"/>
      <c r="R105" s="72"/>
      <c r="S105" s="115"/>
      <c r="T105" s="112"/>
      <c r="U105" s="71" t="s">
        <v>151</v>
      </c>
      <c r="V105" s="71"/>
      <c r="W105" s="71"/>
      <c r="X105" s="71"/>
      <c r="Y105" s="71"/>
      <c r="Z105" s="71"/>
      <c r="AA105" s="71"/>
      <c r="AB105" s="71"/>
      <c r="AC105" s="71"/>
      <c r="AD105" s="71"/>
      <c r="AE105" s="71"/>
      <c r="AF105" s="71"/>
      <c r="AG105" s="71"/>
      <c r="AH105" s="71"/>
      <c r="AI105" s="71"/>
      <c r="AJ105" s="71"/>
      <c r="AK105" s="71"/>
      <c r="AL105" s="71"/>
      <c r="AM105" s="111"/>
      <c r="AN105" s="10"/>
      <c r="AO105" s="120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86">
        <f t="shared" si="1"/>
        <v>42</v>
      </c>
      <c r="B106" s="112"/>
      <c r="C106" s="71" t="s">
        <v>152</v>
      </c>
      <c r="D106" s="71"/>
      <c r="E106" s="71"/>
      <c r="F106" s="71"/>
      <c r="G106" s="121"/>
      <c r="H106" s="121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15"/>
      <c r="T106" s="112"/>
      <c r="U106" s="71" t="s">
        <v>74</v>
      </c>
      <c r="V106" s="116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71"/>
      <c r="AM106" s="111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86">
        <f t="shared" si="1"/>
        <v>43</v>
      </c>
      <c r="B107" s="112"/>
      <c r="C107" s="121"/>
      <c r="D107" s="121"/>
      <c r="E107" s="121"/>
      <c r="F107" s="121"/>
      <c r="G107" s="121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15"/>
      <c r="T107" s="112"/>
      <c r="U107" s="71"/>
      <c r="V107" s="116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1"/>
      <c r="AM107" s="111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86">
        <f t="shared" si="1"/>
        <v>44</v>
      </c>
      <c r="B108" s="72"/>
      <c r="C108" s="71" t="s">
        <v>153</v>
      </c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115"/>
      <c r="T108" s="108" t="s">
        <v>154</v>
      </c>
      <c r="U108" s="71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1"/>
      <c r="AL108" s="71"/>
      <c r="AM108" s="111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86">
        <f t="shared" si="1"/>
        <v>45</v>
      </c>
      <c r="B109" s="122" t="s">
        <v>155</v>
      </c>
      <c r="C109" s="71"/>
      <c r="D109" s="71"/>
      <c r="E109" s="71"/>
      <c r="F109" s="107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111"/>
      <c r="T109" s="112"/>
      <c r="U109" s="71" t="s">
        <v>156</v>
      </c>
      <c r="V109" s="72"/>
      <c r="W109" s="72"/>
      <c r="X109" s="72"/>
      <c r="Y109" s="112"/>
      <c r="Z109" s="72" t="s">
        <v>157</v>
      </c>
      <c r="AA109" s="72"/>
      <c r="AB109" s="72"/>
      <c r="AC109" s="112"/>
      <c r="AD109" s="72" t="s">
        <v>158</v>
      </c>
      <c r="AE109" s="72"/>
      <c r="AF109" s="72"/>
      <c r="AG109" s="72"/>
      <c r="AH109" s="72"/>
      <c r="AI109" s="72"/>
      <c r="AJ109" s="72"/>
      <c r="AK109" s="71"/>
      <c r="AL109" s="71"/>
      <c r="AM109" s="111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86">
        <f t="shared" si="1"/>
        <v>46</v>
      </c>
      <c r="B110" s="112"/>
      <c r="C110" s="71" t="s">
        <v>159</v>
      </c>
      <c r="D110" s="71"/>
      <c r="E110" s="71"/>
      <c r="F110" s="72"/>
      <c r="G110" s="72"/>
      <c r="H110" s="72"/>
      <c r="I110" s="72"/>
      <c r="J110" s="72"/>
      <c r="K110" s="80"/>
      <c r="L110" s="80"/>
      <c r="M110" s="80"/>
      <c r="N110" s="80"/>
      <c r="O110" s="80"/>
      <c r="P110" s="80"/>
      <c r="Q110" s="80"/>
      <c r="R110" s="80"/>
      <c r="S110" s="111"/>
      <c r="T110" s="112"/>
      <c r="U110" s="71" t="s">
        <v>160</v>
      </c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H110" s="72"/>
      <c r="AI110" s="80"/>
      <c r="AJ110" s="80"/>
      <c r="AK110" s="71" t="s">
        <v>161</v>
      </c>
      <c r="AL110" s="71"/>
      <c r="AM110" s="111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86">
        <f t="shared" si="1"/>
        <v>47</v>
      </c>
      <c r="B111" s="112"/>
      <c r="C111" s="72" t="s">
        <v>162</v>
      </c>
      <c r="D111" s="72"/>
      <c r="E111" s="72"/>
      <c r="F111" s="72"/>
      <c r="G111" s="72"/>
      <c r="H111" s="72"/>
      <c r="I111" s="72"/>
      <c r="J111" s="72"/>
      <c r="K111" s="80"/>
      <c r="L111" s="80"/>
      <c r="M111" s="80"/>
      <c r="N111" s="80"/>
      <c r="O111" s="80"/>
      <c r="P111" s="80"/>
      <c r="Q111" s="80"/>
      <c r="R111" s="80"/>
      <c r="S111" s="202"/>
      <c r="T111" s="71"/>
      <c r="U111" s="71" t="s">
        <v>163</v>
      </c>
      <c r="V111" s="71"/>
      <c r="W111" s="71"/>
      <c r="X111" s="71"/>
      <c r="Y111" s="71"/>
      <c r="Z111" s="71"/>
      <c r="AA111" s="71"/>
      <c r="AB111" s="71"/>
      <c r="AC111" s="71"/>
      <c r="AD111" s="71"/>
      <c r="AE111" s="71"/>
      <c r="AF111" s="71"/>
      <c r="AG111" s="71"/>
      <c r="AH111" s="71"/>
      <c r="AI111" s="71"/>
      <c r="AJ111" s="71"/>
      <c r="AK111" s="71"/>
      <c r="AL111" s="71"/>
      <c r="AM111" s="70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86">
        <f t="shared" si="1"/>
        <v>48</v>
      </c>
      <c r="B112" s="107" t="s">
        <v>78</v>
      </c>
      <c r="C112" s="71"/>
      <c r="D112" s="71"/>
      <c r="E112" s="80"/>
      <c r="F112" s="80"/>
      <c r="G112" s="80"/>
      <c r="H112" s="80"/>
      <c r="I112" s="80"/>
      <c r="J112" s="80"/>
      <c r="K112" s="80"/>
      <c r="L112" s="80"/>
      <c r="M112" s="80"/>
      <c r="N112" s="80"/>
      <c r="O112" s="80"/>
      <c r="P112" s="80"/>
      <c r="Q112" s="80"/>
      <c r="R112" s="80"/>
      <c r="S112" s="115"/>
      <c r="T112" s="72"/>
      <c r="U112" s="112"/>
      <c r="V112" s="72" t="s">
        <v>164</v>
      </c>
      <c r="W112" s="72"/>
      <c r="X112" s="72"/>
      <c r="Y112" s="72"/>
      <c r="Z112" s="72"/>
      <c r="AA112" s="72"/>
      <c r="AB112" s="72"/>
      <c r="AC112" s="112"/>
      <c r="AD112" s="72" t="s">
        <v>165</v>
      </c>
      <c r="AE112" s="72"/>
      <c r="AF112" s="72"/>
      <c r="AG112" s="72"/>
      <c r="AH112" s="72"/>
      <c r="AI112" s="72"/>
      <c r="AJ112" s="72"/>
      <c r="AK112" s="72"/>
      <c r="AL112" s="10"/>
      <c r="AM112" s="70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86">
        <f t="shared" si="1"/>
        <v>49</v>
      </c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111"/>
      <c r="T113" s="72"/>
      <c r="U113" s="112"/>
      <c r="V113" s="72"/>
      <c r="W113" s="72"/>
      <c r="X113" s="72"/>
      <c r="Y113" s="72"/>
      <c r="Z113" s="72"/>
      <c r="AA113" s="72"/>
      <c r="AB113" s="72"/>
      <c r="AC113" s="112"/>
      <c r="AD113" s="72"/>
      <c r="AE113" s="72"/>
      <c r="AF113" s="72"/>
      <c r="AG113" s="72"/>
      <c r="AH113" s="72"/>
      <c r="AI113" s="72"/>
      <c r="AJ113" s="72"/>
      <c r="AK113" s="72"/>
      <c r="AL113" s="75"/>
      <c r="AM113" s="76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59"/>
      <c r="B114" s="123" t="s">
        <v>166</v>
      </c>
      <c r="C114" s="71"/>
      <c r="D114" s="71"/>
      <c r="E114" s="71"/>
      <c r="F114" s="71"/>
      <c r="G114" s="71"/>
      <c r="H114" s="71"/>
      <c r="I114" s="64"/>
      <c r="J114" s="71"/>
      <c r="K114" s="71"/>
      <c r="L114" s="71"/>
      <c r="M114" s="71"/>
      <c r="N114" s="71"/>
      <c r="O114" s="71"/>
      <c r="P114" s="71"/>
      <c r="Q114" s="71"/>
      <c r="R114" s="71"/>
      <c r="S114" s="64"/>
      <c r="T114" s="61" t="s">
        <v>1</v>
      </c>
      <c r="U114" s="61" t="s">
        <v>1</v>
      </c>
      <c r="V114" s="67" t="s">
        <v>1</v>
      </c>
      <c r="W114" s="61" t="s">
        <v>1</v>
      </c>
      <c r="X114" s="61" t="s">
        <v>1</v>
      </c>
      <c r="Y114" s="61" t="s">
        <v>1</v>
      </c>
      <c r="Z114" s="61" t="s">
        <v>1</v>
      </c>
      <c r="AA114" s="61" t="s">
        <v>1</v>
      </c>
      <c r="AB114" s="61" t="s">
        <v>1</v>
      </c>
      <c r="AC114" s="61" t="s">
        <v>1</v>
      </c>
      <c r="AD114" s="61" t="s">
        <v>1</v>
      </c>
      <c r="AE114" s="61" t="s">
        <v>1</v>
      </c>
      <c r="AF114" s="61" t="s">
        <v>1</v>
      </c>
      <c r="AG114" s="61" t="s">
        <v>1</v>
      </c>
      <c r="AH114" s="61" t="s">
        <v>1</v>
      </c>
      <c r="AI114" s="61" t="s">
        <v>1</v>
      </c>
      <c r="AJ114" s="61" t="s">
        <v>1</v>
      </c>
      <c r="AK114" s="61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24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84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  <c r="AA115" s="71"/>
      <c r="AB115" s="71"/>
      <c r="AC115" s="71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  <c r="AO115" s="71"/>
      <c r="AP115" s="71"/>
      <c r="AQ115" s="71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25"/>
      <c r="B116" s="126"/>
      <c r="C116" s="126"/>
      <c r="D116" s="126"/>
      <c r="E116" s="126"/>
      <c r="F116" s="126"/>
      <c r="G116" s="126"/>
      <c r="H116" s="126"/>
      <c r="I116" s="126"/>
      <c r="J116" s="126"/>
      <c r="K116" s="126"/>
      <c r="L116" s="126"/>
      <c r="M116" s="127"/>
      <c r="N116" s="126"/>
      <c r="O116" s="126"/>
      <c r="P116" s="126"/>
      <c r="Q116" s="126"/>
      <c r="R116" s="126"/>
      <c r="S116" s="128"/>
      <c r="T116" s="129"/>
      <c r="U116" s="129"/>
      <c r="V116" s="130"/>
      <c r="W116" s="129"/>
      <c r="X116" s="129"/>
      <c r="Y116" s="129"/>
      <c r="Z116" s="129"/>
      <c r="AA116" s="129"/>
      <c r="AB116" s="129"/>
      <c r="AC116" s="129"/>
      <c r="AD116" s="129"/>
      <c r="AE116" s="129"/>
      <c r="AF116" s="129"/>
      <c r="AG116" s="129"/>
      <c r="AH116" s="129"/>
      <c r="AI116" s="129"/>
      <c r="AJ116" s="129"/>
      <c r="AK116" s="129"/>
      <c r="AL116" s="126"/>
      <c r="AM116" s="128"/>
      <c r="AN116" s="131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32"/>
      <c r="B117" s="203"/>
      <c r="C117" s="203"/>
      <c r="D117" s="203"/>
      <c r="E117" s="133"/>
      <c r="F117" s="203"/>
      <c r="G117" s="203"/>
      <c r="H117" s="203"/>
      <c r="I117" s="203"/>
      <c r="J117" s="203"/>
      <c r="K117" s="203"/>
      <c r="L117" s="203"/>
      <c r="M117" s="203"/>
      <c r="N117" s="203"/>
      <c r="O117" s="203"/>
      <c r="P117" s="203"/>
      <c r="Q117" s="203"/>
      <c r="R117" s="203"/>
      <c r="S117" s="134"/>
      <c r="T117" s="135"/>
      <c r="U117" s="135"/>
      <c r="V117" s="127"/>
      <c r="W117" s="135"/>
      <c r="X117" s="135"/>
      <c r="Y117" s="135"/>
      <c r="Z117" s="127"/>
      <c r="AA117" s="127"/>
      <c r="AB117" s="127"/>
      <c r="AC117" s="127"/>
      <c r="AD117" s="127"/>
      <c r="AE117" s="127"/>
      <c r="AF117" s="127"/>
      <c r="AG117" s="127"/>
      <c r="AH117" s="127"/>
      <c r="AI117" s="127"/>
      <c r="AJ117" s="127"/>
      <c r="AK117" s="135"/>
      <c r="AL117" s="131"/>
      <c r="AM117" s="134"/>
      <c r="AN117" s="131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36"/>
      <c r="B118" s="137"/>
      <c r="C118" s="137"/>
      <c r="D118" s="137"/>
      <c r="E118" s="137" t="s">
        <v>80</v>
      </c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8"/>
      <c r="T118" s="135" t="s">
        <v>81</v>
      </c>
      <c r="U118" s="135"/>
      <c r="V118" s="135"/>
      <c r="W118" s="607" t="s">
        <v>1</v>
      </c>
      <c r="X118" s="607"/>
      <c r="Y118" s="607"/>
      <c r="Z118" s="607"/>
      <c r="AA118" s="607"/>
      <c r="AB118" s="127" t="s">
        <v>2</v>
      </c>
      <c r="AC118" s="127"/>
      <c r="AD118" s="127"/>
      <c r="AE118" s="607" t="e">
        <v>#REF!</v>
      </c>
      <c r="AF118" s="607"/>
      <c r="AG118" s="607"/>
      <c r="AH118" s="607"/>
      <c r="AI118" s="607"/>
      <c r="AJ118" s="607"/>
      <c r="AK118" s="607"/>
      <c r="AL118" s="131"/>
      <c r="AM118" s="134"/>
      <c r="AN118" s="131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05" t="s">
        <v>5</v>
      </c>
      <c r="B119" s="203"/>
      <c r="C119" s="203"/>
      <c r="D119" s="203"/>
      <c r="E119" s="203"/>
      <c r="F119" s="203"/>
      <c r="G119" s="203"/>
      <c r="H119" s="203"/>
      <c r="I119" s="203"/>
      <c r="J119" s="203"/>
      <c r="K119" s="203"/>
      <c r="L119" s="203"/>
      <c r="M119" s="203"/>
      <c r="N119" s="203"/>
      <c r="O119" s="203"/>
      <c r="P119" s="203"/>
      <c r="Q119" s="203"/>
      <c r="R119" s="203"/>
      <c r="S119" s="134"/>
      <c r="T119" s="135" t="s">
        <v>83</v>
      </c>
      <c r="U119" s="135"/>
      <c r="V119" s="135"/>
      <c r="W119" s="127"/>
      <c r="X119" s="611" t="e">
        <v>#REF!</v>
      </c>
      <c r="Y119" s="611"/>
      <c r="Z119" s="611"/>
      <c r="AA119" s="611"/>
      <c r="AB119" s="139" t="s">
        <v>7</v>
      </c>
      <c r="AC119" s="139"/>
      <c r="AD119" s="607" t="e">
        <v>#REF!</v>
      </c>
      <c r="AE119" s="607"/>
      <c r="AF119" s="607"/>
      <c r="AG119" s="607"/>
      <c r="AH119" s="607"/>
      <c r="AI119" s="607"/>
      <c r="AJ119" s="607"/>
      <c r="AK119" s="607"/>
      <c r="AL119" s="131"/>
      <c r="AM119" s="134"/>
      <c r="AN119" s="131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06" t="s">
        <v>8</v>
      </c>
      <c r="B120" s="203"/>
      <c r="C120" s="203"/>
      <c r="D120" s="203"/>
      <c r="E120" s="203"/>
      <c r="F120" s="203"/>
      <c r="G120" s="203"/>
      <c r="H120" s="203"/>
      <c r="I120" s="203"/>
      <c r="J120" s="203"/>
      <c r="K120" s="203"/>
      <c r="L120" s="203"/>
      <c r="M120" s="203"/>
      <c r="N120" s="203"/>
      <c r="O120" s="203"/>
      <c r="P120" s="203"/>
      <c r="Q120" s="203"/>
      <c r="R120" s="203"/>
      <c r="S120" s="134"/>
      <c r="T120" s="135" t="s">
        <v>84</v>
      </c>
      <c r="U120" s="135"/>
      <c r="V120" s="207">
        <v>3</v>
      </c>
      <c r="W120" s="204"/>
      <c r="X120" s="173" t="s">
        <v>11</v>
      </c>
      <c r="Y120" s="173"/>
      <c r="Z120" s="140">
        <v>7</v>
      </c>
      <c r="AA120" s="141"/>
      <c r="AB120" s="139" t="s">
        <v>12</v>
      </c>
      <c r="AC120" s="142" t="e">
        <v>#REF!</v>
      </c>
      <c r="AD120" s="143"/>
      <c r="AE120" s="143"/>
      <c r="AF120" s="143"/>
      <c r="AG120" s="143"/>
      <c r="AH120" s="143"/>
      <c r="AI120" s="143"/>
      <c r="AJ120" s="143"/>
      <c r="AK120" s="142" t="e">
        <v>#REF!</v>
      </c>
      <c r="AL120" s="173"/>
      <c r="AM120" s="134"/>
      <c r="AN120" s="131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06" t="s">
        <v>279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8"/>
      <c r="P121" s="208"/>
      <c r="Q121" s="208"/>
      <c r="R121" s="208"/>
      <c r="S121" s="144" t="s">
        <v>1</v>
      </c>
      <c r="T121" s="135"/>
      <c r="U121" s="135"/>
      <c r="V121" s="173"/>
      <c r="W121" s="173"/>
      <c r="X121" s="173"/>
      <c r="Y121" s="173"/>
      <c r="Z121" s="139"/>
      <c r="AA121" s="145"/>
      <c r="AB121" s="139"/>
      <c r="AC121" s="127"/>
      <c r="AD121" s="135"/>
      <c r="AE121" s="135"/>
      <c r="AF121" s="135"/>
      <c r="AG121" s="135"/>
      <c r="AH121" s="135"/>
      <c r="AI121" s="135"/>
      <c r="AJ121" s="135"/>
      <c r="AK121" s="127"/>
      <c r="AL121" s="209"/>
      <c r="AM121" s="134"/>
      <c r="AN121" s="131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46">
        <v>1</v>
      </c>
      <c r="B122" s="162" t="s">
        <v>167</v>
      </c>
      <c r="C122" s="165"/>
      <c r="D122" s="165"/>
      <c r="E122" s="165"/>
      <c r="F122" s="165"/>
      <c r="G122" s="165"/>
      <c r="H122" s="165"/>
      <c r="I122" s="209"/>
      <c r="J122" s="165"/>
      <c r="K122" s="165"/>
      <c r="L122" s="165"/>
      <c r="M122" s="165"/>
      <c r="N122" s="165"/>
      <c r="O122" s="165"/>
      <c r="P122" s="165"/>
      <c r="Q122" s="165"/>
      <c r="R122" s="165"/>
      <c r="S122" s="210"/>
      <c r="T122" s="165"/>
      <c r="U122" s="165"/>
      <c r="V122" s="165"/>
      <c r="W122" s="165"/>
      <c r="X122" s="165"/>
      <c r="Y122" s="165"/>
      <c r="Z122" s="165"/>
      <c r="AA122" s="165"/>
      <c r="AB122" s="165"/>
      <c r="AC122" s="165"/>
      <c r="AD122" s="165"/>
      <c r="AE122" s="165"/>
      <c r="AF122" s="165"/>
      <c r="AG122" s="165"/>
      <c r="AH122" s="165"/>
      <c r="AI122" s="165"/>
      <c r="AJ122" s="165"/>
      <c r="AK122" s="165"/>
      <c r="AL122" s="147"/>
      <c r="AM122" s="211"/>
      <c r="AN122" s="131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48">
        <f t="shared" ref="A123:A172" si="2">A122+1</f>
        <v>2</v>
      </c>
      <c r="B123" s="149"/>
      <c r="C123" s="150" t="s">
        <v>168</v>
      </c>
      <c r="D123" s="127"/>
      <c r="E123" s="127"/>
      <c r="F123" s="127"/>
      <c r="G123" s="127"/>
      <c r="H123" s="127"/>
      <c r="I123" s="127"/>
      <c r="J123" s="127"/>
      <c r="K123" s="127"/>
      <c r="L123" s="127"/>
      <c r="M123" s="127"/>
      <c r="N123" s="127"/>
      <c r="O123" s="127"/>
      <c r="P123" s="127"/>
      <c r="Q123" s="127"/>
      <c r="R123" s="127"/>
      <c r="S123" s="151"/>
      <c r="T123" s="149"/>
      <c r="U123" s="150" t="s">
        <v>169</v>
      </c>
      <c r="V123" s="127"/>
      <c r="W123" s="127"/>
      <c r="X123" s="127"/>
      <c r="Y123" s="127"/>
      <c r="Z123" s="127"/>
      <c r="AA123" s="127"/>
      <c r="AB123" s="127"/>
      <c r="AC123" s="127"/>
      <c r="AD123" s="127"/>
      <c r="AE123" s="127"/>
      <c r="AF123" s="127"/>
      <c r="AG123" s="127"/>
      <c r="AH123" s="127"/>
      <c r="AI123" s="127"/>
      <c r="AJ123" s="127"/>
      <c r="AK123" s="131"/>
      <c r="AL123" s="131"/>
      <c r="AM123" s="151"/>
      <c r="AN123" s="131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48">
        <f t="shared" si="2"/>
        <v>3</v>
      </c>
      <c r="B124" s="149"/>
      <c r="C124" s="127" t="s">
        <v>170</v>
      </c>
      <c r="D124" s="127"/>
      <c r="E124" s="127"/>
      <c r="F124" s="127"/>
      <c r="G124" s="142"/>
      <c r="H124" s="142"/>
      <c r="I124" s="142"/>
      <c r="J124" s="142"/>
      <c r="K124" s="127" t="s">
        <v>171</v>
      </c>
      <c r="L124" s="127"/>
      <c r="M124" s="127" t="s">
        <v>172</v>
      </c>
      <c r="N124" s="127"/>
      <c r="O124" s="142"/>
      <c r="P124" s="142"/>
      <c r="Q124" s="127" t="s">
        <v>171</v>
      </c>
      <c r="R124" s="127"/>
      <c r="S124" s="151"/>
      <c r="T124" s="149"/>
      <c r="U124" s="127" t="s">
        <v>1</v>
      </c>
      <c r="V124" s="127" t="s">
        <v>173</v>
      </c>
      <c r="W124" s="127"/>
      <c r="X124" s="127"/>
      <c r="Y124" s="142"/>
      <c r="Z124" s="142"/>
      <c r="AA124" s="142"/>
      <c r="AB124" s="142"/>
      <c r="AC124" s="142"/>
      <c r="AD124" s="142"/>
      <c r="AE124" s="142"/>
      <c r="AF124" s="142"/>
      <c r="AG124" s="142"/>
      <c r="AH124" s="142"/>
      <c r="AI124" s="142"/>
      <c r="AJ124" s="142"/>
      <c r="AK124" s="131"/>
      <c r="AL124" s="131"/>
      <c r="AM124" s="151"/>
      <c r="AN124" s="131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48">
        <f t="shared" si="2"/>
        <v>4</v>
      </c>
      <c r="B125" s="131"/>
      <c r="C125" s="127" t="s">
        <v>174</v>
      </c>
      <c r="D125" s="127"/>
      <c r="E125" s="127"/>
      <c r="F125" s="127"/>
      <c r="G125" s="127"/>
      <c r="H125" s="142"/>
      <c r="I125" s="142"/>
      <c r="J125" s="142"/>
      <c r="K125" s="142"/>
      <c r="L125" s="127" t="s">
        <v>175</v>
      </c>
      <c r="M125" s="127"/>
      <c r="N125" s="127"/>
      <c r="O125" s="127"/>
      <c r="P125" s="127"/>
      <c r="Q125" s="127"/>
      <c r="R125" s="127"/>
      <c r="S125" s="151"/>
      <c r="T125" s="149"/>
      <c r="U125" s="127"/>
      <c r="V125" s="127" t="s">
        <v>176</v>
      </c>
      <c r="W125" s="127"/>
      <c r="X125" s="127"/>
      <c r="Y125" s="127"/>
      <c r="Z125" s="152"/>
      <c r="AA125" s="127" t="s">
        <v>130</v>
      </c>
      <c r="AB125" s="127"/>
      <c r="AC125" s="152"/>
      <c r="AD125" s="127" t="s">
        <v>177</v>
      </c>
      <c r="AE125" s="127"/>
      <c r="AF125" s="127"/>
      <c r="AG125" s="127"/>
      <c r="AH125" s="127"/>
      <c r="AI125" s="127"/>
      <c r="AJ125" s="127"/>
      <c r="AK125" s="131"/>
      <c r="AL125" s="131"/>
      <c r="AM125" s="151"/>
      <c r="AN125" s="131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48">
        <f t="shared" si="2"/>
        <v>5</v>
      </c>
      <c r="B126" s="131"/>
      <c r="C126" s="131"/>
      <c r="D126" s="127"/>
      <c r="E126" s="127"/>
      <c r="F126" s="127"/>
      <c r="G126" s="127"/>
      <c r="H126" s="142"/>
      <c r="I126" s="142"/>
      <c r="J126" s="142"/>
      <c r="K126" s="142"/>
      <c r="L126" s="127" t="s">
        <v>178</v>
      </c>
      <c r="M126" s="127"/>
      <c r="N126" s="127"/>
      <c r="O126" s="127"/>
      <c r="P126" s="127"/>
      <c r="Q126" s="127"/>
      <c r="R126" s="127"/>
      <c r="S126" s="151"/>
      <c r="T126" s="127"/>
      <c r="U126" s="127"/>
      <c r="V126" s="127"/>
      <c r="W126" s="127"/>
      <c r="X126" s="127"/>
      <c r="Y126" s="127"/>
      <c r="Z126" s="127"/>
      <c r="AA126" s="127"/>
      <c r="AB126" s="127"/>
      <c r="AC126" s="127"/>
      <c r="AD126" s="127"/>
      <c r="AE126" s="127"/>
      <c r="AF126" s="127"/>
      <c r="AG126" s="127"/>
      <c r="AH126" s="127"/>
      <c r="AI126" s="127"/>
      <c r="AJ126" s="127"/>
      <c r="AK126" s="131"/>
      <c r="AL126" s="131"/>
      <c r="AM126" s="151"/>
      <c r="AN126" s="131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48">
        <f t="shared" si="2"/>
        <v>6</v>
      </c>
      <c r="B127" s="131"/>
      <c r="C127" s="150" t="s">
        <v>179</v>
      </c>
      <c r="D127" s="127"/>
      <c r="E127" s="127"/>
      <c r="F127" s="127"/>
      <c r="G127" s="127"/>
      <c r="H127" s="127"/>
      <c r="I127" s="127"/>
      <c r="J127" s="127"/>
      <c r="K127" s="127"/>
      <c r="L127" s="127"/>
      <c r="M127" s="127"/>
      <c r="N127" s="127"/>
      <c r="O127" s="127"/>
      <c r="P127" s="127"/>
      <c r="Q127" s="127"/>
      <c r="R127" s="127"/>
      <c r="S127" s="151"/>
      <c r="T127" s="127"/>
      <c r="U127" s="127"/>
      <c r="V127" s="127"/>
      <c r="W127" s="127" t="s">
        <v>180</v>
      </c>
      <c r="X127" s="127"/>
      <c r="Y127" s="127"/>
      <c r="Z127" s="127"/>
      <c r="AA127" s="127"/>
      <c r="AB127" s="127"/>
      <c r="AC127" s="127"/>
      <c r="AD127" s="127"/>
      <c r="AE127" s="127"/>
      <c r="AF127" s="127"/>
      <c r="AG127" s="127"/>
      <c r="AH127" s="127"/>
      <c r="AI127" s="127"/>
      <c r="AJ127" s="127"/>
      <c r="AK127" s="127"/>
      <c r="AL127" s="127"/>
      <c r="AM127" s="151"/>
      <c r="AN127" s="131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48">
        <f t="shared" si="2"/>
        <v>7</v>
      </c>
      <c r="B128" s="149"/>
      <c r="C128" s="127" t="s">
        <v>181</v>
      </c>
      <c r="D128" s="127"/>
      <c r="E128" s="127"/>
      <c r="F128" s="127"/>
      <c r="G128" s="127"/>
      <c r="H128" s="142"/>
      <c r="I128" s="142"/>
      <c r="J128" s="142"/>
      <c r="K128" s="142"/>
      <c r="L128" s="127" t="s">
        <v>171</v>
      </c>
      <c r="M128" s="127"/>
      <c r="N128" s="142"/>
      <c r="O128" s="142"/>
      <c r="P128" s="142"/>
      <c r="Q128" s="127" t="s">
        <v>182</v>
      </c>
      <c r="R128" s="127"/>
      <c r="S128" s="151"/>
      <c r="T128" s="127"/>
      <c r="U128" s="127"/>
      <c r="V128" s="127" t="s">
        <v>183</v>
      </c>
      <c r="W128" s="127"/>
      <c r="X128" s="127"/>
      <c r="Y128" s="127"/>
      <c r="Z128" s="127"/>
      <c r="AA128" s="127"/>
      <c r="AB128" s="127"/>
      <c r="AC128" s="127" t="s">
        <v>184</v>
      </c>
      <c r="AD128" s="142"/>
      <c r="AE128" s="142"/>
      <c r="AF128" s="142"/>
      <c r="AG128" s="127"/>
      <c r="AH128" s="127" t="s">
        <v>185</v>
      </c>
      <c r="AI128" s="142"/>
      <c r="AJ128" s="142"/>
      <c r="AK128" s="142"/>
      <c r="AL128" s="142"/>
      <c r="AM128" s="151"/>
      <c r="AN128" s="131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48">
        <f t="shared" si="2"/>
        <v>8</v>
      </c>
      <c r="B129" s="149"/>
      <c r="C129" s="127" t="s">
        <v>186</v>
      </c>
      <c r="D129" s="127"/>
      <c r="E129" s="127"/>
      <c r="F129" s="127"/>
      <c r="G129" s="127"/>
      <c r="H129" s="142"/>
      <c r="I129" s="142"/>
      <c r="J129" s="142"/>
      <c r="K129" s="142"/>
      <c r="L129" s="127" t="s">
        <v>171</v>
      </c>
      <c r="M129" s="127"/>
      <c r="N129" s="142"/>
      <c r="O129" s="142"/>
      <c r="P129" s="142"/>
      <c r="Q129" s="127" t="s">
        <v>182</v>
      </c>
      <c r="R129" s="127"/>
      <c r="S129" s="151"/>
      <c r="T129" s="127"/>
      <c r="U129" s="127"/>
      <c r="V129" s="127" t="s">
        <v>187</v>
      </c>
      <c r="W129" s="127"/>
      <c r="X129" s="127"/>
      <c r="Y129" s="127"/>
      <c r="Z129" s="127"/>
      <c r="AA129" s="127"/>
      <c r="AB129" s="127"/>
      <c r="AC129" s="127" t="s">
        <v>184</v>
      </c>
      <c r="AD129" s="142"/>
      <c r="AE129" s="142"/>
      <c r="AF129" s="142"/>
      <c r="AG129" s="127"/>
      <c r="AH129" s="127" t="s">
        <v>185</v>
      </c>
      <c r="AI129" s="142"/>
      <c r="AJ129" s="142"/>
      <c r="AK129" s="142"/>
      <c r="AL129" s="142"/>
      <c r="AM129" s="151"/>
      <c r="AN129" s="131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48">
        <f t="shared" si="2"/>
        <v>9</v>
      </c>
      <c r="B130" s="149"/>
      <c r="C130" s="127" t="s">
        <v>188</v>
      </c>
      <c r="D130" s="127"/>
      <c r="E130" s="127"/>
      <c r="F130" s="127"/>
      <c r="G130" s="127"/>
      <c r="H130" s="142"/>
      <c r="I130" s="142"/>
      <c r="J130" s="142"/>
      <c r="K130" s="142"/>
      <c r="L130" s="127" t="s">
        <v>171</v>
      </c>
      <c r="M130" s="127"/>
      <c r="N130" s="142"/>
      <c r="O130" s="142"/>
      <c r="P130" s="142"/>
      <c r="Q130" s="127" t="s">
        <v>182</v>
      </c>
      <c r="R130" s="127"/>
      <c r="S130" s="151"/>
      <c r="T130" s="131"/>
      <c r="U130" s="131"/>
      <c r="V130" s="127" t="s">
        <v>287</v>
      </c>
      <c r="W130" s="131"/>
      <c r="X130" s="131"/>
      <c r="Y130" s="131"/>
      <c r="Z130" s="131"/>
      <c r="AA130" s="131"/>
      <c r="AB130" s="127"/>
      <c r="AC130" s="142"/>
      <c r="AD130" s="142"/>
      <c r="AE130" s="142"/>
      <c r="AF130" s="142"/>
      <c r="AG130" s="142"/>
      <c r="AH130" s="142"/>
      <c r="AI130" s="142"/>
      <c r="AJ130" s="142"/>
      <c r="AK130" s="142"/>
      <c r="AL130" s="142"/>
      <c r="AM130" s="151"/>
      <c r="AN130" s="131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48">
        <f t="shared" si="2"/>
        <v>10</v>
      </c>
      <c r="B131" s="149"/>
      <c r="C131" s="127" t="s">
        <v>189</v>
      </c>
      <c r="D131" s="127"/>
      <c r="E131" s="127"/>
      <c r="F131" s="127"/>
      <c r="G131" s="127"/>
      <c r="H131" s="142"/>
      <c r="I131" s="142"/>
      <c r="J131" s="142"/>
      <c r="K131" s="142"/>
      <c r="L131" s="127" t="s">
        <v>171</v>
      </c>
      <c r="M131" s="127"/>
      <c r="N131" s="142"/>
      <c r="O131" s="142"/>
      <c r="P131" s="142"/>
      <c r="Q131" s="127" t="s">
        <v>182</v>
      </c>
      <c r="R131" s="127"/>
      <c r="S131" s="151"/>
      <c r="T131" s="149"/>
      <c r="U131" s="150" t="s">
        <v>190</v>
      </c>
      <c r="V131" s="127"/>
      <c r="W131" s="127"/>
      <c r="X131" s="127"/>
      <c r="Y131" s="127"/>
      <c r="Z131" s="127"/>
      <c r="AA131" s="127"/>
      <c r="AB131" s="127"/>
      <c r="AC131" s="127"/>
      <c r="AD131" s="127"/>
      <c r="AE131" s="127"/>
      <c r="AF131" s="127"/>
      <c r="AG131" s="127"/>
      <c r="AH131" s="127"/>
      <c r="AI131" s="127"/>
      <c r="AJ131" s="127"/>
      <c r="AK131" s="127"/>
      <c r="AL131" s="127"/>
      <c r="AM131" s="151"/>
      <c r="AN131" s="131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48">
        <f t="shared" si="2"/>
        <v>11</v>
      </c>
      <c r="B132" s="149"/>
      <c r="C132" s="127" t="s">
        <v>191</v>
      </c>
      <c r="D132" s="127"/>
      <c r="E132" s="127"/>
      <c r="F132" s="127"/>
      <c r="G132" s="127"/>
      <c r="H132" s="127"/>
      <c r="I132" s="127"/>
      <c r="J132" s="127"/>
      <c r="K132" s="127"/>
      <c r="L132" s="127"/>
      <c r="M132" s="127"/>
      <c r="N132" s="127"/>
      <c r="O132" s="127"/>
      <c r="P132" s="127"/>
      <c r="Q132" s="127"/>
      <c r="R132" s="127"/>
      <c r="S132" s="151"/>
      <c r="T132" s="153"/>
      <c r="U132" s="127" t="s">
        <v>192</v>
      </c>
      <c r="V132" s="127" t="s">
        <v>193</v>
      </c>
      <c r="W132" s="142"/>
      <c r="X132" s="127"/>
      <c r="Y132" s="127"/>
      <c r="Z132" s="127" t="s">
        <v>194</v>
      </c>
      <c r="AA132" s="127"/>
      <c r="AB132" s="512">
        <v>365</v>
      </c>
      <c r="AC132" s="513"/>
      <c r="AD132" s="356"/>
      <c r="AE132" s="356"/>
      <c r="AF132" s="356"/>
      <c r="AG132" s="356"/>
      <c r="AH132" s="356"/>
      <c r="AI132" s="356"/>
      <c r="AJ132" s="356"/>
      <c r="AK132" s="356"/>
      <c r="AL132" s="357"/>
      <c r="AM132" s="358"/>
      <c r="AN132" s="359" t="s">
        <v>195</v>
      </c>
      <c r="AO132" s="359"/>
      <c r="AP132" s="360"/>
      <c r="AQ132" s="361">
        <v>10.15</v>
      </c>
      <c r="AR132" s="46" t="s">
        <v>196</v>
      </c>
      <c r="AS132" s="46"/>
      <c r="AT132" s="9"/>
      <c r="AU132" s="9"/>
      <c r="AV132" s="9"/>
      <c r="AW132" s="9"/>
      <c r="AX132" s="9"/>
    </row>
    <row r="133" spans="1:50" x14ac:dyDescent="0.25">
      <c r="A133" s="148">
        <f t="shared" si="2"/>
        <v>12</v>
      </c>
      <c r="B133" s="149"/>
      <c r="C133" s="127" t="s">
        <v>197</v>
      </c>
      <c r="D133" s="127"/>
      <c r="E133" s="127"/>
      <c r="F133" s="127"/>
      <c r="G133" s="127"/>
      <c r="H133" s="127"/>
      <c r="I133" s="127"/>
      <c r="J133" s="127"/>
      <c r="K133" s="127"/>
      <c r="L133" s="127"/>
      <c r="M133" s="127"/>
      <c r="N133" s="127"/>
      <c r="O133" s="127"/>
      <c r="P133" s="127"/>
      <c r="Q133" s="127"/>
      <c r="R133" s="127"/>
      <c r="S133" s="151"/>
      <c r="T133" s="153"/>
      <c r="U133" s="127"/>
      <c r="V133" s="127"/>
      <c r="W133" s="127"/>
      <c r="X133" s="127"/>
      <c r="Y133" s="127"/>
      <c r="Z133" s="127" t="s">
        <v>198</v>
      </c>
      <c r="AA133" s="127"/>
      <c r="AB133" s="512">
        <v>320</v>
      </c>
      <c r="AC133" s="513"/>
      <c r="AD133" s="356"/>
      <c r="AE133" s="356"/>
      <c r="AF133" s="356"/>
      <c r="AG133" s="356"/>
      <c r="AH133" s="356"/>
      <c r="AI133" s="356"/>
      <c r="AJ133" s="356"/>
      <c r="AK133" s="356"/>
      <c r="AL133" s="357"/>
      <c r="AM133" s="358"/>
      <c r="AN133" s="359" t="s">
        <v>195</v>
      </c>
      <c r="AO133" s="359"/>
      <c r="AP133" s="360"/>
      <c r="AQ133" s="361">
        <v>6.38</v>
      </c>
      <c r="AR133" s="46" t="s">
        <v>199</v>
      </c>
      <c r="AS133" s="46"/>
      <c r="AT133" s="9"/>
      <c r="AU133" s="9"/>
      <c r="AV133" s="9"/>
      <c r="AW133" s="9"/>
      <c r="AX133" s="9"/>
    </row>
    <row r="134" spans="1:50" x14ac:dyDescent="0.25">
      <c r="A134" s="148">
        <f t="shared" si="2"/>
        <v>13</v>
      </c>
      <c r="B134" s="149"/>
      <c r="C134" s="127" t="s">
        <v>200</v>
      </c>
      <c r="D134" s="127"/>
      <c r="E134" s="127"/>
      <c r="F134" s="127"/>
      <c r="G134" s="127"/>
      <c r="H134" s="127"/>
      <c r="I134" s="127"/>
      <c r="J134" s="127"/>
      <c r="K134" s="127"/>
      <c r="L134" s="127"/>
      <c r="M134" s="127"/>
      <c r="N134" s="127"/>
      <c r="O134" s="127"/>
      <c r="P134" s="127"/>
      <c r="Q134" s="127"/>
      <c r="R134" s="127"/>
      <c r="S134" s="127"/>
      <c r="T134" s="153"/>
      <c r="U134" s="127" t="s">
        <v>201</v>
      </c>
      <c r="V134" s="127"/>
      <c r="W134" s="127"/>
      <c r="X134" s="127"/>
      <c r="Y134" s="127"/>
      <c r="Z134" s="127"/>
      <c r="AA134" s="127"/>
      <c r="AB134" s="156"/>
      <c r="AC134" s="154"/>
      <c r="AD134" s="154"/>
      <c r="AE134" s="154"/>
      <c r="AF134" s="154"/>
      <c r="AG134" s="154"/>
      <c r="AH134" s="154"/>
      <c r="AI134" s="154"/>
      <c r="AJ134" s="154"/>
      <c r="AK134" s="154"/>
      <c r="AL134" s="156"/>
      <c r="AM134" s="155"/>
      <c r="AN134" s="157"/>
      <c r="AO134" s="46"/>
      <c r="AP134" s="46"/>
      <c r="AQ134" s="46"/>
      <c r="AR134" s="46"/>
      <c r="AS134" s="46"/>
      <c r="AT134" s="9"/>
      <c r="AU134" s="9"/>
      <c r="AV134" s="9"/>
      <c r="AW134" s="9"/>
      <c r="AX134" s="9"/>
    </row>
    <row r="135" spans="1:50" x14ac:dyDescent="0.25">
      <c r="A135" s="148">
        <f t="shared" si="2"/>
        <v>14</v>
      </c>
      <c r="B135" s="149"/>
      <c r="C135" s="150" t="s">
        <v>202</v>
      </c>
      <c r="D135" s="127"/>
      <c r="E135" s="127"/>
      <c r="F135" s="127"/>
      <c r="G135" s="127"/>
      <c r="H135" s="127"/>
      <c r="I135" s="127"/>
      <c r="J135" s="127"/>
      <c r="K135" s="127"/>
      <c r="L135" s="127"/>
      <c r="M135" s="127"/>
      <c r="N135" s="127"/>
      <c r="O135" s="127"/>
      <c r="P135" s="127"/>
      <c r="Q135" s="127"/>
      <c r="R135" s="127"/>
      <c r="S135" s="151"/>
      <c r="T135" s="127"/>
      <c r="U135" s="127" t="s">
        <v>203</v>
      </c>
      <c r="V135" s="127"/>
      <c r="W135" s="127"/>
      <c r="X135" s="127"/>
      <c r="Y135" s="127"/>
      <c r="Z135" s="127"/>
      <c r="AA135" s="142"/>
      <c r="AB135" s="154"/>
      <c r="AC135" s="154"/>
      <c r="AD135" s="154"/>
      <c r="AE135" s="154"/>
      <c r="AF135" s="154"/>
      <c r="AG135" s="154"/>
      <c r="AH135" s="154"/>
      <c r="AI135" s="154"/>
      <c r="AJ135" s="154"/>
      <c r="AK135" s="154"/>
      <c r="AL135" s="156"/>
      <c r="AM135" s="155"/>
      <c r="AN135" s="157"/>
      <c r="AO135" s="46"/>
      <c r="AP135" s="46"/>
      <c r="AQ135" s="46"/>
      <c r="AR135" s="46"/>
      <c r="AS135" s="46"/>
      <c r="AT135" s="9"/>
      <c r="AU135" s="9"/>
      <c r="AV135" s="9"/>
      <c r="AW135" s="9"/>
      <c r="AX135" s="9"/>
    </row>
    <row r="136" spans="1:50" x14ac:dyDescent="0.25">
      <c r="A136" s="148">
        <f t="shared" si="2"/>
        <v>15</v>
      </c>
      <c r="B136" s="149"/>
      <c r="C136" s="127" t="s">
        <v>181</v>
      </c>
      <c r="D136" s="127"/>
      <c r="E136" s="127"/>
      <c r="F136" s="127"/>
      <c r="G136" s="127"/>
      <c r="H136" s="142"/>
      <c r="I136" s="142"/>
      <c r="J136" s="142"/>
      <c r="K136" s="142"/>
      <c r="L136" s="142"/>
      <c r="M136" s="142"/>
      <c r="N136" s="142"/>
      <c r="O136" s="142"/>
      <c r="P136" s="142"/>
      <c r="Q136" s="127" t="s">
        <v>171</v>
      </c>
      <c r="R136" s="127"/>
      <c r="S136" s="151"/>
      <c r="T136" s="127"/>
      <c r="U136" s="127" t="s">
        <v>173</v>
      </c>
      <c r="V136" s="127"/>
      <c r="W136" s="127"/>
      <c r="X136" s="142"/>
      <c r="Y136" s="142"/>
      <c r="Z136" s="142"/>
      <c r="AA136" s="142"/>
      <c r="AB136" s="154"/>
      <c r="AC136" s="154"/>
      <c r="AD136" s="154"/>
      <c r="AE136" s="154"/>
      <c r="AF136" s="154"/>
      <c r="AG136" s="154"/>
      <c r="AH136" s="154"/>
      <c r="AI136" s="154"/>
      <c r="AJ136" s="154"/>
      <c r="AK136" s="154"/>
      <c r="AL136" s="156"/>
      <c r="AM136" s="155"/>
      <c r="AN136" s="157"/>
      <c r="AO136" s="46"/>
      <c r="AP136" s="46"/>
      <c r="AQ136" s="46"/>
      <c r="AR136" s="46"/>
      <c r="AS136" s="46"/>
      <c r="AT136" s="9"/>
      <c r="AU136" s="9"/>
      <c r="AV136" s="9"/>
      <c r="AW136" s="9"/>
      <c r="AX136" s="9"/>
    </row>
    <row r="137" spans="1:50" x14ac:dyDescent="0.25">
      <c r="A137" s="148">
        <f t="shared" si="2"/>
        <v>16</v>
      </c>
      <c r="B137" s="149"/>
      <c r="C137" s="127" t="s">
        <v>186</v>
      </c>
      <c r="D137" s="127"/>
      <c r="E137" s="127"/>
      <c r="F137" s="127"/>
      <c r="G137" s="127"/>
      <c r="H137" s="142"/>
      <c r="I137" s="142"/>
      <c r="J137" s="142"/>
      <c r="K137" s="142"/>
      <c r="L137" s="142"/>
      <c r="M137" s="142"/>
      <c r="N137" s="142"/>
      <c r="O137" s="142"/>
      <c r="P137" s="142"/>
      <c r="Q137" s="127" t="s">
        <v>171</v>
      </c>
      <c r="R137" s="127"/>
      <c r="S137" s="151"/>
      <c r="T137" s="127"/>
      <c r="U137" s="127" t="s">
        <v>204</v>
      </c>
      <c r="V137" s="127"/>
      <c r="W137" s="127"/>
      <c r="X137" s="127"/>
      <c r="Y137" s="127"/>
      <c r="Z137" s="127"/>
      <c r="AA137" s="127"/>
      <c r="AB137" s="156"/>
      <c r="AC137" s="154"/>
      <c r="AD137" s="154"/>
      <c r="AE137" s="154"/>
      <c r="AF137" s="154"/>
      <c r="AG137" s="154"/>
      <c r="AH137" s="154"/>
      <c r="AI137" s="154"/>
      <c r="AJ137" s="154"/>
      <c r="AK137" s="154"/>
      <c r="AL137" s="156"/>
      <c r="AM137" s="155"/>
      <c r="AN137" s="157"/>
      <c r="AO137" s="46"/>
      <c r="AP137" s="46"/>
      <c r="AQ137" s="46"/>
      <c r="AR137" s="46"/>
      <c r="AS137" s="46"/>
      <c r="AT137" s="9"/>
      <c r="AU137" s="9"/>
      <c r="AV137" s="9"/>
      <c r="AW137" s="9"/>
      <c r="AX137" s="9"/>
    </row>
    <row r="138" spans="1:50" x14ac:dyDescent="0.25">
      <c r="A138" s="148">
        <f t="shared" si="2"/>
        <v>17</v>
      </c>
      <c r="B138" s="149"/>
      <c r="C138" s="127" t="s">
        <v>188</v>
      </c>
      <c r="D138" s="127"/>
      <c r="E138" s="127"/>
      <c r="F138" s="127"/>
      <c r="G138" s="127"/>
      <c r="H138" s="142"/>
      <c r="I138" s="142"/>
      <c r="J138" s="142"/>
      <c r="K138" s="142"/>
      <c r="L138" s="142"/>
      <c r="M138" s="142"/>
      <c r="N138" s="142"/>
      <c r="O138" s="142"/>
      <c r="P138" s="142"/>
      <c r="Q138" s="127" t="s">
        <v>171</v>
      </c>
      <c r="R138" s="127"/>
      <c r="S138" s="151"/>
      <c r="T138" s="127"/>
      <c r="U138" s="127" t="s">
        <v>205</v>
      </c>
      <c r="V138" s="127"/>
      <c r="W138" s="127"/>
      <c r="X138" s="127"/>
      <c r="Y138" s="127"/>
      <c r="Z138" s="127"/>
      <c r="AA138" s="127"/>
      <c r="AB138" s="156"/>
      <c r="AC138" s="156" t="s">
        <v>184</v>
      </c>
      <c r="AD138" s="156"/>
      <c r="AE138" s="154"/>
      <c r="AF138" s="154"/>
      <c r="AG138" s="156"/>
      <c r="AH138" s="156" t="s">
        <v>185</v>
      </c>
      <c r="AI138" s="156"/>
      <c r="AJ138" s="154"/>
      <c r="AK138" s="154"/>
      <c r="AL138" s="156"/>
      <c r="AM138" s="155"/>
      <c r="AN138" s="157"/>
      <c r="AO138" s="46"/>
      <c r="AP138" s="46"/>
      <c r="AQ138" s="46"/>
      <c r="AR138" s="46"/>
      <c r="AS138" s="46"/>
      <c r="AT138" s="9"/>
      <c r="AU138" s="9"/>
      <c r="AV138" s="9"/>
      <c r="AW138" s="9"/>
      <c r="AX138" s="9"/>
    </row>
    <row r="139" spans="1:50" x14ac:dyDescent="0.25">
      <c r="A139" s="148">
        <f t="shared" si="2"/>
        <v>18</v>
      </c>
      <c r="B139" s="149"/>
      <c r="C139" s="127" t="s">
        <v>189</v>
      </c>
      <c r="D139" s="127"/>
      <c r="E139" s="127"/>
      <c r="F139" s="127"/>
      <c r="G139" s="127"/>
      <c r="H139" s="142"/>
      <c r="I139" s="142"/>
      <c r="J139" s="142"/>
      <c r="K139" s="142"/>
      <c r="L139" s="142"/>
      <c r="M139" s="142"/>
      <c r="N139" s="142"/>
      <c r="O139" s="142"/>
      <c r="P139" s="142"/>
      <c r="Q139" s="127" t="s">
        <v>171</v>
      </c>
      <c r="R139" s="127"/>
      <c r="S139" s="151"/>
      <c r="T139" s="127"/>
      <c r="U139" s="127" t="s">
        <v>206</v>
      </c>
      <c r="V139" s="127"/>
      <c r="W139" s="127"/>
      <c r="X139" s="127"/>
      <c r="Y139" s="127"/>
      <c r="Z139" s="127"/>
      <c r="AA139" s="127"/>
      <c r="AB139" s="156"/>
      <c r="AC139" s="156"/>
      <c r="AD139" s="156"/>
      <c r="AE139" s="154"/>
      <c r="AF139" s="154"/>
      <c r="AG139" s="154"/>
      <c r="AH139" s="154"/>
      <c r="AI139" s="154"/>
      <c r="AJ139" s="154"/>
      <c r="AK139" s="154"/>
      <c r="AL139" s="156"/>
      <c r="AM139" s="155"/>
      <c r="AN139" s="157"/>
      <c r="AO139" s="46"/>
      <c r="AP139" s="46"/>
      <c r="AQ139" s="46"/>
      <c r="AR139" s="46"/>
      <c r="AS139" s="46"/>
      <c r="AT139" s="9"/>
      <c r="AU139" s="9"/>
      <c r="AV139" s="9"/>
      <c r="AW139" s="9"/>
      <c r="AX139" s="9"/>
    </row>
    <row r="140" spans="1:50" x14ac:dyDescent="0.25">
      <c r="A140" s="148">
        <f t="shared" si="2"/>
        <v>19</v>
      </c>
      <c r="B140" s="149"/>
      <c r="C140" s="127" t="s">
        <v>207</v>
      </c>
      <c r="D140" s="127"/>
      <c r="E140" s="127"/>
      <c r="F140" s="127"/>
      <c r="G140" s="127"/>
      <c r="H140" s="127"/>
      <c r="I140" s="127"/>
      <c r="J140" s="127"/>
      <c r="K140" s="127"/>
      <c r="L140" s="127"/>
      <c r="M140" s="127"/>
      <c r="N140" s="127"/>
      <c r="O140" s="127"/>
      <c r="P140" s="127"/>
      <c r="Q140" s="127"/>
      <c r="R140" s="127"/>
      <c r="S140" s="151"/>
      <c r="T140" s="127"/>
      <c r="U140" s="127" t="s">
        <v>208</v>
      </c>
      <c r="V140" s="127"/>
      <c r="W140" s="127"/>
      <c r="X140" s="127"/>
      <c r="Y140" s="127"/>
      <c r="Z140" s="127"/>
      <c r="AA140" s="127"/>
      <c r="AB140" s="156"/>
      <c r="AC140" s="156"/>
      <c r="AD140" s="154"/>
      <c r="AE140" s="154"/>
      <c r="AF140" s="154"/>
      <c r="AG140" s="154"/>
      <c r="AH140" s="154"/>
      <c r="AI140" s="154"/>
      <c r="AJ140" s="154"/>
      <c r="AK140" s="154"/>
      <c r="AL140" s="156"/>
      <c r="AM140" s="155"/>
      <c r="AN140" s="157"/>
      <c r="AO140" s="46"/>
      <c r="AP140" s="46"/>
      <c r="AQ140" s="46"/>
      <c r="AR140" s="46"/>
      <c r="AS140" s="46"/>
      <c r="AT140" s="9"/>
      <c r="AU140" s="9"/>
      <c r="AV140" s="9"/>
      <c r="AW140" s="9"/>
      <c r="AX140" s="9"/>
    </row>
    <row r="141" spans="1:50" x14ac:dyDescent="0.25">
      <c r="A141" s="148">
        <f t="shared" si="2"/>
        <v>20</v>
      </c>
      <c r="B141" s="149"/>
      <c r="C141" s="150" t="s">
        <v>209</v>
      </c>
      <c r="D141" s="127"/>
      <c r="E141" s="127"/>
      <c r="F141" s="127"/>
      <c r="G141" s="127"/>
      <c r="H141" s="127"/>
      <c r="I141" s="127"/>
      <c r="J141" s="127"/>
      <c r="K141" s="127"/>
      <c r="L141" s="127"/>
      <c r="M141" s="127"/>
      <c r="N141" s="127"/>
      <c r="O141" s="127"/>
      <c r="P141" s="127"/>
      <c r="Q141" s="127"/>
      <c r="R141" s="127"/>
      <c r="S141" s="151"/>
      <c r="T141" s="127"/>
      <c r="U141" s="127" t="s">
        <v>210</v>
      </c>
      <c r="V141" s="135"/>
      <c r="W141" s="135"/>
      <c r="X141" s="135"/>
      <c r="Y141" s="135"/>
      <c r="Z141" s="135"/>
      <c r="AA141" s="135"/>
      <c r="AB141" s="158"/>
      <c r="AC141" s="158"/>
      <c r="AD141" s="158"/>
      <c r="AE141" s="158"/>
      <c r="AF141" s="158"/>
      <c r="AG141" s="156"/>
      <c r="AH141" s="154"/>
      <c r="AI141" s="154"/>
      <c r="AJ141" s="154"/>
      <c r="AK141" s="154"/>
      <c r="AL141" s="156"/>
      <c r="AM141" s="155"/>
      <c r="AN141" s="157"/>
      <c r="AO141" s="46"/>
      <c r="AP141" s="46"/>
      <c r="AQ141" s="46"/>
      <c r="AR141" s="46"/>
      <c r="AS141" s="46"/>
      <c r="AT141" s="9"/>
      <c r="AU141" s="9"/>
      <c r="AV141" s="9"/>
      <c r="AW141" s="9"/>
      <c r="AX141" s="9"/>
    </row>
    <row r="142" spans="1:50" x14ac:dyDescent="0.25">
      <c r="A142" s="148">
        <f t="shared" si="2"/>
        <v>21</v>
      </c>
      <c r="B142" s="149"/>
      <c r="C142" s="127" t="s">
        <v>211</v>
      </c>
      <c r="D142" s="127"/>
      <c r="E142" s="127"/>
      <c r="F142" s="127"/>
      <c r="G142" s="127"/>
      <c r="H142" s="127"/>
      <c r="I142" s="127"/>
      <c r="J142" s="142"/>
      <c r="K142" s="142"/>
      <c r="L142" s="142"/>
      <c r="M142" s="142"/>
      <c r="N142" s="142"/>
      <c r="O142" s="142"/>
      <c r="P142" s="142"/>
      <c r="Q142" s="159" t="s">
        <v>288</v>
      </c>
      <c r="R142" s="127"/>
      <c r="S142" s="151"/>
      <c r="T142" s="152"/>
      <c r="U142" s="150" t="s">
        <v>212</v>
      </c>
      <c r="V142" s="127"/>
      <c r="W142" s="127"/>
      <c r="X142" s="127"/>
      <c r="Y142" s="127"/>
      <c r="Z142" s="127"/>
      <c r="AA142" s="127"/>
      <c r="AB142" s="156"/>
      <c r="AC142" s="156"/>
      <c r="AD142" s="156"/>
      <c r="AE142" s="156"/>
      <c r="AF142" s="156"/>
      <c r="AG142" s="156"/>
      <c r="AH142" s="156"/>
      <c r="AI142" s="156"/>
      <c r="AJ142" s="156"/>
      <c r="AK142" s="156"/>
      <c r="AL142" s="156"/>
      <c r="AM142" s="155"/>
      <c r="AN142" s="157"/>
      <c r="AO142" s="46"/>
      <c r="AP142" s="46"/>
      <c r="AQ142" s="46"/>
      <c r="AR142" s="46"/>
      <c r="AS142" s="46"/>
      <c r="AT142" s="9"/>
      <c r="AU142" s="9"/>
      <c r="AV142" s="9"/>
      <c r="AW142" s="9"/>
      <c r="AX142" s="9"/>
    </row>
    <row r="143" spans="1:50" x14ac:dyDescent="0.25">
      <c r="A143" s="148">
        <f t="shared" si="2"/>
        <v>22</v>
      </c>
      <c r="B143" s="160"/>
      <c r="C143" s="147" t="s">
        <v>213</v>
      </c>
      <c r="D143" s="147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61"/>
      <c r="T143" s="152"/>
      <c r="U143" s="152"/>
      <c r="V143" s="127" t="s">
        <v>214</v>
      </c>
      <c r="W143" s="127"/>
      <c r="X143" s="127"/>
      <c r="Y143" s="127"/>
      <c r="Z143" s="152"/>
      <c r="AA143" s="127" t="s">
        <v>215</v>
      </c>
      <c r="AB143" s="156"/>
      <c r="AC143" s="156"/>
      <c r="AD143" s="156"/>
      <c r="AE143" s="156"/>
      <c r="AF143" s="156"/>
      <c r="AG143" s="156"/>
      <c r="AH143" s="156"/>
      <c r="AI143" s="156"/>
      <c r="AJ143" s="156"/>
      <c r="AK143" s="156"/>
      <c r="AL143" s="156"/>
      <c r="AM143" s="155"/>
      <c r="AN143" s="157"/>
      <c r="AO143" s="46"/>
      <c r="AP143" s="46"/>
      <c r="AQ143" s="46"/>
      <c r="AR143" s="46"/>
      <c r="AS143" s="46"/>
      <c r="AT143" s="9"/>
      <c r="AU143" s="9"/>
      <c r="AV143" s="9"/>
      <c r="AW143" s="9"/>
      <c r="AX143" s="9"/>
    </row>
    <row r="144" spans="1:50" x14ac:dyDescent="0.25">
      <c r="A144" s="148">
        <f t="shared" si="2"/>
        <v>23</v>
      </c>
      <c r="B144" s="149"/>
      <c r="C144" s="150" t="s">
        <v>216</v>
      </c>
      <c r="D144" s="127"/>
      <c r="E144" s="127"/>
      <c r="F144" s="127"/>
      <c r="G144" s="127"/>
      <c r="H144" s="127"/>
      <c r="I144" s="127"/>
      <c r="J144" s="127"/>
      <c r="K144" s="127"/>
      <c r="L144" s="127"/>
      <c r="M144" s="127"/>
      <c r="N144" s="127"/>
      <c r="O144" s="127"/>
      <c r="P144" s="127"/>
      <c r="Q144" s="127"/>
      <c r="R144" s="127"/>
      <c r="S144" s="151"/>
      <c r="T144" s="127"/>
      <c r="U144" s="127" t="s">
        <v>173</v>
      </c>
      <c r="V144" s="127"/>
      <c r="W144" s="127"/>
      <c r="X144" s="142"/>
      <c r="Y144" s="142"/>
      <c r="Z144" s="142"/>
      <c r="AA144" s="142"/>
      <c r="AB144" s="154"/>
      <c r="AC144" s="154"/>
      <c r="AD144" s="154"/>
      <c r="AE144" s="154"/>
      <c r="AF144" s="154"/>
      <c r="AG144" s="154"/>
      <c r="AH144" s="154"/>
      <c r="AI144" s="154"/>
      <c r="AJ144" s="154"/>
      <c r="AK144" s="154"/>
      <c r="AL144" s="156"/>
      <c r="AM144" s="155"/>
      <c r="AN144" s="157"/>
      <c r="AO144" s="46"/>
      <c r="AP144" s="46"/>
      <c r="AQ144" s="46"/>
      <c r="AR144" s="46"/>
      <c r="AS144" s="46"/>
      <c r="AT144" s="9"/>
      <c r="AU144" s="9"/>
      <c r="AV144" s="9"/>
      <c r="AW144" s="9"/>
      <c r="AX144" s="9"/>
    </row>
    <row r="145" spans="1:50" x14ac:dyDescent="0.25">
      <c r="A145" s="148">
        <f t="shared" si="2"/>
        <v>24</v>
      </c>
      <c r="B145" s="149"/>
      <c r="C145" s="150"/>
      <c r="D145" s="127" t="s">
        <v>217</v>
      </c>
      <c r="E145" s="127"/>
      <c r="F145" s="127"/>
      <c r="G145" s="127"/>
      <c r="H145" s="127"/>
      <c r="I145" s="127"/>
      <c r="J145" s="127"/>
      <c r="K145" s="127" t="s">
        <v>218</v>
      </c>
      <c r="L145" s="127"/>
      <c r="M145" s="127"/>
      <c r="N145" s="127"/>
      <c r="O145" s="127"/>
      <c r="P145" s="127"/>
      <c r="Q145" s="127"/>
      <c r="R145" s="127"/>
      <c r="S145" s="151"/>
      <c r="T145" s="127"/>
      <c r="U145" s="127" t="s">
        <v>219</v>
      </c>
      <c r="V145" s="127"/>
      <c r="W145" s="127"/>
      <c r="X145" s="127"/>
      <c r="Y145" s="127"/>
      <c r="Z145" s="127"/>
      <c r="AA145" s="142"/>
      <c r="AB145" s="154"/>
      <c r="AC145" s="156" t="s">
        <v>220</v>
      </c>
      <c r="AD145" s="156"/>
      <c r="AE145" s="156"/>
      <c r="AF145" s="158"/>
      <c r="AG145" s="156"/>
      <c r="AH145" s="156"/>
      <c r="AI145" s="154"/>
      <c r="AJ145" s="154"/>
      <c r="AK145" s="154"/>
      <c r="AL145" s="156"/>
      <c r="AM145" s="155"/>
      <c r="AN145" s="157"/>
      <c r="AO145" s="46"/>
      <c r="AP145" s="46"/>
      <c r="AQ145" s="46"/>
      <c r="AR145" s="46"/>
      <c r="AS145" s="46"/>
      <c r="AT145" s="9"/>
      <c r="AU145" s="9"/>
      <c r="AV145" s="9"/>
      <c r="AW145" s="9"/>
      <c r="AX145" s="9"/>
    </row>
    <row r="146" spans="1:50" x14ac:dyDescent="0.25">
      <c r="A146" s="148">
        <f t="shared" si="2"/>
        <v>25</v>
      </c>
      <c r="B146" s="162"/>
      <c r="C146" s="163" t="s">
        <v>221</v>
      </c>
      <c r="D146" s="164"/>
      <c r="E146" s="164"/>
      <c r="F146" s="164"/>
      <c r="G146" s="164"/>
      <c r="H146" s="164"/>
      <c r="I146" s="164"/>
      <c r="J146" s="164"/>
      <c r="K146" s="164"/>
      <c r="L146" s="164"/>
      <c r="M146" s="164"/>
      <c r="N146" s="164"/>
      <c r="O146" s="165"/>
      <c r="P146" s="166" t="s">
        <v>222</v>
      </c>
      <c r="Q146" s="165"/>
      <c r="R146" s="166" t="s">
        <v>223</v>
      </c>
      <c r="S146" s="167"/>
      <c r="T146" s="127"/>
      <c r="U146" s="127" t="s">
        <v>224</v>
      </c>
      <c r="V146" s="127"/>
      <c r="W146" s="127"/>
      <c r="X146" s="127"/>
      <c r="Y146" s="152"/>
      <c r="Z146" s="127" t="s">
        <v>225</v>
      </c>
      <c r="AA146" s="127"/>
      <c r="AB146" s="156"/>
      <c r="AC146" s="156"/>
      <c r="AD146" s="168"/>
      <c r="AE146" s="156" t="s">
        <v>226</v>
      </c>
      <c r="AF146" s="156"/>
      <c r="AG146" s="156"/>
      <c r="AH146" s="156"/>
      <c r="AI146" s="156"/>
      <c r="AJ146" s="156"/>
      <c r="AK146" s="156"/>
      <c r="AL146" s="156"/>
      <c r="AM146" s="155"/>
      <c r="AN146" s="157"/>
      <c r="AO146" s="46"/>
      <c r="AP146" s="46"/>
      <c r="AQ146" s="46"/>
      <c r="AR146" s="46"/>
      <c r="AS146" s="46"/>
      <c r="AT146" s="9"/>
      <c r="AU146" s="9"/>
      <c r="AV146" s="9"/>
      <c r="AW146" s="9"/>
      <c r="AX146" s="9"/>
    </row>
    <row r="147" spans="1:50" x14ac:dyDescent="0.25">
      <c r="A147" s="148">
        <f t="shared" si="2"/>
        <v>26</v>
      </c>
      <c r="B147" s="149"/>
      <c r="C147" s="150" t="s">
        <v>227</v>
      </c>
      <c r="D147" s="127"/>
      <c r="E147" s="127"/>
      <c r="F147" s="127"/>
      <c r="G147" s="127"/>
      <c r="H147" s="127"/>
      <c r="I147" s="130"/>
      <c r="J147" s="127"/>
      <c r="K147" s="127"/>
      <c r="L147" s="127"/>
      <c r="M147" s="127"/>
      <c r="N147" s="127"/>
      <c r="O147" s="127"/>
      <c r="P147" s="127"/>
      <c r="Q147" s="127"/>
      <c r="R147" s="127"/>
      <c r="S147" s="151"/>
      <c r="T147" s="127"/>
      <c r="U147" s="127"/>
      <c r="V147" s="127"/>
      <c r="W147" s="127"/>
      <c r="X147" s="127"/>
      <c r="Y147" s="152"/>
      <c r="Z147" s="127" t="s">
        <v>228</v>
      </c>
      <c r="AA147" s="127"/>
      <c r="AB147" s="156"/>
      <c r="AC147" s="156"/>
      <c r="AD147" s="168"/>
      <c r="AE147" s="156" t="s">
        <v>229</v>
      </c>
      <c r="AF147" s="156"/>
      <c r="AG147" s="156"/>
      <c r="AH147" s="156"/>
      <c r="AI147" s="156"/>
      <c r="AJ147" s="156"/>
      <c r="AK147" s="156"/>
      <c r="AL147" s="156"/>
      <c r="AM147" s="155"/>
      <c r="AN147" s="157"/>
      <c r="AO147" s="46"/>
      <c r="AP147" s="46"/>
      <c r="AQ147" s="46"/>
      <c r="AR147" s="46"/>
      <c r="AS147" s="46"/>
      <c r="AT147" s="9"/>
      <c r="AU147" s="9"/>
      <c r="AV147" s="9"/>
      <c r="AW147" s="9"/>
      <c r="AX147" s="9"/>
    </row>
    <row r="148" spans="1:50" x14ac:dyDescent="0.25">
      <c r="A148" s="148">
        <f t="shared" si="2"/>
        <v>27</v>
      </c>
      <c r="B148" s="149"/>
      <c r="C148" s="152"/>
      <c r="D148" s="127" t="s">
        <v>230</v>
      </c>
      <c r="E148" s="127"/>
      <c r="F148" s="127"/>
      <c r="G148" s="127"/>
      <c r="H148" s="127"/>
      <c r="I148" s="127"/>
      <c r="J148" s="127"/>
      <c r="K148" s="127"/>
      <c r="L148" s="127"/>
      <c r="M148" s="127"/>
      <c r="N148" s="142"/>
      <c r="O148" s="142"/>
      <c r="P148" s="142"/>
      <c r="Q148" s="142"/>
      <c r="R148" s="142"/>
      <c r="S148" s="151"/>
      <c r="T148" s="127"/>
      <c r="U148" s="127" t="s">
        <v>204</v>
      </c>
      <c r="V148" s="127"/>
      <c r="W148" s="127"/>
      <c r="X148" s="127"/>
      <c r="Y148" s="127"/>
      <c r="Z148" s="127"/>
      <c r="AA148" s="127"/>
      <c r="AB148" s="156"/>
      <c r="AC148" s="154"/>
      <c r="AD148" s="154"/>
      <c r="AE148" s="154"/>
      <c r="AF148" s="154"/>
      <c r="AG148" s="154"/>
      <c r="AH148" s="154"/>
      <c r="AI148" s="154"/>
      <c r="AJ148" s="154"/>
      <c r="AK148" s="154"/>
      <c r="AL148" s="156"/>
      <c r="AM148" s="155"/>
      <c r="AN148" s="157"/>
      <c r="AO148" s="46"/>
      <c r="AP148" s="46"/>
      <c r="AQ148" s="46"/>
      <c r="AR148" s="46"/>
      <c r="AS148" s="46"/>
      <c r="AT148" s="9"/>
      <c r="AU148" s="9"/>
      <c r="AV148" s="9"/>
      <c r="AW148" s="9"/>
      <c r="AX148" s="9"/>
    </row>
    <row r="149" spans="1:50" x14ac:dyDescent="0.25">
      <c r="A149" s="148">
        <f t="shared" si="2"/>
        <v>28</v>
      </c>
      <c r="B149" s="149"/>
      <c r="C149" s="152"/>
      <c r="D149" s="127" t="s">
        <v>231</v>
      </c>
      <c r="E149" s="127"/>
      <c r="F149" s="127"/>
      <c r="G149" s="127"/>
      <c r="H149" s="127"/>
      <c r="I149" s="127"/>
      <c r="J149" s="127"/>
      <c r="K149" s="127"/>
      <c r="L149" s="127"/>
      <c r="M149" s="127"/>
      <c r="N149" s="142"/>
      <c r="O149" s="142"/>
      <c r="P149" s="142"/>
      <c r="Q149" s="142"/>
      <c r="R149" s="142"/>
      <c r="S149" s="151"/>
      <c r="T149" s="127"/>
      <c r="U149" s="127" t="s">
        <v>232</v>
      </c>
      <c r="V149" s="127"/>
      <c r="W149" s="127"/>
      <c r="X149" s="127"/>
      <c r="Y149" s="127"/>
      <c r="Z149" s="127"/>
      <c r="AA149" s="127"/>
      <c r="AB149" s="156"/>
      <c r="AC149" s="154"/>
      <c r="AD149" s="154"/>
      <c r="AE149" s="154"/>
      <c r="AF149" s="154"/>
      <c r="AG149" s="154"/>
      <c r="AH149" s="154"/>
      <c r="AI149" s="154"/>
      <c r="AJ149" s="154"/>
      <c r="AK149" s="154"/>
      <c r="AL149" s="156"/>
      <c r="AM149" s="155"/>
      <c r="AN149" s="157"/>
      <c r="AO149" s="46"/>
      <c r="AP149" s="46"/>
      <c r="AQ149" s="46"/>
      <c r="AR149" s="46"/>
      <c r="AS149" s="46"/>
      <c r="AT149" s="9"/>
      <c r="AU149" s="9"/>
      <c r="AV149" s="9"/>
      <c r="AW149" s="9"/>
      <c r="AX149" s="9"/>
    </row>
    <row r="150" spans="1:50" x14ac:dyDescent="0.25">
      <c r="A150" s="148">
        <f t="shared" si="2"/>
        <v>29</v>
      </c>
      <c r="B150" s="153"/>
      <c r="C150" s="152"/>
      <c r="D150" s="127" t="s">
        <v>233</v>
      </c>
      <c r="E150" s="127"/>
      <c r="F150" s="127"/>
      <c r="G150" s="127"/>
      <c r="H150" s="127"/>
      <c r="I150" s="127"/>
      <c r="J150" s="127"/>
      <c r="K150" s="127"/>
      <c r="L150" s="127"/>
      <c r="M150" s="127"/>
      <c r="N150" s="142"/>
      <c r="O150" s="142"/>
      <c r="P150" s="142"/>
      <c r="Q150" s="142"/>
      <c r="R150" s="142"/>
      <c r="S150" s="151"/>
      <c r="T150" s="127"/>
      <c r="U150" s="127" t="s">
        <v>234</v>
      </c>
      <c r="V150" s="127"/>
      <c r="W150" s="127"/>
      <c r="X150" s="127"/>
      <c r="Y150" s="127"/>
      <c r="Z150" s="127"/>
      <c r="AA150" s="127"/>
      <c r="AB150" s="156"/>
      <c r="AC150" s="156"/>
      <c r="AD150" s="156"/>
      <c r="AE150" s="154"/>
      <c r="AF150" s="154"/>
      <c r="AG150" s="154"/>
      <c r="AH150" s="154"/>
      <c r="AI150" s="154"/>
      <c r="AJ150" s="154"/>
      <c r="AK150" s="154"/>
      <c r="AL150" s="156"/>
      <c r="AM150" s="155"/>
      <c r="AN150" s="157"/>
      <c r="AO150" s="46"/>
      <c r="AP150" s="46"/>
      <c r="AQ150" s="46"/>
      <c r="AR150" s="46"/>
      <c r="AS150" s="46"/>
      <c r="AT150" s="9"/>
      <c r="AU150" s="9"/>
      <c r="AV150" s="9"/>
      <c r="AW150" s="9"/>
      <c r="AX150" s="9"/>
    </row>
    <row r="151" spans="1:50" x14ac:dyDescent="0.25">
      <c r="A151" s="148">
        <f t="shared" si="2"/>
        <v>30</v>
      </c>
      <c r="B151" s="153"/>
      <c r="C151" s="152"/>
      <c r="D151" s="127" t="s">
        <v>235</v>
      </c>
      <c r="E151" s="127"/>
      <c r="F151" s="127"/>
      <c r="G151" s="127"/>
      <c r="H151" s="127"/>
      <c r="I151" s="127"/>
      <c r="J151" s="127"/>
      <c r="K151" s="127"/>
      <c r="L151" s="127"/>
      <c r="M151" s="127"/>
      <c r="N151" s="142"/>
      <c r="O151" s="142"/>
      <c r="P151" s="142"/>
      <c r="Q151" s="142"/>
      <c r="R151" s="142"/>
      <c r="S151" s="151"/>
      <c r="T151" s="152"/>
      <c r="U151" s="150" t="s">
        <v>236</v>
      </c>
      <c r="V151" s="127"/>
      <c r="W151" s="127"/>
      <c r="X151" s="127"/>
      <c r="Y151" s="127"/>
      <c r="Z151" s="127"/>
      <c r="AA151" s="127"/>
      <c r="AB151" s="156"/>
      <c r="AC151" s="156"/>
      <c r="AD151" s="156"/>
      <c r="AE151" s="156"/>
      <c r="AF151" s="156"/>
      <c r="AG151" s="156"/>
      <c r="AH151" s="156"/>
      <c r="AI151" s="156"/>
      <c r="AJ151" s="156"/>
      <c r="AK151" s="156"/>
      <c r="AL151" s="156"/>
      <c r="AM151" s="155"/>
      <c r="AN151" s="157"/>
      <c r="AO151" s="46"/>
      <c r="AP151" s="46"/>
      <c r="AQ151" s="46"/>
      <c r="AR151" s="46"/>
      <c r="AS151" s="46"/>
      <c r="AT151" s="9"/>
      <c r="AU151" s="9"/>
      <c r="AV151" s="9"/>
      <c r="AW151" s="9"/>
      <c r="AX151" s="9"/>
    </row>
    <row r="152" spans="1:50" x14ac:dyDescent="0.25">
      <c r="A152" s="148">
        <f t="shared" si="2"/>
        <v>31</v>
      </c>
      <c r="B152" s="153"/>
      <c r="C152" s="152"/>
      <c r="D152" s="127" t="s">
        <v>237</v>
      </c>
      <c r="E152" s="127"/>
      <c r="F152" s="127"/>
      <c r="G152" s="127"/>
      <c r="H152" s="127"/>
      <c r="I152" s="127"/>
      <c r="J152" s="127"/>
      <c r="K152" s="127"/>
      <c r="L152" s="127"/>
      <c r="M152" s="127"/>
      <c r="N152" s="142"/>
      <c r="O152" s="142"/>
      <c r="P152" s="142"/>
      <c r="Q152" s="142"/>
      <c r="R152" s="142"/>
      <c r="S152" s="151"/>
      <c r="T152" s="152"/>
      <c r="U152" s="127" t="s">
        <v>173</v>
      </c>
      <c r="V152" s="127"/>
      <c r="W152" s="127"/>
      <c r="X152" s="142"/>
      <c r="Y152" s="142"/>
      <c r="Z152" s="142"/>
      <c r="AA152" s="142"/>
      <c r="AB152" s="154"/>
      <c r="AC152" s="154"/>
      <c r="AD152" s="154"/>
      <c r="AE152" s="156" t="s">
        <v>238</v>
      </c>
      <c r="AF152" s="156"/>
      <c r="AG152" s="154"/>
      <c r="AH152" s="154"/>
      <c r="AI152" s="154"/>
      <c r="AJ152" s="169" t="s">
        <v>239</v>
      </c>
      <c r="AK152" s="156"/>
      <c r="AL152" s="156"/>
      <c r="AM152" s="155"/>
      <c r="AN152" s="157"/>
      <c r="AO152" s="46"/>
      <c r="AP152" s="46"/>
      <c r="AQ152" s="46"/>
      <c r="AR152" s="46"/>
      <c r="AS152" s="46"/>
      <c r="AT152" s="9"/>
      <c r="AU152" s="9"/>
      <c r="AV152" s="9"/>
      <c r="AW152" s="9"/>
      <c r="AX152" s="9"/>
    </row>
    <row r="153" spans="1:50" x14ac:dyDescent="0.25">
      <c r="A153" s="148">
        <f t="shared" si="2"/>
        <v>32</v>
      </c>
      <c r="B153" s="153"/>
      <c r="C153" s="152"/>
      <c r="D153" s="127" t="s">
        <v>240</v>
      </c>
      <c r="E153" s="127"/>
      <c r="F153" s="127"/>
      <c r="G153" s="127"/>
      <c r="H153" s="127"/>
      <c r="I153" s="127"/>
      <c r="J153" s="127"/>
      <c r="K153" s="127"/>
      <c r="L153" s="127"/>
      <c r="M153" s="127"/>
      <c r="N153" s="142"/>
      <c r="O153" s="142"/>
      <c r="P153" s="142"/>
      <c r="Q153" s="142"/>
      <c r="R153" s="142"/>
      <c r="S153" s="151"/>
      <c r="T153" s="152"/>
      <c r="U153" s="127" t="s">
        <v>241</v>
      </c>
      <c r="V153" s="127"/>
      <c r="W153" s="127"/>
      <c r="X153" s="127"/>
      <c r="Y153" s="127"/>
      <c r="Z153" s="127"/>
      <c r="AA153" s="127"/>
      <c r="AB153" s="154"/>
      <c r="AC153" s="154"/>
      <c r="AD153" s="154"/>
      <c r="AE153" s="154"/>
      <c r="AF153" s="154"/>
      <c r="AG153" s="154"/>
      <c r="AH153" s="154"/>
      <c r="AI153" s="154"/>
      <c r="AJ153" s="154"/>
      <c r="AK153" s="154"/>
      <c r="AL153" s="156"/>
      <c r="AM153" s="155"/>
      <c r="AN153" s="157"/>
      <c r="AO153" s="46"/>
      <c r="AP153" s="46"/>
      <c r="AQ153" s="46"/>
      <c r="AR153" s="46"/>
      <c r="AS153" s="46"/>
      <c r="AT153" s="9"/>
      <c r="AU153" s="9"/>
      <c r="AV153" s="9"/>
      <c r="AW153" s="9"/>
      <c r="AX153" s="9"/>
    </row>
    <row r="154" spans="1:50" x14ac:dyDescent="0.25">
      <c r="A154" s="148">
        <f t="shared" si="2"/>
        <v>33</v>
      </c>
      <c r="B154" s="153"/>
      <c r="C154" s="152"/>
      <c r="D154" s="127" t="s">
        <v>242</v>
      </c>
      <c r="E154" s="127"/>
      <c r="F154" s="127"/>
      <c r="G154" s="127"/>
      <c r="H154" s="127"/>
      <c r="I154" s="127"/>
      <c r="J154" s="127"/>
      <c r="K154" s="127"/>
      <c r="L154" s="127"/>
      <c r="M154" s="127"/>
      <c r="N154" s="142"/>
      <c r="O154" s="142"/>
      <c r="P154" s="142"/>
      <c r="Q154" s="142"/>
      <c r="R154" s="142"/>
      <c r="S154" s="151"/>
      <c r="T154" s="152"/>
      <c r="U154" s="127" t="s">
        <v>243</v>
      </c>
      <c r="V154" s="127"/>
      <c r="W154" s="127"/>
      <c r="X154" s="127"/>
      <c r="Y154" s="127"/>
      <c r="Z154" s="127"/>
      <c r="AA154" s="127"/>
      <c r="AB154" s="156"/>
      <c r="AC154" s="156"/>
      <c r="AD154" s="156"/>
      <c r="AE154" s="156"/>
      <c r="AF154" s="156"/>
      <c r="AG154" s="156"/>
      <c r="AH154" s="154"/>
      <c r="AI154" s="154"/>
      <c r="AJ154" s="154"/>
      <c r="AK154" s="154"/>
      <c r="AL154" s="156"/>
      <c r="AM154" s="155"/>
      <c r="AN154" s="157"/>
      <c r="AO154" s="46"/>
      <c r="AP154" s="46"/>
      <c r="AQ154" s="46"/>
      <c r="AR154" s="46"/>
      <c r="AS154" s="46"/>
      <c r="AT154" s="9"/>
      <c r="AU154" s="9"/>
      <c r="AV154" s="9"/>
      <c r="AW154" s="9"/>
      <c r="AX154" s="9"/>
    </row>
    <row r="155" spans="1:50" x14ac:dyDescent="0.25">
      <c r="A155" s="148">
        <f t="shared" si="2"/>
        <v>34</v>
      </c>
      <c r="B155" s="170"/>
      <c r="C155" s="171"/>
      <c r="D155" s="147" t="s">
        <v>244</v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61"/>
      <c r="T155" s="152"/>
      <c r="U155" s="127" t="s">
        <v>245</v>
      </c>
      <c r="V155" s="127"/>
      <c r="W155" s="127"/>
      <c r="X155" s="127"/>
      <c r="Y155" s="127"/>
      <c r="Z155" s="127"/>
      <c r="AA155" s="127"/>
      <c r="AB155" s="156"/>
      <c r="AC155" s="156"/>
      <c r="AD155" s="156"/>
      <c r="AE155" s="156"/>
      <c r="AF155" s="156"/>
      <c r="AG155" s="156"/>
      <c r="AH155" s="142"/>
      <c r="AI155" s="142"/>
      <c r="AJ155" s="142"/>
      <c r="AK155" s="142"/>
      <c r="AL155" s="156"/>
      <c r="AM155" s="155"/>
      <c r="AN155" s="157"/>
      <c r="AO155" s="46"/>
      <c r="AP155" s="46"/>
      <c r="AQ155" s="46"/>
      <c r="AR155" s="46"/>
      <c r="AS155" s="46"/>
      <c r="AT155" s="9"/>
      <c r="AU155" s="9"/>
      <c r="AV155" s="9"/>
      <c r="AW155" s="9"/>
      <c r="AX155" s="9"/>
    </row>
    <row r="156" spans="1:50" x14ac:dyDescent="0.25">
      <c r="A156" s="148">
        <f t="shared" si="2"/>
        <v>35</v>
      </c>
      <c r="B156" s="153"/>
      <c r="C156" s="150" t="s">
        <v>246</v>
      </c>
      <c r="D156" s="127"/>
      <c r="E156" s="127"/>
      <c r="F156" s="127"/>
      <c r="G156" s="127"/>
      <c r="H156" s="127"/>
      <c r="I156" s="127"/>
      <c r="J156" s="127"/>
      <c r="K156" s="127"/>
      <c r="L156" s="127"/>
      <c r="M156" s="127"/>
      <c r="N156" s="127"/>
      <c r="O156" s="127"/>
      <c r="P156" s="127"/>
      <c r="Q156" s="127"/>
      <c r="R156" s="127"/>
      <c r="S156" s="151"/>
      <c r="T156" s="152"/>
      <c r="U156" s="127" t="s">
        <v>247</v>
      </c>
      <c r="V156" s="127"/>
      <c r="W156" s="127"/>
      <c r="X156" s="127"/>
      <c r="Y156" s="127"/>
      <c r="Z156" s="127"/>
      <c r="AA156" s="127"/>
      <c r="AB156" s="127"/>
      <c r="AC156" s="127"/>
      <c r="AD156" s="127"/>
      <c r="AE156" s="127"/>
      <c r="AF156" s="127"/>
      <c r="AG156" s="127"/>
      <c r="AH156" s="142"/>
      <c r="AI156" s="142"/>
      <c r="AJ156" s="142"/>
      <c r="AK156" s="142"/>
      <c r="AL156" s="127"/>
      <c r="AM156" s="151"/>
      <c r="AN156" s="131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48">
        <f t="shared" si="2"/>
        <v>36</v>
      </c>
      <c r="B157" s="153"/>
      <c r="C157" s="127" t="s">
        <v>25</v>
      </c>
      <c r="D157" s="127"/>
      <c r="E157" s="142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51"/>
      <c r="T157" s="152"/>
      <c r="U157" s="127" t="s">
        <v>248</v>
      </c>
      <c r="V157" s="127"/>
      <c r="W157" s="127"/>
      <c r="X157" s="127"/>
      <c r="Y157" s="127"/>
      <c r="Z157" s="127"/>
      <c r="AA157" s="127"/>
      <c r="AB157" s="127"/>
      <c r="AC157" s="127"/>
      <c r="AD157" s="127"/>
      <c r="AE157" s="127"/>
      <c r="AF157" s="127"/>
      <c r="AG157" s="127"/>
      <c r="AH157" s="127"/>
      <c r="AI157" s="127"/>
      <c r="AJ157" s="127"/>
      <c r="AK157" s="127"/>
      <c r="AL157" s="127"/>
      <c r="AM157" s="151"/>
      <c r="AN157" s="131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48">
        <f t="shared" si="2"/>
        <v>37</v>
      </c>
      <c r="B158" s="153"/>
      <c r="C158" s="127" t="s">
        <v>249</v>
      </c>
      <c r="D158" s="127"/>
      <c r="E158" s="127"/>
      <c r="F158" s="127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51"/>
      <c r="T158" s="152"/>
      <c r="U158" s="150" t="s">
        <v>250</v>
      </c>
      <c r="V158" s="172"/>
      <c r="W158" s="127"/>
      <c r="X158" s="127"/>
      <c r="Y158" s="127"/>
      <c r="Z158" s="127"/>
      <c r="AA158" s="127"/>
      <c r="AB158" s="127"/>
      <c r="AC158" s="127"/>
      <c r="AD158" s="127"/>
      <c r="AE158" s="127"/>
      <c r="AF158" s="127"/>
      <c r="AG158" s="127"/>
      <c r="AH158" s="127"/>
      <c r="AI158" s="127"/>
      <c r="AJ158" s="127"/>
      <c r="AK158" s="127"/>
      <c r="AL158" s="127"/>
      <c r="AM158" s="151"/>
      <c r="AN158" s="131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48">
        <f t="shared" si="2"/>
        <v>38</v>
      </c>
      <c r="B159" s="153"/>
      <c r="C159" s="127" t="s">
        <v>173</v>
      </c>
      <c r="D159" s="127"/>
      <c r="E159" s="127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51"/>
      <c r="T159" s="152"/>
      <c r="U159" s="127"/>
      <c r="V159" s="127"/>
      <c r="W159" s="127" t="s">
        <v>251</v>
      </c>
      <c r="X159" s="127"/>
      <c r="Y159" s="127"/>
      <c r="Z159" s="127"/>
      <c r="AA159" s="127"/>
      <c r="AB159" s="127"/>
      <c r="AC159" s="127"/>
      <c r="AD159" s="127"/>
      <c r="AE159" s="127"/>
      <c r="AF159" s="127" t="s">
        <v>252</v>
      </c>
      <c r="AG159" s="127"/>
      <c r="AH159" s="142"/>
      <c r="AI159" s="142"/>
      <c r="AJ159" s="142"/>
      <c r="AK159" s="142"/>
      <c r="AL159" s="127"/>
      <c r="AM159" s="151"/>
      <c r="AN159" s="131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48">
        <f t="shared" si="2"/>
        <v>39</v>
      </c>
      <c r="B160" s="153"/>
      <c r="C160" s="127" t="s">
        <v>253</v>
      </c>
      <c r="D160" s="127"/>
      <c r="E160" s="127"/>
      <c r="F160" s="127"/>
      <c r="G160" s="127"/>
      <c r="H160" s="142"/>
      <c r="I160" s="127"/>
      <c r="J160" s="127" t="s">
        <v>254</v>
      </c>
      <c r="K160" s="127"/>
      <c r="L160" s="127"/>
      <c r="M160" s="127"/>
      <c r="N160" s="127"/>
      <c r="O160" s="142"/>
      <c r="P160" s="127"/>
      <c r="Q160" s="142"/>
      <c r="R160" s="142"/>
      <c r="S160" s="151"/>
      <c r="T160" s="149"/>
      <c r="U160" s="127"/>
      <c r="V160" s="127"/>
      <c r="W160" s="127" t="s">
        <v>255</v>
      </c>
      <c r="X160" s="127"/>
      <c r="Y160" s="127"/>
      <c r="Z160" s="127"/>
      <c r="AA160" s="127"/>
      <c r="AB160" s="127"/>
      <c r="AC160" s="127"/>
      <c r="AD160" s="127"/>
      <c r="AE160" s="127"/>
      <c r="AF160" s="127"/>
      <c r="AG160" s="127"/>
      <c r="AH160" s="127"/>
      <c r="AI160" s="127"/>
      <c r="AJ160" s="127"/>
      <c r="AK160" s="127"/>
      <c r="AL160" s="127"/>
      <c r="AM160" s="151"/>
      <c r="AN160" s="131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48">
        <f t="shared" si="2"/>
        <v>40</v>
      </c>
      <c r="B161" s="153"/>
      <c r="C161" s="127" t="s">
        <v>256</v>
      </c>
      <c r="D161" s="127"/>
      <c r="E161" s="127"/>
      <c r="F161" s="127"/>
      <c r="G161" s="127"/>
      <c r="H161" s="127"/>
      <c r="I161" s="127"/>
      <c r="J161" s="142"/>
      <c r="K161" s="142"/>
      <c r="L161" s="142"/>
      <c r="M161" s="142"/>
      <c r="N161" s="142"/>
      <c r="O161" s="142"/>
      <c r="P161" s="127" t="s">
        <v>257</v>
      </c>
      <c r="Q161" s="127"/>
      <c r="R161" s="127"/>
      <c r="S161" s="151"/>
      <c r="T161" s="152"/>
      <c r="U161" s="127"/>
      <c r="V161" s="127"/>
      <c r="W161" s="127" t="s">
        <v>258</v>
      </c>
      <c r="X161" s="127"/>
      <c r="Y161" s="127"/>
      <c r="Z161" s="127"/>
      <c r="AA161" s="127"/>
      <c r="AB161" s="127"/>
      <c r="AC161" s="127"/>
      <c r="AD161" s="127"/>
      <c r="AE161" s="127"/>
      <c r="AF161" s="127" t="s">
        <v>252</v>
      </c>
      <c r="AG161" s="127"/>
      <c r="AH161" s="142"/>
      <c r="AI161" s="142"/>
      <c r="AJ161" s="142"/>
      <c r="AK161" s="142"/>
      <c r="AL161" s="127"/>
      <c r="AM161" s="151"/>
      <c r="AN161" s="131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48">
        <f t="shared" si="2"/>
        <v>41</v>
      </c>
      <c r="B162" s="153"/>
      <c r="C162" s="127" t="s">
        <v>259</v>
      </c>
      <c r="D162" s="127"/>
      <c r="E162" s="127"/>
      <c r="F162" s="127"/>
      <c r="G162" s="127"/>
      <c r="H162" s="127"/>
      <c r="I162" s="173"/>
      <c r="J162" s="127" t="s">
        <v>260</v>
      </c>
      <c r="K162" s="127"/>
      <c r="L162" s="142"/>
      <c r="M162" s="142"/>
      <c r="N162" s="142"/>
      <c r="O162" s="142"/>
      <c r="P162" s="142"/>
      <c r="Q162" s="142"/>
      <c r="R162" s="127"/>
      <c r="S162" s="151"/>
      <c r="T162" s="152"/>
      <c r="U162" s="127" t="s">
        <v>261</v>
      </c>
      <c r="V162" s="127"/>
      <c r="W162" s="127"/>
      <c r="X162" s="127"/>
      <c r="Y162" s="127"/>
      <c r="Z162" s="127"/>
      <c r="AA162" s="127"/>
      <c r="AB162" s="127"/>
      <c r="AC162" s="127"/>
      <c r="AD162" s="127"/>
      <c r="AE162" s="127"/>
      <c r="AF162" s="127"/>
      <c r="AG162" s="127"/>
      <c r="AH162" s="127"/>
      <c r="AI162" s="127"/>
      <c r="AJ162" s="127"/>
      <c r="AK162" s="127"/>
      <c r="AL162" s="127"/>
      <c r="AM162" s="151"/>
      <c r="AN162" s="131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48">
        <f t="shared" si="2"/>
        <v>42</v>
      </c>
      <c r="B163" s="149"/>
      <c r="C163" s="127" t="s">
        <v>262</v>
      </c>
      <c r="D163" s="127"/>
      <c r="E163" s="127"/>
      <c r="F163" s="127"/>
      <c r="G163" s="127"/>
      <c r="H163" s="127"/>
      <c r="I163" s="173"/>
      <c r="J163" s="127"/>
      <c r="K163" s="127"/>
      <c r="L163" s="127"/>
      <c r="M163" s="142"/>
      <c r="N163" s="142"/>
      <c r="O163" s="142"/>
      <c r="P163" s="142"/>
      <c r="Q163" s="142"/>
      <c r="R163" s="127"/>
      <c r="S163" s="151"/>
      <c r="T163" s="152"/>
      <c r="U163" s="174" t="s">
        <v>263</v>
      </c>
      <c r="V163" s="127"/>
      <c r="W163" s="127"/>
      <c r="X163" s="127"/>
      <c r="Y163" s="127"/>
      <c r="Z163" s="127"/>
      <c r="AA163" s="127"/>
      <c r="AB163" s="127"/>
      <c r="AC163" s="127"/>
      <c r="AD163" s="127"/>
      <c r="AE163" s="127"/>
      <c r="AF163" s="127"/>
      <c r="AG163" s="127"/>
      <c r="AH163" s="127"/>
      <c r="AI163" s="127"/>
      <c r="AJ163" s="127"/>
      <c r="AK163" s="127"/>
      <c r="AL163" s="127"/>
      <c r="AM163" s="151"/>
      <c r="AN163" s="131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48">
        <f t="shared" si="2"/>
        <v>43</v>
      </c>
      <c r="B164" s="153"/>
      <c r="C164" s="127" t="s">
        <v>264</v>
      </c>
      <c r="D164" s="127"/>
      <c r="E164" s="127"/>
      <c r="F164" s="127"/>
      <c r="G164" s="127"/>
      <c r="H164" s="142"/>
      <c r="I164" s="142"/>
      <c r="J164" s="127" t="s">
        <v>143</v>
      </c>
      <c r="K164" s="127" t="s">
        <v>265</v>
      </c>
      <c r="L164" s="127"/>
      <c r="M164" s="127"/>
      <c r="N164" s="127"/>
      <c r="O164" s="127"/>
      <c r="P164" s="142"/>
      <c r="Q164" s="142"/>
      <c r="R164" s="127" t="s">
        <v>143</v>
      </c>
      <c r="S164" s="151"/>
      <c r="T164" s="152"/>
      <c r="U164" s="127" t="s">
        <v>266</v>
      </c>
      <c r="V164" s="127"/>
      <c r="W164" s="127"/>
      <c r="X164" s="127"/>
      <c r="Y164" s="127"/>
      <c r="Z164" s="127"/>
      <c r="AA164" s="127"/>
      <c r="AB164" s="127"/>
      <c r="AC164" s="127"/>
      <c r="AD164" s="127"/>
      <c r="AE164" s="127"/>
      <c r="AF164" s="127"/>
      <c r="AG164" s="127"/>
      <c r="AH164" s="127"/>
      <c r="AI164" s="127"/>
      <c r="AJ164" s="127"/>
      <c r="AK164" s="127"/>
      <c r="AL164" s="127"/>
      <c r="AM164" s="151"/>
      <c r="AN164" s="131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48">
        <f t="shared" si="2"/>
        <v>44</v>
      </c>
      <c r="B165" s="153"/>
      <c r="C165" s="127" t="s">
        <v>289</v>
      </c>
      <c r="D165" s="127"/>
      <c r="E165" s="127"/>
      <c r="F165" s="127"/>
      <c r="G165" s="127"/>
      <c r="H165" s="127"/>
      <c r="I165" s="127"/>
      <c r="J165" s="127"/>
      <c r="K165" s="142"/>
      <c r="L165" s="142"/>
      <c r="M165" s="142"/>
      <c r="N165" s="142"/>
      <c r="O165" s="142"/>
      <c r="P165" s="142"/>
      <c r="Q165" s="142"/>
      <c r="R165" s="127"/>
      <c r="S165" s="151"/>
      <c r="T165" s="152"/>
      <c r="U165" s="127" t="s">
        <v>267</v>
      </c>
      <c r="V165" s="127"/>
      <c r="W165" s="127"/>
      <c r="X165" s="127"/>
      <c r="Y165" s="127"/>
      <c r="Z165" s="127"/>
      <c r="AA165" s="127"/>
      <c r="AB165" s="127"/>
      <c r="AC165" s="127"/>
      <c r="AD165" s="127"/>
      <c r="AE165" s="127"/>
      <c r="AF165" s="127"/>
      <c r="AG165" s="127"/>
      <c r="AH165" s="127"/>
      <c r="AI165" s="127"/>
      <c r="AJ165" s="127"/>
      <c r="AK165" s="127"/>
      <c r="AL165" s="127"/>
      <c r="AM165" s="151"/>
      <c r="AN165" s="131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48">
        <f t="shared" si="2"/>
        <v>45</v>
      </c>
      <c r="B166" s="149"/>
      <c r="C166" s="127" t="s">
        <v>268</v>
      </c>
      <c r="D166" s="127"/>
      <c r="E166" s="127"/>
      <c r="F166" s="127"/>
      <c r="G166" s="127"/>
      <c r="H166" s="127"/>
      <c r="I166" s="127"/>
      <c r="J166" s="127"/>
      <c r="K166" s="127"/>
      <c r="L166" s="127"/>
      <c r="M166" s="142"/>
      <c r="N166" s="142"/>
      <c r="O166" s="142"/>
      <c r="P166" s="127" t="s">
        <v>257</v>
      </c>
      <c r="Q166" s="127"/>
      <c r="R166" s="127"/>
      <c r="S166" s="151"/>
      <c r="T166" s="152"/>
      <c r="U166" s="127" t="s">
        <v>269</v>
      </c>
      <c r="V166" s="127"/>
      <c r="W166" s="127"/>
      <c r="X166" s="127"/>
      <c r="Y166" s="127"/>
      <c r="Z166" s="127"/>
      <c r="AA166" s="127"/>
      <c r="AB166" s="127"/>
      <c r="AC166" s="127"/>
      <c r="AD166" s="127"/>
      <c r="AE166" s="127"/>
      <c r="AF166" s="127"/>
      <c r="AG166" s="127"/>
      <c r="AH166" s="127"/>
      <c r="AI166" s="127"/>
      <c r="AJ166" s="127"/>
      <c r="AK166" s="127"/>
      <c r="AL166" s="127"/>
      <c r="AM166" s="151"/>
      <c r="AN166" s="131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48">
        <f t="shared" si="2"/>
        <v>46</v>
      </c>
      <c r="B167" s="160"/>
      <c r="C167" s="147" t="s">
        <v>270</v>
      </c>
      <c r="D167" s="147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61"/>
      <c r="T167" s="152"/>
      <c r="U167" s="127" t="s">
        <v>271</v>
      </c>
      <c r="V167" s="127"/>
      <c r="W167" s="127"/>
      <c r="X167" s="127"/>
      <c r="Y167" s="127"/>
      <c r="Z167" s="127"/>
      <c r="AA167" s="127"/>
      <c r="AB167" s="127"/>
      <c r="AC167" s="127"/>
      <c r="AD167" s="127"/>
      <c r="AE167" s="127"/>
      <c r="AF167" s="127"/>
      <c r="AG167" s="127"/>
      <c r="AH167" s="127"/>
      <c r="AI167" s="127"/>
      <c r="AJ167" s="127"/>
      <c r="AK167" s="127"/>
      <c r="AL167" s="127"/>
      <c r="AM167" s="151"/>
      <c r="AN167" s="131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48">
        <f t="shared" si="2"/>
        <v>47</v>
      </c>
      <c r="B168" s="127"/>
      <c r="C168" s="150" t="s">
        <v>64</v>
      </c>
      <c r="D168" s="127"/>
      <c r="E168" s="127"/>
      <c r="F168" s="127"/>
      <c r="G168" s="127"/>
      <c r="H168" s="127"/>
      <c r="I168" s="127"/>
      <c r="J168" s="127"/>
      <c r="K168" s="127"/>
      <c r="L168" s="127"/>
      <c r="M168" s="127"/>
      <c r="N168" s="127"/>
      <c r="O168" s="127"/>
      <c r="P168" s="127"/>
      <c r="Q168" s="127"/>
      <c r="R168" s="131"/>
      <c r="S168" s="151"/>
      <c r="T168" s="152"/>
      <c r="U168" s="150" t="s">
        <v>272</v>
      </c>
      <c r="V168" s="127"/>
      <c r="W168" s="127"/>
      <c r="X168" s="127"/>
      <c r="Y168" s="127"/>
      <c r="Z168" s="127"/>
      <c r="AA168" s="127"/>
      <c r="AB168" s="127"/>
      <c r="AC168" s="127"/>
      <c r="AD168" s="127"/>
      <c r="AE168" s="127"/>
      <c r="AF168" s="127"/>
      <c r="AG168" s="127"/>
      <c r="AH168" s="127"/>
      <c r="AI168" s="127"/>
      <c r="AJ168" s="127"/>
      <c r="AK168" s="127"/>
      <c r="AL168" s="127"/>
      <c r="AM168" s="151"/>
      <c r="AN168" s="131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48">
        <f t="shared" si="2"/>
        <v>48</v>
      </c>
      <c r="B169" s="127"/>
      <c r="C169" s="127" t="s">
        <v>173</v>
      </c>
      <c r="D169" s="127"/>
      <c r="E169" s="127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31"/>
      <c r="S169" s="151"/>
      <c r="T169" s="152"/>
      <c r="U169" s="127" t="s">
        <v>273</v>
      </c>
      <c r="V169" s="127"/>
      <c r="W169" s="127"/>
      <c r="X169" s="127"/>
      <c r="Y169" s="127"/>
      <c r="Z169" s="127"/>
      <c r="AA169" s="127"/>
      <c r="AB169" s="127"/>
      <c r="AC169" s="127"/>
      <c r="AD169" s="127"/>
      <c r="AE169" s="127"/>
      <c r="AF169" s="127"/>
      <c r="AG169" s="127"/>
      <c r="AH169" s="127"/>
      <c r="AI169" s="127"/>
      <c r="AJ169" s="127"/>
      <c r="AK169" s="127"/>
      <c r="AL169" s="127"/>
      <c r="AM169" s="151"/>
      <c r="AN169" s="131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48">
        <f t="shared" si="2"/>
        <v>49</v>
      </c>
      <c r="B170" s="149"/>
      <c r="C170" s="127" t="s">
        <v>274</v>
      </c>
      <c r="D170" s="127"/>
      <c r="E170" s="127"/>
      <c r="F170" s="127"/>
      <c r="G170" s="127"/>
      <c r="H170" s="127"/>
      <c r="I170" s="142"/>
      <c r="J170" s="142"/>
      <c r="K170" s="142"/>
      <c r="L170" s="142"/>
      <c r="M170" s="142"/>
      <c r="N170" s="142"/>
      <c r="O170" s="142"/>
      <c r="P170" s="142"/>
      <c r="Q170" s="142"/>
      <c r="R170" s="131"/>
      <c r="S170" s="151"/>
      <c r="T170" s="152"/>
      <c r="U170" s="127"/>
      <c r="V170" s="127"/>
      <c r="W170" s="127" t="s">
        <v>71</v>
      </c>
      <c r="X170" s="127"/>
      <c r="Y170" s="142"/>
      <c r="Z170" s="142"/>
      <c r="AA170" s="142"/>
      <c r="AB170" s="142"/>
      <c r="AC170" s="142"/>
      <c r="AD170" s="142"/>
      <c r="AE170" s="127" t="s">
        <v>173</v>
      </c>
      <c r="AF170" s="127"/>
      <c r="AG170" s="127"/>
      <c r="AH170" s="142"/>
      <c r="AI170" s="142"/>
      <c r="AJ170" s="142"/>
      <c r="AK170" s="142"/>
      <c r="AL170" s="142"/>
      <c r="AM170" s="151"/>
      <c r="AN170" s="131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48">
        <f t="shared" si="2"/>
        <v>50</v>
      </c>
      <c r="B171" s="149"/>
      <c r="C171" s="127" t="s">
        <v>275</v>
      </c>
      <c r="D171" s="127"/>
      <c r="E171" s="127"/>
      <c r="F171" s="127"/>
      <c r="G171" s="127"/>
      <c r="H171" s="127"/>
      <c r="I171" s="127"/>
      <c r="J171" s="127"/>
      <c r="K171" s="127"/>
      <c r="L171" s="127"/>
      <c r="M171" s="127"/>
      <c r="N171" s="127"/>
      <c r="O171" s="127"/>
      <c r="P171" s="127"/>
      <c r="Q171" s="127"/>
      <c r="R171" s="131"/>
      <c r="S171" s="151"/>
      <c r="T171" s="152"/>
      <c r="U171" s="127" t="s">
        <v>276</v>
      </c>
      <c r="V171" s="127"/>
      <c r="W171" s="127"/>
      <c r="X171" s="127"/>
      <c r="Y171" s="127"/>
      <c r="Z171" s="127"/>
      <c r="AA171" s="127"/>
      <c r="AB171" s="127"/>
      <c r="AC171" s="127"/>
      <c r="AD171" s="127"/>
      <c r="AE171" s="127"/>
      <c r="AF171" s="127"/>
      <c r="AG171" s="127"/>
      <c r="AH171" s="127"/>
      <c r="AI171" s="127"/>
      <c r="AJ171" s="127"/>
      <c r="AK171" s="127"/>
      <c r="AL171" s="127"/>
      <c r="AM171" s="151"/>
      <c r="AN171" s="131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175">
        <f t="shared" si="2"/>
        <v>51</v>
      </c>
      <c r="B172" s="149"/>
      <c r="C172" s="127" t="s">
        <v>277</v>
      </c>
      <c r="D172" s="127"/>
      <c r="E172" s="127"/>
      <c r="F172" s="127"/>
      <c r="G172" s="127"/>
      <c r="H172" s="127"/>
      <c r="I172" s="127"/>
      <c r="J172" s="127"/>
      <c r="K172" s="142"/>
      <c r="L172" s="142"/>
      <c r="M172" s="142"/>
      <c r="N172" s="142"/>
      <c r="O172" s="142"/>
      <c r="P172" s="142"/>
      <c r="Q172" s="142"/>
      <c r="R172" s="131"/>
      <c r="S172" s="151"/>
      <c r="T172" s="152"/>
      <c r="U172" s="127"/>
      <c r="V172" s="127"/>
      <c r="W172" s="127" t="s">
        <v>71</v>
      </c>
      <c r="X172" s="127"/>
      <c r="Y172" s="142"/>
      <c r="Z172" s="142"/>
      <c r="AA172" s="142"/>
      <c r="AB172" s="142"/>
      <c r="AC172" s="142"/>
      <c r="AD172" s="142"/>
      <c r="AE172" s="127" t="s">
        <v>173</v>
      </c>
      <c r="AF172" s="127"/>
      <c r="AG172" s="127"/>
      <c r="AH172" s="142"/>
      <c r="AI172" s="142"/>
      <c r="AJ172" s="142"/>
      <c r="AK172" s="142"/>
      <c r="AL172" s="142"/>
      <c r="AM172" s="151"/>
      <c r="AN172" s="131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176"/>
      <c r="B173" s="147"/>
      <c r="C173" s="147"/>
      <c r="D173" s="147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37"/>
      <c r="S173" s="161"/>
      <c r="T173" s="171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61"/>
      <c r="AN173" s="131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31"/>
      <c r="B174" s="172" t="s">
        <v>278</v>
      </c>
      <c r="C174" s="131"/>
      <c r="D174" s="131"/>
      <c r="E174" s="131"/>
      <c r="F174" s="131"/>
      <c r="G174" s="131"/>
      <c r="H174" s="131"/>
      <c r="I174" s="131"/>
      <c r="J174" s="131"/>
      <c r="K174" s="131"/>
      <c r="L174" s="131"/>
      <c r="M174" s="131"/>
      <c r="N174" s="131"/>
      <c r="O174" s="131"/>
      <c r="P174" s="131"/>
      <c r="Q174" s="131"/>
      <c r="R174" s="131"/>
      <c r="S174" s="131"/>
      <c r="T174" s="131"/>
      <c r="U174" s="131"/>
      <c r="V174" s="131"/>
      <c r="W174" s="131"/>
      <c r="X174" s="131"/>
      <c r="Y174" s="131"/>
      <c r="Z174" s="131"/>
      <c r="AA174" s="131"/>
      <c r="AB174" s="131"/>
      <c r="AC174" s="131"/>
      <c r="AD174" s="131"/>
      <c r="AE174" s="131"/>
      <c r="AF174" s="131"/>
      <c r="AG174" s="131"/>
      <c r="AH174" s="131"/>
      <c r="AI174" s="131"/>
      <c r="AJ174" s="131"/>
      <c r="AK174" s="131"/>
      <c r="AL174" s="131"/>
      <c r="AM174" s="131"/>
      <c r="AN174" s="131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35"/>
      <c r="B175" s="135"/>
      <c r="C175" s="135"/>
      <c r="D175" s="135"/>
      <c r="E175" s="135"/>
      <c r="F175" s="135"/>
      <c r="G175" s="135"/>
      <c r="H175" s="135"/>
      <c r="I175" s="131"/>
      <c r="J175" s="135"/>
      <c r="K175" s="135"/>
      <c r="L175" s="135"/>
      <c r="M175" s="177"/>
      <c r="N175" s="135"/>
      <c r="O175" s="135"/>
      <c r="P175" s="135"/>
      <c r="Q175" s="135"/>
      <c r="R175" s="135"/>
      <c r="S175" s="131"/>
      <c r="T175" s="135"/>
      <c r="U175" s="135"/>
      <c r="V175" s="127"/>
      <c r="W175" s="135"/>
      <c r="X175" s="135"/>
      <c r="Y175" s="135"/>
      <c r="Z175" s="135"/>
      <c r="AA175" s="135"/>
      <c r="AB175" s="135"/>
      <c r="AC175" s="135"/>
      <c r="AD175" s="135"/>
      <c r="AE175" s="135"/>
      <c r="AF175" s="135"/>
      <c r="AG175" s="135"/>
      <c r="AH175" s="135"/>
      <c r="AI175" s="135"/>
      <c r="AJ175" s="135"/>
      <c r="AK175" s="135"/>
      <c r="AL175" s="131"/>
      <c r="AM175" s="131"/>
      <c r="AN175" s="131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75">
    <mergeCell ref="A3:C3"/>
    <mergeCell ref="D2:L2"/>
    <mergeCell ref="X119:AA119"/>
    <mergeCell ref="AD119:AK119"/>
    <mergeCell ref="T29:V29"/>
    <mergeCell ref="Z29:AB29"/>
    <mergeCell ref="AC29:AE29"/>
    <mergeCell ref="AC35:AE35"/>
    <mergeCell ref="T31:V31"/>
    <mergeCell ref="Z31:AB31"/>
    <mergeCell ref="B86:G86"/>
    <mergeCell ref="B75:G75"/>
    <mergeCell ref="K75:M75"/>
    <mergeCell ref="AD67:AL67"/>
    <mergeCell ref="K76:M76"/>
    <mergeCell ref="B73:G73"/>
    <mergeCell ref="K73:M73"/>
    <mergeCell ref="B74:G74"/>
    <mergeCell ref="K74:M74"/>
    <mergeCell ref="B85:G85"/>
    <mergeCell ref="B71:G71"/>
    <mergeCell ref="K71:M71"/>
    <mergeCell ref="B72:G72"/>
    <mergeCell ref="K72:M72"/>
    <mergeCell ref="K67:M67"/>
    <mergeCell ref="N67:P67"/>
    <mergeCell ref="K90:M90"/>
    <mergeCell ref="N90:P90"/>
    <mergeCell ref="W118:AA118"/>
    <mergeCell ref="AE118:AK118"/>
    <mergeCell ref="N88:P88"/>
    <mergeCell ref="K85:M85"/>
    <mergeCell ref="K83:M83"/>
    <mergeCell ref="K82:M82"/>
    <mergeCell ref="K84:M84"/>
    <mergeCell ref="K69:M69"/>
    <mergeCell ref="Q89:S89"/>
    <mergeCell ref="Q90:S90"/>
    <mergeCell ref="Q77:S77"/>
    <mergeCell ref="Q78:S78"/>
    <mergeCell ref="Q79:S79"/>
    <mergeCell ref="Q69:S69"/>
    <mergeCell ref="Q70:S70"/>
    <mergeCell ref="B70:G70"/>
    <mergeCell ref="K70:M70"/>
    <mergeCell ref="K78:M78"/>
    <mergeCell ref="K80:M80"/>
    <mergeCell ref="K89:M89"/>
    <mergeCell ref="N89:P89"/>
    <mergeCell ref="K81:M81"/>
    <mergeCell ref="K79:M79"/>
    <mergeCell ref="K77:M77"/>
    <mergeCell ref="B76:G76"/>
    <mergeCell ref="B77:G77"/>
    <mergeCell ref="B78:G78"/>
    <mergeCell ref="B79:G79"/>
    <mergeCell ref="B80:G80"/>
    <mergeCell ref="B81:G81"/>
    <mergeCell ref="B82:G82"/>
    <mergeCell ref="B83:G83"/>
    <mergeCell ref="B84:G84"/>
    <mergeCell ref="B69:G69"/>
    <mergeCell ref="B87:G87"/>
    <mergeCell ref="B88:G88"/>
    <mergeCell ref="T24:V24"/>
    <mergeCell ref="Z24:AB24"/>
    <mergeCell ref="AC24:AE24"/>
    <mergeCell ref="W61:AA61"/>
    <mergeCell ref="AE61:AK61"/>
    <mergeCell ref="X62:AA62"/>
    <mergeCell ref="AD62:AK62"/>
    <mergeCell ref="K66:P66"/>
    <mergeCell ref="Q80:S80"/>
    <mergeCell ref="Q81:S81"/>
    <mergeCell ref="Q82:S82"/>
    <mergeCell ref="Q83:S83"/>
    <mergeCell ref="Q84:S84"/>
    <mergeCell ref="Q85:S85"/>
    <mergeCell ref="Q67:R67"/>
    <mergeCell ref="Q71:S71"/>
    <mergeCell ref="Q72:S72"/>
    <mergeCell ref="Q73:S73"/>
    <mergeCell ref="Q74:S74"/>
    <mergeCell ref="Q75:S75"/>
    <mergeCell ref="Q76:S76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P28:AP30"/>
    <mergeCell ref="AP31:AP33"/>
    <mergeCell ref="AQ20:AR20"/>
    <mergeCell ref="Z23:AB23"/>
    <mergeCell ref="AC23:AE23"/>
    <mergeCell ref="AC27:AE27"/>
    <mergeCell ref="Z21:AB21"/>
    <mergeCell ref="AC21:AE21"/>
    <mergeCell ref="W17:Y17"/>
    <mergeCell ref="Z17:AB17"/>
    <mergeCell ref="AC17:AE17"/>
    <mergeCell ref="W20:Y20"/>
    <mergeCell ref="W28:Y28"/>
    <mergeCell ref="T23:V23"/>
    <mergeCell ref="A4:N4"/>
    <mergeCell ref="A5:M5"/>
    <mergeCell ref="AQ23:AT23"/>
    <mergeCell ref="AQ24:AR24"/>
    <mergeCell ref="W21:Y21"/>
    <mergeCell ref="W29:Y29"/>
    <mergeCell ref="W31:Y31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T17:V17"/>
    <mergeCell ref="A6:M6"/>
    <mergeCell ref="AQ47:AR47"/>
    <mergeCell ref="AQ25:AR25"/>
    <mergeCell ref="AQ26:AR26"/>
    <mergeCell ref="AQ27:AR27"/>
    <mergeCell ref="AQ48:AR48"/>
    <mergeCell ref="AQ49:AR49"/>
    <mergeCell ref="AQ35:AR35"/>
    <mergeCell ref="AQ36:AR36"/>
    <mergeCell ref="W30:Y30"/>
    <mergeCell ref="T38:AB38"/>
    <mergeCell ref="T36:V36"/>
    <mergeCell ref="Z36:AB36"/>
    <mergeCell ref="T32:V32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5:V35"/>
    <mergeCell ref="Z35:AB35"/>
    <mergeCell ref="AQ28:AR28"/>
    <mergeCell ref="A2:C2"/>
    <mergeCell ref="D3:L3"/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  <mergeCell ref="AQ46:AR46"/>
  </mergeCells>
  <dataValidations disablePrompts="1" count="3">
    <dataValidation type="list" allowBlank="1" showInputMessage="1" showErrorMessage="1" sqref="W18:Y18" xr:uid="{00000000-0002-0000-0000-000000000000}">
      <formula1>"IN,OUT, NONE"</formula1>
    </dataValidation>
    <dataValidation type="list" allowBlank="1" showInputMessage="1" showErrorMessage="1" sqref="AP41 AP52" xr:uid="{56E5D7B1-84E3-46D6-8B7F-EB50FCA12C7A}">
      <formula1>Vazão_vol.</formula1>
    </dataValidation>
    <dataValidation type="list" allowBlank="1" showInputMessage="1" showErrorMessage="1" sqref="AQ41:AR41 AQ52:AR52" xr:uid="{68EF8F6B-3AD3-45A2-864A-344809FFF35C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EstaPasta_de_trabalho.find_ccp" altText="Encontrar ccp">
                <anchor moveWithCells="1" sizeWithCells="1">
                  <from>
                    <xdr:col>12</xdr:col>
                    <xdr:colOff>57150</xdr:colOff>
                    <xdr:row>1</xdr:row>
                    <xdr:rowOff>247650</xdr:rowOff>
                  </from>
                  <to>
                    <xdr:col>16</xdr:col>
                    <xdr:colOff>19050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354BBE4-84D2-412C-AAF9-8E58347A24CA}">
          <x14:formula1>
            <xm:f>auxiliar!$K$3:$K$34</xm:f>
          </x14:formula1>
          <xm:sqref>B69:G85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AB256"/>
  <sheetViews>
    <sheetView showGridLines="0" topLeftCell="A23" zoomScaleNormal="100" workbookViewId="0">
      <selection activeCell="I50" sqref="I50"/>
    </sheetView>
  </sheetViews>
  <sheetFormatPr defaultRowHeight="15" x14ac:dyDescent="0.25"/>
  <cols>
    <col min="2" max="2" width="15.85546875" customWidth="1"/>
    <col min="4" max="4" width="20.85546875" style="212" customWidth="1"/>
    <col min="5" max="5" width="9.140625" customWidth="1"/>
    <col min="6" max="6" width="10.28515625" customWidth="1"/>
    <col min="7" max="8" width="9.140625" customWidth="1"/>
    <col min="10" max="10" width="9.140625" customWidth="1"/>
    <col min="11" max="11" width="10.28515625" customWidth="1"/>
  </cols>
  <sheetData>
    <row r="3" spans="2:27" ht="15.75" thickBot="1" x14ac:dyDescent="0.3">
      <c r="B3" s="694" t="s">
        <v>290</v>
      </c>
      <c r="C3" s="695"/>
      <c r="D3" s="214" t="s">
        <v>291</v>
      </c>
      <c r="F3" s="650" t="s">
        <v>330</v>
      </c>
      <c r="G3" s="651"/>
      <c r="H3" s="651"/>
      <c r="I3" s="651"/>
      <c r="J3" s="651"/>
      <c r="K3" s="651"/>
      <c r="L3" s="651"/>
      <c r="M3" s="651"/>
      <c r="N3" s="651"/>
      <c r="O3" s="651"/>
      <c r="P3" s="651"/>
      <c r="Q3" s="651"/>
      <c r="R3" s="651"/>
      <c r="S3" s="652"/>
      <c r="T3" s="217"/>
      <c r="U3" s="217"/>
      <c r="V3" s="217"/>
      <c r="W3" s="217"/>
      <c r="X3" s="217"/>
      <c r="Y3" s="217"/>
      <c r="Z3" s="217"/>
      <c r="AA3" s="217"/>
    </row>
    <row r="4" spans="2:27" x14ac:dyDescent="0.25">
      <c r="B4" s="679" t="s">
        <v>487</v>
      </c>
      <c r="C4" s="679"/>
      <c r="D4" s="213">
        <v>0</v>
      </c>
      <c r="F4" s="653" t="s">
        <v>292</v>
      </c>
      <c r="G4" s="654"/>
      <c r="H4" s="680" t="s">
        <v>310</v>
      </c>
      <c r="I4" s="681"/>
      <c r="J4" s="653" t="s">
        <v>298</v>
      </c>
      <c r="K4" s="654"/>
      <c r="L4" s="655" t="s">
        <v>293</v>
      </c>
      <c r="M4" s="656"/>
      <c r="N4" s="656"/>
      <c r="O4" s="657"/>
      <c r="P4" s="655" t="s">
        <v>294</v>
      </c>
      <c r="Q4" s="656"/>
      <c r="R4" s="656"/>
      <c r="S4" s="657"/>
      <c r="T4" s="215"/>
      <c r="U4" s="215"/>
    </row>
    <row r="5" spans="2:27" x14ac:dyDescent="0.25">
      <c r="B5" s="679" t="s">
        <v>95</v>
      </c>
      <c r="C5" s="679"/>
      <c r="D5" s="213">
        <v>0</v>
      </c>
      <c r="F5" s="227"/>
      <c r="G5" s="228" t="s">
        <v>295</v>
      </c>
      <c r="H5" s="227"/>
      <c r="I5" s="228" t="s">
        <v>295</v>
      </c>
      <c r="J5" s="227"/>
      <c r="K5" s="228" t="s">
        <v>295</v>
      </c>
      <c r="L5" s="227" t="s">
        <v>296</v>
      </c>
      <c r="M5" s="229" t="s">
        <v>295</v>
      </c>
      <c r="N5" s="229" t="s">
        <v>297</v>
      </c>
      <c r="O5" s="228" t="s">
        <v>295</v>
      </c>
      <c r="P5" s="227" t="s">
        <v>296</v>
      </c>
      <c r="Q5" s="229" t="s">
        <v>295</v>
      </c>
      <c r="R5" s="229" t="s">
        <v>297</v>
      </c>
      <c r="S5" s="228" t="s">
        <v>295</v>
      </c>
      <c r="T5" s="216"/>
      <c r="U5" s="216"/>
    </row>
    <row r="6" spans="2:27" ht="15.75" thickBot="1" x14ac:dyDescent="0.3">
      <c r="B6" s="679" t="s">
        <v>488</v>
      </c>
      <c r="C6" s="679"/>
      <c r="D6" s="213">
        <v>0</v>
      </c>
      <c r="F6" s="219">
        <v>46755.510190508001</v>
      </c>
      <c r="G6" s="220" t="s">
        <v>299</v>
      </c>
      <c r="H6" s="219">
        <v>10645.003677222865</v>
      </c>
      <c r="I6" s="220" t="s">
        <v>309</v>
      </c>
      <c r="J6" s="221">
        <v>3774</v>
      </c>
      <c r="K6" s="220" t="s">
        <v>300</v>
      </c>
      <c r="L6" s="221">
        <v>110</v>
      </c>
      <c r="M6" s="222" t="s">
        <v>341</v>
      </c>
      <c r="N6" s="222">
        <v>40</v>
      </c>
      <c r="O6" s="220" t="s">
        <v>301</v>
      </c>
      <c r="P6" s="221">
        <v>224</v>
      </c>
      <c r="Q6" s="222" t="s">
        <v>341</v>
      </c>
      <c r="R6" s="223">
        <v>65.317842913281481</v>
      </c>
      <c r="S6" s="241" t="s">
        <v>301</v>
      </c>
      <c r="U6" s="218"/>
    </row>
    <row r="7" spans="2:27" ht="15.75" thickBot="1" x14ac:dyDescent="0.3">
      <c r="B7" s="679" t="s">
        <v>96</v>
      </c>
      <c r="C7" s="679"/>
      <c r="D7" s="213">
        <v>0</v>
      </c>
      <c r="F7" s="682" t="s">
        <v>329</v>
      </c>
      <c r="G7" s="683"/>
      <c r="H7" s="683"/>
      <c r="I7" s="684"/>
    </row>
    <row r="8" spans="2:27" ht="15" customHeight="1" x14ac:dyDescent="0.25">
      <c r="B8" s="679" t="s">
        <v>489</v>
      </c>
      <c r="C8" s="679"/>
      <c r="D8" s="213">
        <v>0</v>
      </c>
      <c r="K8" s="685"/>
      <c r="L8" s="433"/>
      <c r="M8" s="434"/>
      <c r="N8" s="434"/>
      <c r="O8" s="434"/>
      <c r="P8" s="434"/>
      <c r="Q8" s="434"/>
      <c r="R8" s="434"/>
      <c r="S8" s="434"/>
    </row>
    <row r="9" spans="2:27" x14ac:dyDescent="0.25">
      <c r="B9" s="679" t="s">
        <v>98</v>
      </c>
      <c r="C9" s="679"/>
      <c r="D9" s="213">
        <v>0</v>
      </c>
      <c r="K9" s="685"/>
      <c r="L9" s="408"/>
      <c r="M9" s="408"/>
      <c r="N9" s="408"/>
      <c r="O9" s="408"/>
      <c r="P9" s="408"/>
      <c r="Q9" s="408"/>
      <c r="R9" s="408"/>
      <c r="S9" s="408"/>
    </row>
    <row r="10" spans="2:27" x14ac:dyDescent="0.25">
      <c r="B10" s="679" t="s">
        <v>97</v>
      </c>
      <c r="C10" s="679"/>
      <c r="D10" s="213">
        <v>0</v>
      </c>
    </row>
    <row r="11" spans="2:27" ht="15.75" thickBot="1" x14ac:dyDescent="0.3">
      <c r="B11" s="679" t="s">
        <v>100</v>
      </c>
      <c r="C11" s="679"/>
      <c r="D11" s="213">
        <v>0</v>
      </c>
      <c r="F11" s="650" t="s">
        <v>331</v>
      </c>
      <c r="G11" s="651"/>
      <c r="H11" s="651"/>
      <c r="I11" s="651"/>
      <c r="J11" s="651"/>
      <c r="K11" s="651"/>
      <c r="L11" s="651"/>
      <c r="M11" s="651"/>
      <c r="N11" s="651"/>
      <c r="O11" s="651"/>
      <c r="P11" s="651"/>
      <c r="Q11" s="651"/>
      <c r="R11" s="651"/>
      <c r="S11" s="652"/>
    </row>
    <row r="12" spans="2:27" x14ac:dyDescent="0.25">
      <c r="B12" s="679" t="s">
        <v>99</v>
      </c>
      <c r="C12" s="679"/>
      <c r="D12" s="213">
        <v>0</v>
      </c>
      <c r="F12" s="653" t="s">
        <v>292</v>
      </c>
      <c r="G12" s="654"/>
      <c r="H12" s="680" t="s">
        <v>310</v>
      </c>
      <c r="I12" s="681"/>
      <c r="J12" s="653" t="s">
        <v>298</v>
      </c>
      <c r="K12" s="654"/>
      <c r="L12" s="655" t="s">
        <v>293</v>
      </c>
      <c r="M12" s="656"/>
      <c r="N12" s="656"/>
      <c r="O12" s="657"/>
      <c r="P12" s="655" t="s">
        <v>294</v>
      </c>
      <c r="Q12" s="656"/>
      <c r="R12" s="656"/>
      <c r="S12" s="657"/>
    </row>
    <row r="13" spans="2:27" x14ac:dyDescent="0.25">
      <c r="B13" s="679" t="s">
        <v>506</v>
      </c>
      <c r="C13" s="679"/>
      <c r="D13" s="213">
        <v>1</v>
      </c>
      <c r="F13" s="227"/>
      <c r="G13" s="228" t="s">
        <v>295</v>
      </c>
      <c r="H13" s="227"/>
      <c r="I13" s="228" t="s">
        <v>295</v>
      </c>
      <c r="J13" s="227"/>
      <c r="K13" s="228" t="s">
        <v>295</v>
      </c>
      <c r="L13" s="227" t="s">
        <v>296</v>
      </c>
      <c r="M13" s="229" t="s">
        <v>295</v>
      </c>
      <c r="N13" s="229" t="s">
        <v>297</v>
      </c>
      <c r="O13" s="228" t="s">
        <v>295</v>
      </c>
      <c r="P13" s="227" t="s">
        <v>296</v>
      </c>
      <c r="Q13" s="229" t="s">
        <v>295</v>
      </c>
      <c r="R13" s="229" t="s">
        <v>297</v>
      </c>
      <c r="S13" s="228" t="s">
        <v>295</v>
      </c>
    </row>
    <row r="14" spans="2:27" ht="15.75" thickBot="1" x14ac:dyDescent="0.3">
      <c r="B14" s="679" t="s">
        <v>480</v>
      </c>
      <c r="C14" s="679"/>
      <c r="D14" s="213">
        <v>0</v>
      </c>
      <c r="F14" s="219">
        <v>46755.510190508096</v>
      </c>
      <c r="G14" s="241" t="s">
        <v>299</v>
      </c>
      <c r="H14" s="219">
        <v>10645.003677222887</v>
      </c>
      <c r="I14" s="241" t="s">
        <v>309</v>
      </c>
      <c r="J14" s="221">
        <v>3774</v>
      </c>
      <c r="K14" s="220" t="s">
        <v>300</v>
      </c>
      <c r="L14" s="221">
        <v>110</v>
      </c>
      <c r="M14" s="222" t="s">
        <v>341</v>
      </c>
      <c r="N14" s="222">
        <v>40</v>
      </c>
      <c r="O14" s="220" t="s">
        <v>301</v>
      </c>
      <c r="P14" s="221">
        <v>224</v>
      </c>
      <c r="Q14" s="222" t="s">
        <v>341</v>
      </c>
      <c r="R14" s="223">
        <v>71.895397939988243</v>
      </c>
      <c r="S14" s="241" t="s">
        <v>301</v>
      </c>
    </row>
    <row r="15" spans="2:27" ht="15.75" thickBot="1" x14ac:dyDescent="0.3">
      <c r="B15" s="679" t="s">
        <v>485</v>
      </c>
      <c r="C15" s="679"/>
      <c r="D15" s="213">
        <v>0</v>
      </c>
      <c r="F15" s="682" t="s">
        <v>329</v>
      </c>
      <c r="G15" s="683"/>
      <c r="H15" s="683"/>
      <c r="I15" s="684"/>
    </row>
    <row r="16" spans="2:27" ht="15.75" thickBot="1" x14ac:dyDescent="0.3">
      <c r="B16" s="679" t="s">
        <v>486</v>
      </c>
      <c r="C16" s="679"/>
      <c r="D16" s="213">
        <v>0</v>
      </c>
    </row>
    <row r="17" spans="2:20" ht="15.75" thickBot="1" x14ac:dyDescent="0.3">
      <c r="B17" s="679" t="s">
        <v>104</v>
      </c>
      <c r="C17" s="679"/>
      <c r="D17" s="213">
        <v>0</v>
      </c>
      <c r="F17" s="648" t="s">
        <v>318</v>
      </c>
      <c r="G17" s="678"/>
      <c r="H17" s="678"/>
      <c r="I17" s="649"/>
      <c r="J17" s="236"/>
      <c r="K17" s="648" t="s">
        <v>318</v>
      </c>
      <c r="L17" s="678"/>
      <c r="M17" s="678"/>
      <c r="N17" s="649"/>
      <c r="O17" s="648" t="s">
        <v>319</v>
      </c>
      <c r="P17" s="649"/>
      <c r="R17" s="362"/>
    </row>
    <row r="18" spans="2:20" ht="15" customHeight="1" x14ac:dyDescent="0.25">
      <c r="B18" s="679" t="s">
        <v>105</v>
      </c>
      <c r="C18" s="679"/>
      <c r="D18" s="213">
        <v>0</v>
      </c>
      <c r="F18" s="676" t="s">
        <v>311</v>
      </c>
      <c r="G18" s="237" t="s">
        <v>305</v>
      </c>
      <c r="H18" s="633" t="s">
        <v>308</v>
      </c>
      <c r="I18" s="634"/>
      <c r="J18" s="233"/>
      <c r="K18" s="676" t="s">
        <v>311</v>
      </c>
      <c r="L18" s="237" t="s">
        <v>305</v>
      </c>
      <c r="M18" s="633" t="s">
        <v>308</v>
      </c>
      <c r="N18" s="634"/>
      <c r="O18" s="668" t="s">
        <v>320</v>
      </c>
      <c r="P18" s="669"/>
      <c r="R18" s="362"/>
    </row>
    <row r="19" spans="2:20" ht="15.75" thickBot="1" x14ac:dyDescent="0.3">
      <c r="B19" s="679" t="s">
        <v>490</v>
      </c>
      <c r="C19" s="679"/>
      <c r="D19" s="213">
        <v>0</v>
      </c>
      <c r="F19" s="677"/>
      <c r="G19" s="230">
        <v>1.9037133667818709</v>
      </c>
      <c r="H19" s="646">
        <v>0.86667083982046889</v>
      </c>
      <c r="I19" s="647"/>
      <c r="J19" s="233"/>
      <c r="K19" s="677"/>
      <c r="L19" s="230">
        <v>1.8636151978543438</v>
      </c>
      <c r="M19" s="646">
        <v>1.4474713876688725</v>
      </c>
      <c r="N19" s="647"/>
      <c r="O19" s="670"/>
      <c r="P19" s="671"/>
    </row>
    <row r="20" spans="2:20" ht="15" customHeight="1" thickBot="1" x14ac:dyDescent="0.3">
      <c r="B20" s="679" t="s">
        <v>491</v>
      </c>
      <c r="C20" s="679"/>
      <c r="D20" s="213">
        <v>0</v>
      </c>
      <c r="F20" s="676" t="s">
        <v>303</v>
      </c>
      <c r="G20" s="637">
        <v>0.43586593362672738</v>
      </c>
      <c r="H20" s="633" t="s">
        <v>312</v>
      </c>
      <c r="I20" s="634"/>
      <c r="J20" s="233"/>
      <c r="K20" s="676" t="s">
        <v>303</v>
      </c>
      <c r="L20" s="637">
        <v>0.38212903770014456</v>
      </c>
      <c r="M20" s="633" t="s">
        <v>312</v>
      </c>
      <c r="N20" s="634"/>
      <c r="O20" s="662" t="s">
        <v>326</v>
      </c>
      <c r="P20" s="663"/>
    </row>
    <row r="21" spans="2:20" ht="15.75" thickBot="1" x14ac:dyDescent="0.3">
      <c r="F21" s="677"/>
      <c r="G21" s="638"/>
      <c r="H21" s="674">
        <v>-0.23191499499068274</v>
      </c>
      <c r="I21" s="675"/>
      <c r="J21" s="233"/>
      <c r="K21" s="677"/>
      <c r="L21" s="638"/>
      <c r="M21" s="674">
        <v>-0.16092885491662318</v>
      </c>
      <c r="N21" s="675"/>
      <c r="O21" s="664"/>
      <c r="P21" s="665"/>
      <c r="R21" s="614" t="s">
        <v>388</v>
      </c>
      <c r="S21" s="615"/>
    </row>
    <row r="22" spans="2:20" ht="15.75" thickBot="1" x14ac:dyDescent="0.3">
      <c r="B22" s="624" t="s">
        <v>351</v>
      </c>
      <c r="C22" s="625"/>
      <c r="D22" s="626"/>
      <c r="F22" s="676" t="s">
        <v>304</v>
      </c>
      <c r="G22" s="637">
        <v>259262.08012458001</v>
      </c>
      <c r="H22" s="639" t="s">
        <v>314</v>
      </c>
      <c r="I22" s="640"/>
      <c r="J22" s="233"/>
      <c r="K22" s="676" t="s">
        <v>304</v>
      </c>
      <c r="L22" s="637">
        <v>142873.19327413253</v>
      </c>
      <c r="M22" s="639" t="s">
        <v>314</v>
      </c>
      <c r="N22" s="640"/>
      <c r="O22" s="664"/>
      <c r="P22" s="665"/>
      <c r="R22" s="616"/>
      <c r="S22" s="617"/>
    </row>
    <row r="23" spans="2:20" ht="14.65" customHeight="1" thickBot="1" x14ac:dyDescent="0.3">
      <c r="B23" s="627" t="s">
        <v>352</v>
      </c>
      <c r="C23" s="629" t="s">
        <v>353</v>
      </c>
      <c r="D23" s="254" t="s">
        <v>354</v>
      </c>
      <c r="F23" s="677"/>
      <c r="G23" s="638"/>
      <c r="H23" s="672">
        <v>2.8366771957515153E-2</v>
      </c>
      <c r="I23" s="673"/>
      <c r="J23" s="233" t="s">
        <v>479</v>
      </c>
      <c r="K23" s="677"/>
      <c r="L23" s="638"/>
      <c r="M23" s="672">
        <v>1.2292942077867497E-2</v>
      </c>
      <c r="N23" s="673"/>
      <c r="O23" s="666"/>
      <c r="P23" s="667"/>
      <c r="R23" s="618" t="s">
        <v>479</v>
      </c>
      <c r="S23" s="619"/>
    </row>
    <row r="24" spans="2:20" ht="15" customHeight="1" thickBot="1" x14ac:dyDescent="0.3">
      <c r="B24" s="628"/>
      <c r="C24" s="630"/>
      <c r="D24" s="255">
        <v>0.01</v>
      </c>
      <c r="F24" s="676" t="s">
        <v>313</v>
      </c>
      <c r="G24" s="637">
        <v>0.39180892284116858</v>
      </c>
      <c r="H24" s="639" t="s">
        <v>327</v>
      </c>
      <c r="I24" s="640"/>
      <c r="J24" s="233"/>
      <c r="K24" s="676" t="s">
        <v>313</v>
      </c>
      <c r="L24" s="637">
        <v>0.58143742270241994</v>
      </c>
      <c r="M24" s="639" t="s">
        <v>327</v>
      </c>
      <c r="N24" s="640"/>
      <c r="O24" s="658" t="s">
        <v>321</v>
      </c>
      <c r="P24" s="659"/>
      <c r="R24" s="620"/>
      <c r="S24" s="621"/>
    </row>
    <row r="25" spans="2:20" ht="14.65" customHeight="1" thickBot="1" x14ac:dyDescent="0.3">
      <c r="B25" s="686" t="s">
        <v>355</v>
      </c>
      <c r="C25" s="689" t="s">
        <v>387</v>
      </c>
      <c r="D25" s="429" t="s">
        <v>475</v>
      </c>
      <c r="F25" s="677"/>
      <c r="G25" s="638"/>
      <c r="H25" s="646">
        <v>15.293713737147554</v>
      </c>
      <c r="I25" s="647"/>
      <c r="J25" s="233"/>
      <c r="K25" s="677"/>
      <c r="L25" s="638"/>
      <c r="M25" s="646">
        <v>54.695964044584343</v>
      </c>
      <c r="N25" s="647"/>
      <c r="O25" s="660"/>
      <c r="P25" s="661"/>
    </row>
    <row r="26" spans="2:20" ht="15" customHeight="1" x14ac:dyDescent="0.25">
      <c r="B26" s="687"/>
      <c r="C26" s="690"/>
      <c r="D26" s="396">
        <v>5</v>
      </c>
      <c r="F26" s="622" t="s">
        <v>316</v>
      </c>
      <c r="G26" s="637">
        <v>7.0875226570819692</v>
      </c>
      <c r="H26" s="639" t="s">
        <v>328</v>
      </c>
      <c r="I26" s="640"/>
      <c r="J26" s="233"/>
      <c r="K26" s="622" t="s">
        <v>316</v>
      </c>
      <c r="L26" s="637">
        <v>9.3210101597965718</v>
      </c>
      <c r="M26" s="639" t="s">
        <v>328</v>
      </c>
      <c r="N26" s="640"/>
    </row>
    <row r="27" spans="2:20" ht="14.65" customHeight="1" thickBot="1" x14ac:dyDescent="0.3">
      <c r="B27" s="687"/>
      <c r="C27" s="690"/>
      <c r="D27" s="431" t="s">
        <v>476</v>
      </c>
      <c r="F27" s="623"/>
      <c r="G27" s="638"/>
      <c r="H27" s="646">
        <v>1.633869094684526</v>
      </c>
      <c r="I27" s="647"/>
      <c r="J27" s="233"/>
      <c r="K27" s="623"/>
      <c r="L27" s="638"/>
      <c r="M27" s="646">
        <v>3.3786361349412588</v>
      </c>
      <c r="N27" s="647"/>
    </row>
    <row r="28" spans="2:20" ht="15" customHeight="1" x14ac:dyDescent="0.25">
      <c r="B28" s="687"/>
      <c r="C28" s="690"/>
      <c r="D28" s="396"/>
      <c r="F28" s="622" t="s">
        <v>333</v>
      </c>
      <c r="G28" s="637">
        <v>18.43534331634508</v>
      </c>
      <c r="H28" s="639" t="s">
        <v>334</v>
      </c>
      <c r="I28" s="640"/>
      <c r="J28" s="233"/>
      <c r="K28" s="622" t="s">
        <v>333</v>
      </c>
      <c r="L28" s="637">
        <v>18.635196587800714</v>
      </c>
      <c r="M28" s="639" t="s">
        <v>334</v>
      </c>
      <c r="N28" s="640"/>
      <c r="P28" s="643"/>
      <c r="Q28" s="643"/>
      <c r="R28" s="644"/>
      <c r="S28" s="645"/>
      <c r="T28" s="408"/>
    </row>
    <row r="29" spans="2:20" ht="26.25" thickBot="1" x14ac:dyDescent="0.3">
      <c r="B29" s="687"/>
      <c r="C29" s="690"/>
      <c r="D29" s="431" t="s">
        <v>477</v>
      </c>
      <c r="F29" s="623"/>
      <c r="G29" s="638"/>
      <c r="H29" s="646">
        <v>0.15171373929213983</v>
      </c>
      <c r="I29" s="647"/>
      <c r="J29" s="234"/>
      <c r="K29" s="623"/>
      <c r="L29" s="638"/>
      <c r="M29" s="646">
        <v>0.30229859011762045</v>
      </c>
      <c r="N29" s="647"/>
      <c r="P29" s="643"/>
      <c r="Q29" s="643"/>
      <c r="R29" s="644"/>
      <c r="S29" s="645"/>
      <c r="T29" s="408"/>
    </row>
    <row r="30" spans="2:20" ht="15" customHeight="1" x14ac:dyDescent="0.25">
      <c r="B30" s="687"/>
      <c r="C30" s="690"/>
      <c r="D30" s="396">
        <v>25</v>
      </c>
      <c r="F30" s="622" t="s">
        <v>335</v>
      </c>
      <c r="G30" s="637">
        <v>198.22172831789518</v>
      </c>
      <c r="H30" s="639" t="s">
        <v>336</v>
      </c>
      <c r="I30" s="640"/>
      <c r="J30" s="232"/>
      <c r="K30" s="622" t="s">
        <v>335</v>
      </c>
      <c r="L30" s="637">
        <v>262.35398566799438</v>
      </c>
      <c r="M30" s="639" t="s">
        <v>336</v>
      </c>
      <c r="N30" s="640"/>
      <c r="P30" s="408"/>
      <c r="Q30" s="408"/>
      <c r="R30" s="408"/>
      <c r="S30" s="408"/>
      <c r="T30" s="408"/>
    </row>
    <row r="31" spans="2:20" ht="15.75" thickBot="1" x14ac:dyDescent="0.3">
      <c r="B31" s="687"/>
      <c r="C31" s="690"/>
      <c r="D31" s="431" t="s">
        <v>478</v>
      </c>
      <c r="F31" s="623"/>
      <c r="G31" s="638"/>
      <c r="H31" s="641">
        <v>1.6312665891822768</v>
      </c>
      <c r="I31" s="642"/>
      <c r="J31" s="232"/>
      <c r="K31" s="623"/>
      <c r="L31" s="638"/>
      <c r="M31" s="641">
        <v>4.2558842674668567</v>
      </c>
      <c r="N31" s="642"/>
      <c r="P31" s="408"/>
      <c r="Q31" s="408"/>
      <c r="R31" s="408"/>
      <c r="S31" s="408"/>
      <c r="T31" s="408"/>
    </row>
    <row r="32" spans="2:20" ht="15" customHeight="1" x14ac:dyDescent="0.25">
      <c r="B32" s="688"/>
      <c r="C32" s="691"/>
      <c r="D32" s="396">
        <v>13.6</v>
      </c>
      <c r="F32" s="622" t="s">
        <v>315</v>
      </c>
      <c r="G32" s="637">
        <v>275.02537854265137</v>
      </c>
      <c r="H32" s="639" t="s">
        <v>317</v>
      </c>
      <c r="I32" s="640"/>
      <c r="J32" s="232"/>
      <c r="K32" s="622" t="s">
        <v>315</v>
      </c>
      <c r="L32" s="637">
        <v>354.60297095290974</v>
      </c>
      <c r="M32" s="639" t="s">
        <v>317</v>
      </c>
      <c r="N32" s="640"/>
    </row>
    <row r="33" spans="2:28" ht="15.75" thickBot="1" x14ac:dyDescent="0.3">
      <c r="B33" s="692" t="s">
        <v>356</v>
      </c>
      <c r="C33" s="693" t="s">
        <v>387</v>
      </c>
      <c r="D33" s="429" t="s">
        <v>475</v>
      </c>
      <c r="F33" s="623"/>
      <c r="G33" s="638"/>
      <c r="H33" s="646">
        <v>6.648990331488315E-2</v>
      </c>
      <c r="I33" s="647"/>
      <c r="J33" s="232"/>
      <c r="K33" s="623"/>
      <c r="L33" s="638"/>
      <c r="M33" s="646">
        <v>0.13830626666669821</v>
      </c>
      <c r="N33" s="647"/>
    </row>
    <row r="34" spans="2:28" ht="15" customHeight="1" x14ac:dyDescent="0.25">
      <c r="B34" s="692"/>
      <c r="C34" s="693"/>
      <c r="D34" s="396">
        <v>5</v>
      </c>
      <c r="F34" s="622" t="s">
        <v>337</v>
      </c>
      <c r="G34" s="637">
        <v>103631.15897907561</v>
      </c>
      <c r="H34" s="639" t="s">
        <v>338</v>
      </c>
      <c r="I34" s="640"/>
      <c r="J34" s="232"/>
      <c r="K34" s="622" t="s">
        <v>337</v>
      </c>
      <c r="L34" s="637">
        <v>621710.26528747194</v>
      </c>
      <c r="M34" s="639" t="s">
        <v>338</v>
      </c>
      <c r="N34" s="640"/>
    </row>
    <row r="35" spans="2:28" ht="26.25" thickBot="1" x14ac:dyDescent="0.3">
      <c r="B35" s="692"/>
      <c r="C35" s="693"/>
      <c r="D35" s="431" t="s">
        <v>476</v>
      </c>
      <c r="F35" s="623"/>
      <c r="G35" s="638"/>
      <c r="H35" s="641">
        <v>25.053781499875086</v>
      </c>
      <c r="I35" s="642"/>
      <c r="J35" s="232"/>
      <c r="K35" s="623"/>
      <c r="L35" s="638"/>
      <c r="M35" s="641">
        <v>242.48647863610691</v>
      </c>
      <c r="N35" s="642"/>
    </row>
    <row r="36" spans="2:28" x14ac:dyDescent="0.25">
      <c r="B36" s="692"/>
      <c r="C36" s="693"/>
      <c r="D36" s="396"/>
      <c r="F36" s="622" t="s">
        <v>349</v>
      </c>
      <c r="G36" s="631">
        <v>0.87058014514509485</v>
      </c>
      <c r="H36" s="633" t="s">
        <v>357</v>
      </c>
      <c r="I36" s="634"/>
      <c r="J36" s="232"/>
      <c r="K36" s="622" t="s">
        <v>349</v>
      </c>
      <c r="L36" s="631">
        <v>0.68253025632021558</v>
      </c>
      <c r="M36" s="633" t="s">
        <v>357</v>
      </c>
      <c r="N36" s="634"/>
    </row>
    <row r="37" spans="2:28" ht="26.25" thickBot="1" x14ac:dyDescent="0.3">
      <c r="B37" s="692"/>
      <c r="C37" s="693"/>
      <c r="D37" s="431" t="s">
        <v>477</v>
      </c>
      <c r="F37" s="623"/>
      <c r="G37" s="632"/>
      <c r="H37" s="635">
        <v>0.87272143092916143</v>
      </c>
      <c r="I37" s="636"/>
      <c r="J37" s="232"/>
      <c r="K37" s="623"/>
      <c r="L37" s="632"/>
      <c r="M37" s="635">
        <v>0.68858362416193497</v>
      </c>
      <c r="N37" s="636"/>
      <c r="S37" s="408"/>
      <c r="T37" s="408"/>
      <c r="U37" s="408"/>
      <c r="V37" s="408"/>
      <c r="W37" s="408"/>
      <c r="X37" s="408"/>
      <c r="Y37" s="408"/>
      <c r="Z37" s="408"/>
      <c r="AA37" s="408"/>
      <c r="AB37" s="408"/>
    </row>
    <row r="38" spans="2:28" x14ac:dyDescent="0.25">
      <c r="B38" s="692"/>
      <c r="C38" s="693"/>
      <c r="D38" s="396">
        <v>25</v>
      </c>
      <c r="S38" s="408"/>
      <c r="T38" s="408"/>
      <c r="U38" s="408"/>
      <c r="V38" s="408"/>
      <c r="W38" s="408"/>
      <c r="X38" s="408"/>
      <c r="Y38" s="408"/>
      <c r="Z38" s="408"/>
      <c r="AA38" s="408"/>
      <c r="AB38" s="408"/>
    </row>
    <row r="39" spans="2:28" x14ac:dyDescent="0.25">
      <c r="B39" s="692"/>
      <c r="C39" s="693"/>
      <c r="D39" s="431" t="s">
        <v>478</v>
      </c>
      <c r="S39" s="408"/>
      <c r="T39" s="408"/>
      <c r="U39" s="408"/>
      <c r="V39" s="408"/>
      <c r="W39" s="408"/>
      <c r="X39" s="408"/>
      <c r="Y39" s="408"/>
      <c r="Z39" s="408"/>
      <c r="AA39" s="408"/>
      <c r="AB39" s="408"/>
    </row>
    <row r="40" spans="2:28" x14ac:dyDescent="0.25">
      <c r="B40" s="692"/>
      <c r="C40" s="693"/>
      <c r="D40" s="396">
        <v>13.6</v>
      </c>
      <c r="S40" s="408"/>
      <c r="T40" s="408"/>
      <c r="U40" s="408"/>
      <c r="V40" s="408"/>
      <c r="W40" s="408"/>
      <c r="X40" s="408"/>
      <c r="Y40" s="408"/>
      <c r="Z40" s="408"/>
      <c r="AA40" s="408"/>
      <c r="AB40" s="408"/>
    </row>
    <row r="41" spans="2:28" x14ac:dyDescent="0.25">
      <c r="S41" s="408"/>
      <c r="T41" s="408"/>
      <c r="U41" s="408"/>
      <c r="V41" s="408"/>
      <c r="W41" s="408"/>
      <c r="X41" s="408"/>
      <c r="Y41" s="408"/>
      <c r="Z41" s="408"/>
      <c r="AA41" s="408"/>
      <c r="AB41" s="408"/>
    </row>
    <row r="42" spans="2:28" x14ac:dyDescent="0.25">
      <c r="F42" s="215"/>
      <c r="G42" s="215"/>
      <c r="H42" s="215"/>
      <c r="I42" s="215"/>
      <c r="J42" s="215"/>
      <c r="K42" s="215"/>
      <c r="L42" s="215"/>
      <c r="M42" s="215"/>
      <c r="N42" s="215"/>
      <c r="O42" s="215"/>
      <c r="S42" s="408"/>
      <c r="T42" s="408"/>
      <c r="U42" s="436"/>
      <c r="V42" s="436"/>
      <c r="W42" s="436"/>
      <c r="X42" s="436"/>
      <c r="Y42" s="436"/>
      <c r="Z42" s="436"/>
      <c r="AA42" s="408"/>
      <c r="AB42" s="408"/>
    </row>
    <row r="43" spans="2:28" x14ac:dyDescent="0.25">
      <c r="F43" s="215"/>
      <c r="G43" s="215"/>
      <c r="H43" s="215"/>
      <c r="I43" s="215"/>
      <c r="J43" s="215"/>
      <c r="K43" s="215"/>
      <c r="L43" s="215"/>
      <c r="M43" s="215"/>
      <c r="N43" s="215"/>
      <c r="O43" s="215"/>
      <c r="S43" s="408"/>
      <c r="T43" s="408"/>
      <c r="U43" s="436"/>
      <c r="V43" s="436"/>
      <c r="W43" s="436"/>
      <c r="X43" s="436"/>
      <c r="Y43" s="436"/>
      <c r="Z43" s="436"/>
      <c r="AA43" s="408"/>
      <c r="AB43" s="408"/>
    </row>
    <row r="44" spans="2:28" x14ac:dyDescent="0.25">
      <c r="F44" s="215"/>
      <c r="G44" s="215"/>
      <c r="H44" s="215"/>
      <c r="I44" s="215"/>
      <c r="J44" s="215"/>
      <c r="K44" s="215"/>
      <c r="L44" s="215"/>
      <c r="M44" s="215"/>
      <c r="N44" s="215"/>
      <c r="O44" s="215"/>
      <c r="S44" s="408"/>
      <c r="T44" s="408"/>
      <c r="U44" s="436"/>
      <c r="V44" s="436"/>
      <c r="W44" s="436"/>
      <c r="X44" s="436"/>
      <c r="Y44" s="436"/>
      <c r="Z44" s="436"/>
      <c r="AA44" s="408"/>
      <c r="AB44" s="408"/>
    </row>
    <row r="45" spans="2:28" x14ac:dyDescent="0.25">
      <c r="F45" s="215"/>
      <c r="G45" s="215"/>
      <c r="H45" s="215"/>
      <c r="I45" s="215"/>
      <c r="J45" s="215"/>
      <c r="K45" s="215"/>
      <c r="L45" s="215"/>
      <c r="M45" s="215"/>
      <c r="N45" s="215"/>
      <c r="O45" s="215"/>
      <c r="S45" s="408"/>
      <c r="T45" s="408"/>
      <c r="U45" s="436"/>
      <c r="V45" s="436"/>
      <c r="W45" s="436"/>
      <c r="X45" s="436"/>
      <c r="Y45" s="436"/>
      <c r="Z45" s="436"/>
      <c r="AA45" s="408"/>
      <c r="AB45" s="408"/>
    </row>
    <row r="46" spans="2:28" x14ac:dyDescent="0.25">
      <c r="F46" s="215"/>
      <c r="G46" s="215"/>
      <c r="H46" s="215"/>
      <c r="I46" s="215"/>
      <c r="J46" s="215"/>
      <c r="K46" s="215"/>
      <c r="L46" s="215"/>
      <c r="M46" s="215"/>
      <c r="N46" s="215"/>
      <c r="O46" s="215"/>
      <c r="S46" s="408"/>
      <c r="T46" s="408"/>
      <c r="U46" s="436"/>
      <c r="V46" s="436"/>
      <c r="W46" s="437"/>
      <c r="X46" s="437"/>
      <c r="Y46" s="437"/>
      <c r="Z46" s="437"/>
      <c r="AA46" s="408"/>
      <c r="AB46" s="408"/>
    </row>
    <row r="47" spans="2:28" x14ac:dyDescent="0.25">
      <c r="F47" s="215"/>
      <c r="G47" s="215"/>
      <c r="H47" s="215"/>
      <c r="I47" s="215"/>
      <c r="J47" s="215"/>
      <c r="K47" s="215"/>
      <c r="L47" s="215"/>
      <c r="M47" s="215"/>
      <c r="N47" s="215"/>
      <c r="O47" s="215"/>
      <c r="S47" s="408"/>
      <c r="T47" s="408"/>
      <c r="U47" s="436"/>
      <c r="V47" s="436"/>
      <c r="W47" s="437"/>
      <c r="X47" s="437"/>
      <c r="Y47" s="437"/>
      <c r="Z47" s="437"/>
      <c r="AA47" s="408"/>
      <c r="AB47" s="408"/>
    </row>
    <row r="48" spans="2:28" x14ac:dyDescent="0.25">
      <c r="F48" s="215"/>
      <c r="G48" s="215"/>
      <c r="H48" s="215"/>
      <c r="I48" s="215"/>
      <c r="J48" s="215"/>
      <c r="K48" s="215"/>
      <c r="L48" s="215"/>
      <c r="M48" s="215"/>
      <c r="N48" s="215"/>
      <c r="O48" s="215"/>
      <c r="S48" s="408"/>
      <c r="T48" s="408"/>
      <c r="U48" s="436"/>
      <c r="V48" s="436"/>
      <c r="W48" s="437"/>
      <c r="X48" s="437"/>
      <c r="Y48" s="437"/>
      <c r="Z48" s="437"/>
      <c r="AA48" s="408"/>
      <c r="AB48" s="408"/>
    </row>
    <row r="49" spans="6:28" x14ac:dyDescent="0.25">
      <c r="F49" s="215"/>
      <c r="G49" s="215"/>
      <c r="H49" s="215"/>
      <c r="I49" s="215"/>
      <c r="J49" s="215"/>
      <c r="K49" s="215"/>
      <c r="L49" s="215"/>
      <c r="M49" s="215"/>
      <c r="N49" s="215"/>
      <c r="O49" s="215"/>
      <c r="S49" s="408"/>
      <c r="T49" s="408"/>
      <c r="U49" s="436"/>
      <c r="V49" s="436"/>
      <c r="W49" s="438"/>
      <c r="X49" s="438"/>
      <c r="Y49" s="438"/>
      <c r="Z49" s="438"/>
      <c r="AA49" s="408"/>
      <c r="AB49" s="408"/>
    </row>
    <row r="50" spans="6:28" x14ac:dyDescent="0.25"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S50" s="408"/>
      <c r="T50" s="408"/>
      <c r="U50" s="436"/>
      <c r="V50" s="436"/>
      <c r="W50" s="438"/>
      <c r="X50" s="438"/>
      <c r="Y50" s="438"/>
      <c r="Z50" s="438"/>
      <c r="AA50" s="408"/>
      <c r="AB50" s="408"/>
    </row>
    <row r="51" spans="6:28" x14ac:dyDescent="0.25">
      <c r="F51" s="215"/>
      <c r="G51" s="215"/>
      <c r="H51" s="215"/>
      <c r="I51" s="215"/>
      <c r="J51" s="215"/>
      <c r="K51" s="215"/>
      <c r="L51" s="215"/>
      <c r="M51" s="215"/>
      <c r="N51" s="215"/>
      <c r="O51" s="215"/>
      <c r="S51" s="408"/>
      <c r="T51" s="408"/>
      <c r="U51" s="436"/>
      <c r="V51" s="436"/>
      <c r="W51" s="438"/>
      <c r="X51" s="438"/>
      <c r="Y51" s="438"/>
      <c r="Z51" s="438"/>
      <c r="AA51" s="408"/>
      <c r="AB51" s="408"/>
    </row>
    <row r="52" spans="6:28" x14ac:dyDescent="0.25">
      <c r="F52" s="215"/>
      <c r="G52" s="215"/>
      <c r="H52" s="215"/>
      <c r="I52" s="215"/>
      <c r="J52" s="215"/>
      <c r="K52" s="215"/>
      <c r="L52" s="215"/>
      <c r="M52" s="215"/>
      <c r="N52" s="215"/>
      <c r="O52" s="215"/>
      <c r="S52" s="408"/>
      <c r="T52" s="408"/>
      <c r="U52" s="436"/>
      <c r="V52" s="436"/>
      <c r="W52" s="438"/>
      <c r="X52" s="438"/>
      <c r="Y52" s="438"/>
      <c r="Z52" s="438"/>
      <c r="AA52" s="408"/>
      <c r="AB52" s="408"/>
    </row>
    <row r="53" spans="6:28" x14ac:dyDescent="0.25">
      <c r="F53" s="215"/>
      <c r="G53" s="215"/>
      <c r="H53" s="215"/>
      <c r="I53" s="215"/>
      <c r="J53" s="215"/>
      <c r="K53" s="215"/>
      <c r="L53" s="215"/>
      <c r="M53" s="215"/>
      <c r="N53" s="215"/>
      <c r="O53" s="215"/>
      <c r="S53" s="408"/>
      <c r="T53" s="408"/>
      <c r="U53" s="436"/>
      <c r="V53" s="436"/>
      <c r="W53" s="438"/>
      <c r="X53" s="438"/>
      <c r="Y53" s="438"/>
      <c r="Z53" s="438"/>
      <c r="AA53" s="408"/>
      <c r="AB53" s="408"/>
    </row>
    <row r="54" spans="6:28" x14ac:dyDescent="0.25">
      <c r="F54" s="215"/>
      <c r="G54" s="215"/>
      <c r="H54" s="215"/>
      <c r="I54" s="215"/>
      <c r="J54" s="215"/>
      <c r="K54" s="215"/>
      <c r="L54" s="215"/>
      <c r="M54" s="215"/>
      <c r="N54" s="215"/>
      <c r="O54" s="215"/>
      <c r="S54" s="408"/>
      <c r="T54" s="408"/>
      <c r="U54" s="436"/>
      <c r="V54" s="436"/>
      <c r="W54" s="438"/>
      <c r="X54" s="438"/>
      <c r="Y54" s="438"/>
      <c r="Z54" s="438"/>
      <c r="AA54" s="408"/>
      <c r="AB54" s="408"/>
    </row>
    <row r="55" spans="6:28" x14ac:dyDescent="0.25">
      <c r="F55" s="215"/>
      <c r="G55" s="215"/>
      <c r="H55" s="215"/>
      <c r="I55" s="215"/>
      <c r="J55" s="215"/>
      <c r="K55" s="215"/>
      <c r="L55" s="215"/>
      <c r="M55" s="215"/>
      <c r="N55" s="215"/>
      <c r="O55" s="215"/>
      <c r="S55" s="408"/>
      <c r="T55" s="408"/>
      <c r="U55" s="436"/>
      <c r="V55" s="436"/>
      <c r="W55" s="438"/>
      <c r="X55" s="438"/>
      <c r="Y55" s="438"/>
      <c r="Z55" s="438"/>
      <c r="AA55" s="408"/>
      <c r="AB55" s="408"/>
    </row>
    <row r="56" spans="6:28" x14ac:dyDescent="0.25">
      <c r="F56" s="215"/>
      <c r="G56" s="215"/>
      <c r="H56" s="215"/>
      <c r="I56" s="215"/>
      <c r="J56" s="215"/>
      <c r="K56" s="215"/>
      <c r="L56" s="215"/>
      <c r="M56" s="215"/>
      <c r="N56" s="215"/>
      <c r="O56" s="215"/>
      <c r="S56" s="408"/>
      <c r="T56" s="408"/>
      <c r="U56" s="436"/>
      <c r="V56" s="436"/>
      <c r="W56" s="438"/>
      <c r="X56" s="438"/>
      <c r="Y56" s="438"/>
      <c r="Z56" s="438"/>
      <c r="AA56" s="408"/>
      <c r="AB56" s="408"/>
    </row>
    <row r="57" spans="6:28" x14ac:dyDescent="0.25">
      <c r="F57" s="215"/>
      <c r="G57" s="215"/>
      <c r="H57" s="215"/>
      <c r="I57" s="215"/>
      <c r="J57" s="215"/>
      <c r="K57" s="215"/>
      <c r="L57" s="215"/>
      <c r="M57" s="215"/>
      <c r="N57" s="215"/>
      <c r="O57" s="215"/>
      <c r="S57" s="408"/>
      <c r="T57" s="408"/>
      <c r="U57" s="436"/>
      <c r="V57" s="436"/>
      <c r="W57" s="438"/>
      <c r="X57" s="438"/>
      <c r="Y57" s="438"/>
      <c r="Z57" s="438"/>
      <c r="AA57" s="408"/>
      <c r="AB57" s="408"/>
    </row>
    <row r="58" spans="6:28" x14ac:dyDescent="0.25">
      <c r="F58" s="215"/>
      <c r="G58" s="215"/>
      <c r="H58" s="215"/>
      <c r="I58" s="215"/>
      <c r="J58" s="215"/>
      <c r="K58" s="215"/>
      <c r="L58" s="215"/>
      <c r="M58" s="215"/>
      <c r="N58" s="215"/>
      <c r="O58" s="215"/>
      <c r="S58" s="408"/>
      <c r="T58" s="408"/>
      <c r="U58" s="436"/>
      <c r="V58" s="436"/>
      <c r="W58" s="437"/>
      <c r="X58" s="437"/>
      <c r="Y58" s="437"/>
      <c r="Z58" s="437"/>
      <c r="AA58" s="408"/>
      <c r="AB58" s="408"/>
    </row>
    <row r="59" spans="6:28" x14ac:dyDescent="0.25">
      <c r="F59" s="215"/>
      <c r="G59" s="215"/>
      <c r="H59" s="215"/>
      <c r="I59" s="215"/>
      <c r="J59" s="215"/>
      <c r="K59" s="215"/>
      <c r="L59" s="215"/>
      <c r="M59" s="215"/>
      <c r="N59" s="215"/>
      <c r="O59" s="215"/>
      <c r="S59" s="408"/>
      <c r="T59" s="408"/>
      <c r="U59" s="436"/>
      <c r="V59" s="436"/>
      <c r="W59" s="439"/>
      <c r="X59" s="408"/>
      <c r="Y59" s="408"/>
      <c r="Z59" s="408"/>
      <c r="AA59" s="408"/>
      <c r="AB59" s="408"/>
    </row>
    <row r="60" spans="6:28" x14ac:dyDescent="0.25">
      <c r="F60" s="215"/>
      <c r="G60" s="215"/>
      <c r="H60" s="215"/>
      <c r="I60" s="215"/>
      <c r="J60" s="215"/>
      <c r="K60" s="215"/>
      <c r="L60" s="215"/>
      <c r="M60" s="215"/>
      <c r="N60" s="215"/>
      <c r="O60" s="215"/>
      <c r="S60" s="408"/>
      <c r="T60" s="408"/>
      <c r="U60" s="408"/>
      <c r="V60" s="439"/>
      <c r="W60" s="439"/>
      <c r="X60" s="408"/>
      <c r="Y60" s="408"/>
      <c r="Z60" s="408"/>
      <c r="AA60" s="408"/>
      <c r="AB60" s="408"/>
    </row>
    <row r="61" spans="6:28" x14ac:dyDescent="0.25">
      <c r="F61" s="215"/>
      <c r="G61" s="215"/>
      <c r="H61" s="215"/>
      <c r="I61" s="215"/>
      <c r="J61" s="215"/>
      <c r="K61" s="215"/>
      <c r="L61" s="215"/>
      <c r="M61" s="215"/>
      <c r="N61" s="215"/>
      <c r="O61" s="215"/>
      <c r="S61" s="408"/>
      <c r="T61" s="408"/>
      <c r="U61" s="408"/>
      <c r="V61" s="439"/>
      <c r="W61" s="439"/>
      <c r="X61" s="408"/>
      <c r="Y61" s="408"/>
      <c r="Z61" s="408"/>
      <c r="AA61" s="408"/>
      <c r="AB61" s="408"/>
    </row>
    <row r="62" spans="6:28" x14ac:dyDescent="0.25">
      <c r="F62" s="215"/>
      <c r="G62" s="215"/>
      <c r="H62" s="215"/>
      <c r="I62" s="215"/>
      <c r="J62" s="215"/>
      <c r="K62" s="215"/>
      <c r="L62" s="215"/>
      <c r="M62" s="215"/>
      <c r="N62" s="215"/>
      <c r="O62" s="215"/>
      <c r="S62" s="408"/>
      <c r="T62" s="408"/>
      <c r="U62" s="408"/>
      <c r="V62" s="408"/>
      <c r="W62" s="408"/>
      <c r="X62" s="408"/>
      <c r="Y62" s="408"/>
      <c r="Z62" s="408"/>
      <c r="AA62" s="408"/>
      <c r="AB62" s="408"/>
    </row>
    <row r="63" spans="6:28" x14ac:dyDescent="0.25">
      <c r="F63" s="215"/>
      <c r="G63" s="215"/>
      <c r="H63" s="215"/>
      <c r="I63" s="215"/>
      <c r="J63" s="215"/>
      <c r="K63" s="215"/>
      <c r="L63" s="215"/>
      <c r="M63" s="215"/>
      <c r="N63" s="215"/>
      <c r="O63" s="215"/>
      <c r="S63" s="408"/>
      <c r="T63" s="408"/>
      <c r="U63" s="408"/>
      <c r="V63" s="408"/>
      <c r="W63" s="408"/>
      <c r="X63" s="408"/>
      <c r="Y63" s="408"/>
      <c r="Z63" s="408"/>
      <c r="AA63" s="408"/>
      <c r="AB63" s="408"/>
    </row>
    <row r="64" spans="6:28" x14ac:dyDescent="0.25">
      <c r="F64" s="215"/>
      <c r="G64" s="215"/>
      <c r="H64" s="215"/>
      <c r="I64" s="215"/>
      <c r="J64" s="215"/>
      <c r="K64" s="215"/>
      <c r="L64" s="215"/>
      <c r="M64" s="215"/>
      <c r="N64" s="215"/>
      <c r="O64" s="215"/>
      <c r="S64" s="408"/>
      <c r="T64" s="408"/>
      <c r="U64" s="408"/>
      <c r="V64" s="408"/>
      <c r="W64" s="408"/>
      <c r="X64" s="408"/>
      <c r="Y64" s="408"/>
      <c r="Z64" s="408"/>
      <c r="AA64" s="408"/>
      <c r="AB64" s="408"/>
    </row>
    <row r="65" spans="19:28" x14ac:dyDescent="0.25">
      <c r="S65" s="408"/>
      <c r="T65" s="408"/>
      <c r="U65" s="408"/>
      <c r="V65" s="408"/>
      <c r="W65" s="408"/>
      <c r="X65" s="408"/>
      <c r="Y65" s="408"/>
      <c r="Z65" s="408"/>
      <c r="AA65" s="408"/>
      <c r="AB65" s="408"/>
    </row>
    <row r="66" spans="19:28" x14ac:dyDescent="0.25">
      <c r="S66" s="408"/>
      <c r="T66" s="408"/>
      <c r="U66" s="408"/>
      <c r="V66" s="408"/>
      <c r="W66" s="408"/>
      <c r="X66" s="408"/>
      <c r="Y66" s="408"/>
      <c r="Z66" s="408"/>
      <c r="AA66" s="408"/>
      <c r="AB66" s="408"/>
    </row>
    <row r="67" spans="19:28" x14ac:dyDescent="0.25">
      <c r="S67" s="408"/>
      <c r="T67" s="408"/>
      <c r="U67" s="408"/>
      <c r="V67" s="408"/>
      <c r="W67" s="408"/>
      <c r="X67" s="408"/>
      <c r="Y67" s="408"/>
      <c r="Z67" s="408"/>
      <c r="AA67" s="408"/>
      <c r="AB67" s="408"/>
    </row>
    <row r="68" spans="19:28" x14ac:dyDescent="0.25">
      <c r="S68" s="408"/>
      <c r="T68" s="408"/>
      <c r="U68" s="408"/>
      <c r="V68" s="408"/>
      <c r="W68" s="408"/>
      <c r="X68" s="408"/>
      <c r="Y68" s="408"/>
      <c r="Z68" s="408"/>
      <c r="AA68" s="408"/>
      <c r="AB68" s="408"/>
    </row>
    <row r="256" spans="8:8" x14ac:dyDescent="0.25">
      <c r="H256">
        <v>1.0117164058519745</v>
      </c>
    </row>
  </sheetData>
  <mergeCells count="129">
    <mergeCell ref="B25:B32"/>
    <mergeCell ref="C25:C32"/>
    <mergeCell ref="B33:B40"/>
    <mergeCell ref="C33:C40"/>
    <mergeCell ref="F15:I15"/>
    <mergeCell ref="B3:C3"/>
    <mergeCell ref="B20:C20"/>
    <mergeCell ref="F4:G4"/>
    <mergeCell ref="L4:O4"/>
    <mergeCell ref="B19:C19"/>
    <mergeCell ref="B18:C18"/>
    <mergeCell ref="F3:S3"/>
    <mergeCell ref="F18:F19"/>
    <mergeCell ref="H19:I19"/>
    <mergeCell ref="F20:F21"/>
    <mergeCell ref="G20:G21"/>
    <mergeCell ref="H20:I20"/>
    <mergeCell ref="K18:K19"/>
    <mergeCell ref="M27:N27"/>
    <mergeCell ref="M26:N26"/>
    <mergeCell ref="M25:N25"/>
    <mergeCell ref="K20:K21"/>
    <mergeCell ref="L20:L21"/>
    <mergeCell ref="H21:I21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H4:I4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K17:N17"/>
    <mergeCell ref="G24:G25"/>
    <mergeCell ref="H18:I18"/>
    <mergeCell ref="F22:F23"/>
    <mergeCell ref="F24:F25"/>
    <mergeCell ref="F17:I17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G30:G31"/>
    <mergeCell ref="H30:I30"/>
    <mergeCell ref="H31:I31"/>
    <mergeCell ref="F32:F33"/>
    <mergeCell ref="G32:G3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R21:S22"/>
    <mergeCell ref="R23:S24"/>
    <mergeCell ref="F36:F37"/>
    <mergeCell ref="K36:K37"/>
    <mergeCell ref="B22:D22"/>
    <mergeCell ref="B23:B24"/>
    <mergeCell ref="C23:C24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  <mergeCell ref="K34:K35"/>
    <mergeCell ref="F30:F31"/>
    <mergeCell ref="L36:L37"/>
    <mergeCell ref="M36:N36"/>
  </mergeCells>
  <conditionalFormatting sqref="H19:I19">
    <cfRule type="cellIs" dxfId="97" priority="46" operator="between">
      <formula>1.05</formula>
      <formula>1000</formula>
    </cfRule>
    <cfRule type="cellIs" dxfId="96" priority="47" operator="between">
      <formula>-100</formula>
      <formula>0.95</formula>
    </cfRule>
    <cfRule type="cellIs" dxfId="95" priority="48" operator="between">
      <formula>0.95</formula>
      <formula>1.05</formula>
    </cfRule>
    <cfRule type="cellIs" dxfId="94" priority="49" operator="between">
      <formula>0.95</formula>
      <formula>1.05</formula>
    </cfRule>
  </conditionalFormatting>
  <conditionalFormatting sqref="H25:I25">
    <cfRule type="cellIs" dxfId="93" priority="43" operator="between">
      <formula>1.04</formula>
      <formula>1000</formula>
    </cfRule>
    <cfRule type="cellIs" dxfId="92" priority="44" operator="between">
      <formula>-100</formula>
      <formula>0.96</formula>
    </cfRule>
    <cfRule type="cellIs" dxfId="91" priority="45" operator="between">
      <formula>0.96</formula>
      <formula>1.04</formula>
    </cfRule>
  </conditionalFormatting>
  <conditionalFormatting sqref="G22:G23">
    <cfRule type="cellIs" dxfId="90" priority="42" operator="lessThan">
      <formula>90000</formula>
    </cfRule>
  </conditionalFormatting>
  <conditionalFormatting sqref="M19:N19">
    <cfRule type="cellIs" dxfId="89" priority="38" operator="between">
      <formula>1.05</formula>
      <formula>1000</formula>
    </cfRule>
    <cfRule type="cellIs" dxfId="88" priority="39" operator="between">
      <formula>-100</formula>
      <formula>0.95</formula>
    </cfRule>
    <cfRule type="cellIs" dxfId="87" priority="40" operator="between">
      <formula>0.95</formula>
      <formula>1.05</formula>
    </cfRule>
    <cfRule type="cellIs" dxfId="86" priority="41" operator="between">
      <formula>0.95</formula>
      <formula>1.05</formula>
    </cfRule>
  </conditionalFormatting>
  <conditionalFormatting sqref="M25:N25">
    <cfRule type="cellIs" dxfId="85" priority="35" operator="between">
      <formula>1.04</formula>
      <formula>1000</formula>
    </cfRule>
    <cfRule type="cellIs" dxfId="84" priority="36" operator="between">
      <formula>-100</formula>
      <formula>0.96</formula>
    </cfRule>
    <cfRule type="cellIs" dxfId="83" priority="37" operator="between">
      <formula>0.96</formula>
      <formula>1.04</formula>
    </cfRule>
  </conditionalFormatting>
  <conditionalFormatting sqref="L22:L23">
    <cfRule type="cellIs" dxfId="82" priority="34" operator="lessThan">
      <formula>90000</formula>
    </cfRule>
  </conditionalFormatting>
  <conditionalFormatting sqref="D24">
    <cfRule type="expression" dxfId="81" priority="28">
      <formula>IF($C$23="No",TRUE,FALSE)</formula>
    </cfRule>
    <cfRule type="expression" dxfId="80" priority="29">
      <formula>"C23=No"</formula>
    </cfRule>
  </conditionalFormatting>
  <conditionalFormatting sqref="R23:S24">
    <cfRule type="expression" dxfId="79" priority="17">
      <formula>AND(R23="Calculando...",R23="Calculando...")</formula>
    </cfRule>
    <cfRule type="expression" dxfId="78" priority="18">
      <formula>AND(R23="Carregando script...",R23="Carregando script...")</formula>
    </cfRule>
    <cfRule type="cellIs" dxfId="77" priority="19" operator="equal">
      <formula>"Carregando bibliotecas..."</formula>
    </cfRule>
    <cfRule type="cellIs" dxfId="76" priority="20" operator="equal">
      <formula>"ERRO!"</formula>
    </cfRule>
    <cfRule type="expression" dxfId="75" priority="21">
      <formula>AND(R23="Calculado",R23="Calculado")</formula>
    </cfRule>
  </conditionalFormatting>
  <dataValidations count="4">
    <dataValidation type="list" allowBlank="1" showInputMessage="1" showErrorMessage="1" sqref="C23 C25 C33" xr:uid="{00000000-0002-0000-0100-000000000000}">
      <formula1>"Yes,No"</formula1>
    </dataValidation>
    <dataValidation type="list" allowBlank="1" showInputMessage="1" showErrorMessage="1" sqref="G6 G14" xr:uid="{A1FBD0FB-CFF7-4054-AF38-E8FF31367B14}">
      <formula1>Vazão_mássica</formula1>
    </dataValidation>
    <dataValidation type="list" allowBlank="1" showInputMessage="1" showErrorMessage="1" sqref="I6 I14" xr:uid="{7A061343-13F3-49AE-A5D7-B45EF674E0D7}">
      <formula1>Vazão_vol.</formula1>
    </dataValidation>
    <dataValidation type="list" allowBlank="1" showInputMessage="1" showErrorMessage="1" sqref="M6 Q6 M14 Q14" xr:uid="{4912FB6B-4B4A-46CC-8775-CC62782A19C0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123825</xdr:colOff>
                    <xdr:row>17</xdr:row>
                    <xdr:rowOff>152400</xdr:rowOff>
                  </from>
                  <to>
                    <xdr:col>18</xdr:col>
                    <xdr:colOff>447675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7BF33-01B1-425B-8F65-63F0A19C876F}">
          <x14:formula1>
            <xm:f>auxiliar!$I$3:$I$5</xm:f>
          </x14:formula1>
          <xm:sqref>O6 S6 O14 S14</xm:sqref>
        </x14:dataValidation>
        <x14:dataValidation type="list" allowBlank="1" showInputMessage="1" showErrorMessage="1" xr:uid="{EC0EC1FB-D5F4-4A89-BF86-0DAAB034A262}">
          <x14:formula1>
            <xm:f>auxiliar!$B$3:$B$4</xm:f>
          </x14:formula1>
          <xm:sqref>K6 K14</xm:sqref>
        </x14:dataValidation>
        <x14:dataValidation type="list" allowBlank="1" showInputMessage="1" showErrorMessage="1" xr:uid="{1C3714A8-E2CD-41F8-922D-6BAFCE9430E2}">
          <x14:formula1>
            <xm:f>auxiliar!$K$3:$K$34</xm:f>
          </x14:formula1>
          <xm:sqref>B4:B20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N60"/>
  <sheetViews>
    <sheetView showGridLines="0" tabSelected="1" zoomScale="70" zoomScaleNormal="70" workbookViewId="0">
      <selection activeCell="AF20" sqref="AF20"/>
    </sheetView>
  </sheetViews>
  <sheetFormatPr defaultRowHeight="15" x14ac:dyDescent="0.25"/>
  <cols>
    <col min="1" max="1" width="7" customWidth="1"/>
    <col min="2" max="2" width="16.28515625" customWidth="1"/>
    <col min="4" max="4" width="27.85546875" customWidth="1"/>
    <col min="5" max="5" width="7.140625" customWidth="1"/>
    <col min="6" max="40" width="11.28515625" customWidth="1"/>
  </cols>
  <sheetData>
    <row r="1" spans="1:40" x14ac:dyDescent="0.25">
      <c r="A1" s="407"/>
      <c r="B1" s="408"/>
      <c r="C1" s="408"/>
      <c r="D1" s="408"/>
    </row>
    <row r="2" spans="1:40" ht="15.75" thickBot="1" x14ac:dyDescent="0.3">
      <c r="A2" s="408"/>
      <c r="B2" s="409"/>
      <c r="C2" s="409"/>
      <c r="D2" s="410"/>
    </row>
    <row r="3" spans="1:40" ht="13.5" customHeight="1" thickBot="1" x14ac:dyDescent="0.3">
      <c r="A3" s="408"/>
      <c r="B3" s="403" t="s">
        <v>351</v>
      </c>
      <c r="C3" s="404"/>
      <c r="D3" s="405"/>
      <c r="F3" s="723" t="s">
        <v>386</v>
      </c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2"/>
      <c r="X3" s="724" t="s">
        <v>507</v>
      </c>
      <c r="Y3" s="726" t="s">
        <v>508</v>
      </c>
      <c r="Z3" s="460"/>
      <c r="AA3" s="432"/>
      <c r="AD3" s="719" t="s">
        <v>483</v>
      </c>
      <c r="AE3" s="720"/>
      <c r="AF3" s="720"/>
      <c r="AG3" s="720"/>
      <c r="AH3" s="720"/>
      <c r="AI3" s="720"/>
      <c r="AJ3" s="720"/>
      <c r="AK3" s="720"/>
      <c r="AL3" s="720"/>
      <c r="AM3" s="721"/>
      <c r="AN3" s="722"/>
    </row>
    <row r="4" spans="1:40" ht="14.65" customHeight="1" thickBot="1" x14ac:dyDescent="0.3">
      <c r="A4" s="408"/>
      <c r="B4" s="686" t="s">
        <v>352</v>
      </c>
      <c r="C4" s="689" t="s">
        <v>353</v>
      </c>
      <c r="D4" s="429" t="s">
        <v>482</v>
      </c>
      <c r="F4" s="317"/>
      <c r="G4" s="321" t="s">
        <v>298</v>
      </c>
      <c r="H4" s="321">
        <v>3774</v>
      </c>
      <c r="I4" s="321" t="s">
        <v>300</v>
      </c>
      <c r="J4" s="321"/>
      <c r="K4" s="321"/>
      <c r="L4" s="320"/>
      <c r="M4" s="330"/>
      <c r="N4" s="321"/>
      <c r="O4" s="331"/>
      <c r="P4" s="330"/>
      <c r="Q4" s="330"/>
      <c r="R4" s="320"/>
      <c r="S4" s="400"/>
      <c r="T4" s="440"/>
      <c r="U4" s="400"/>
      <c r="V4" s="440"/>
      <c r="W4" s="400"/>
      <c r="X4" s="725"/>
      <c r="Y4" s="727"/>
      <c r="Z4" s="461"/>
      <c r="AA4" s="432"/>
      <c r="AD4" s="454"/>
      <c r="AE4" s="321" t="s">
        <v>298</v>
      </c>
      <c r="AF4" s="321">
        <v>3774</v>
      </c>
      <c r="AG4" s="321" t="s">
        <v>300</v>
      </c>
      <c r="AH4" s="321"/>
      <c r="AI4" s="321"/>
      <c r="AJ4" s="320"/>
      <c r="AK4" s="455"/>
      <c r="AL4" s="456"/>
      <c r="AM4" s="453"/>
      <c r="AN4" s="400"/>
    </row>
    <row r="5" spans="1:40" x14ac:dyDescent="0.25">
      <c r="A5" s="408"/>
      <c r="B5" s="687"/>
      <c r="C5" s="690"/>
      <c r="D5" s="430">
        <v>0.01</v>
      </c>
      <c r="F5" s="317"/>
      <c r="G5" s="463" t="s">
        <v>377</v>
      </c>
      <c r="H5" s="319" t="s">
        <v>376</v>
      </c>
      <c r="I5" s="319" t="s">
        <v>375</v>
      </c>
      <c r="J5" s="319" t="s">
        <v>374</v>
      </c>
      <c r="K5" s="319" t="s">
        <v>373</v>
      </c>
      <c r="L5" s="319" t="s">
        <v>372</v>
      </c>
      <c r="M5" s="319" t="s">
        <v>416</v>
      </c>
      <c r="N5" s="319" t="s">
        <v>418</v>
      </c>
      <c r="O5" s="319" t="s">
        <v>415</v>
      </c>
      <c r="P5" s="319" t="s">
        <v>423</v>
      </c>
      <c r="Q5" s="319" t="s">
        <v>422</v>
      </c>
      <c r="R5" s="319" t="s">
        <v>425</v>
      </c>
      <c r="S5" s="319" t="s">
        <v>427</v>
      </c>
      <c r="T5" s="319" t="s">
        <v>426</v>
      </c>
      <c r="U5" s="319" t="s">
        <v>417</v>
      </c>
      <c r="V5" s="706" t="s">
        <v>419</v>
      </c>
      <c r="W5" s="318" t="s">
        <v>298</v>
      </c>
      <c r="X5" s="408"/>
      <c r="Y5" s="408"/>
      <c r="Z5" s="408"/>
      <c r="AA5" s="432"/>
      <c r="AD5" s="317"/>
      <c r="AE5" s="467" t="s">
        <v>377</v>
      </c>
      <c r="AF5" s="319" t="s">
        <v>376</v>
      </c>
      <c r="AG5" s="319" t="s">
        <v>375</v>
      </c>
      <c r="AH5" s="319" t="s">
        <v>374</v>
      </c>
      <c r="AI5" s="319" t="s">
        <v>373</v>
      </c>
      <c r="AJ5" s="319" t="s">
        <v>372</v>
      </c>
      <c r="AK5" s="319" t="s">
        <v>415</v>
      </c>
      <c r="AL5" s="319" t="s">
        <v>416</v>
      </c>
      <c r="AM5" s="706" t="s">
        <v>419</v>
      </c>
      <c r="AN5" s="318" t="s">
        <v>298</v>
      </c>
    </row>
    <row r="6" spans="1:40" ht="26.1" customHeight="1" x14ac:dyDescent="0.25">
      <c r="A6" s="408"/>
      <c r="B6" s="687"/>
      <c r="C6" s="690"/>
      <c r="D6" s="429" t="s">
        <v>481</v>
      </c>
      <c r="F6" s="317"/>
      <c r="G6" s="227" t="s">
        <v>446</v>
      </c>
      <c r="H6" s="229" t="s">
        <v>309</v>
      </c>
      <c r="I6" s="229" t="s">
        <v>444</v>
      </c>
      <c r="J6" s="229" t="s">
        <v>450</v>
      </c>
      <c r="K6" s="229" t="s">
        <v>444</v>
      </c>
      <c r="L6" s="229" t="s">
        <v>450</v>
      </c>
      <c r="M6" s="229" t="s">
        <v>446</v>
      </c>
      <c r="N6" s="229" t="s">
        <v>450</v>
      </c>
      <c r="O6" s="229" t="s">
        <v>446</v>
      </c>
      <c r="P6" s="229" t="s">
        <v>444</v>
      </c>
      <c r="Q6" s="229" t="s">
        <v>450</v>
      </c>
      <c r="R6" s="229" t="s">
        <v>299</v>
      </c>
      <c r="S6" s="229" t="s">
        <v>444</v>
      </c>
      <c r="T6" s="229" t="s">
        <v>450</v>
      </c>
      <c r="U6" s="229" t="s">
        <v>446</v>
      </c>
      <c r="V6" s="707"/>
      <c r="W6" s="228" t="s">
        <v>300</v>
      </c>
      <c r="X6" s="408"/>
      <c r="Y6" s="408"/>
      <c r="Z6" s="408"/>
      <c r="AA6" s="432"/>
      <c r="AD6" s="317"/>
      <c r="AE6" s="227" t="s">
        <v>446</v>
      </c>
      <c r="AF6" s="229" t="s">
        <v>309</v>
      </c>
      <c r="AG6" s="229" t="s">
        <v>444</v>
      </c>
      <c r="AH6" s="229" t="s">
        <v>450</v>
      </c>
      <c r="AI6" s="229" t="s">
        <v>444</v>
      </c>
      <c r="AJ6" s="229" t="s">
        <v>450</v>
      </c>
      <c r="AK6" s="229" t="s">
        <v>446</v>
      </c>
      <c r="AL6" s="229" t="s">
        <v>446</v>
      </c>
      <c r="AM6" s="707"/>
      <c r="AN6" s="228" t="s">
        <v>300</v>
      </c>
    </row>
    <row r="7" spans="1:40" ht="14.45" customHeight="1" x14ac:dyDescent="0.25">
      <c r="A7" s="408"/>
      <c r="B7" s="688"/>
      <c r="C7" s="691"/>
      <c r="D7" s="430">
        <v>0.01</v>
      </c>
      <c r="F7" s="451">
        <v>1</v>
      </c>
      <c r="G7" s="316">
        <v>3.2770000000000001</v>
      </c>
      <c r="H7" s="316">
        <v>1298.3249050526144</v>
      </c>
      <c r="I7" s="489">
        <v>5.0380000000000003</v>
      </c>
      <c r="J7" s="489">
        <v>300.89999999999998</v>
      </c>
      <c r="K7" s="489">
        <v>15.04</v>
      </c>
      <c r="L7" s="489">
        <v>404.3</v>
      </c>
      <c r="M7" s="489">
        <v>6.1429999999999998E-2</v>
      </c>
      <c r="N7" s="489">
        <v>301</v>
      </c>
      <c r="O7" s="489"/>
      <c r="P7" s="489">
        <v>14.6</v>
      </c>
      <c r="Q7" s="489">
        <v>304.8</v>
      </c>
      <c r="R7" s="316"/>
      <c r="S7" s="489">
        <v>26.27</v>
      </c>
      <c r="T7" s="489">
        <v>363.7</v>
      </c>
      <c r="U7" s="316"/>
      <c r="V7" s="457">
        <v>1</v>
      </c>
      <c r="W7" s="398">
        <v>9123</v>
      </c>
      <c r="X7" s="408"/>
      <c r="Z7" s="714" t="s">
        <v>388</v>
      </c>
      <c r="AA7" s="714"/>
      <c r="AD7" s="451">
        <v>1</v>
      </c>
      <c r="AE7" s="491">
        <v>2.0750000000000002</v>
      </c>
      <c r="AF7" s="490">
        <v>322.50646315060561</v>
      </c>
      <c r="AG7" s="503">
        <v>12.52</v>
      </c>
      <c r="AH7" s="503">
        <v>304.5</v>
      </c>
      <c r="AI7" s="503">
        <v>18.88</v>
      </c>
      <c r="AJ7" s="503">
        <v>346.4</v>
      </c>
      <c r="AK7" s="493">
        <v>0.1211</v>
      </c>
      <c r="AL7" s="493">
        <v>6.0330000000000002E-2</v>
      </c>
      <c r="AM7" s="495">
        <v>1</v>
      </c>
      <c r="AN7" s="504">
        <v>7399</v>
      </c>
    </row>
    <row r="8" spans="1:40" ht="14.45" customHeight="1" x14ac:dyDescent="0.25">
      <c r="A8" s="408"/>
      <c r="B8" s="686" t="s">
        <v>355</v>
      </c>
      <c r="C8" s="689" t="s">
        <v>353</v>
      </c>
      <c r="D8" s="429" t="s">
        <v>475</v>
      </c>
      <c r="F8" s="451">
        <v>2</v>
      </c>
      <c r="G8" s="316">
        <v>3.8879999999999999</v>
      </c>
      <c r="H8" s="316">
        <v>1500.3234856434028</v>
      </c>
      <c r="I8" s="489">
        <v>5.16</v>
      </c>
      <c r="J8" s="489">
        <v>300.39999999999998</v>
      </c>
      <c r="K8" s="489">
        <v>15.07</v>
      </c>
      <c r="L8" s="489">
        <v>400.2</v>
      </c>
      <c r="M8" s="489">
        <v>6.0990000000000003E-2</v>
      </c>
      <c r="N8" s="489">
        <v>300.60000000000002</v>
      </c>
      <c r="O8" s="489"/>
      <c r="P8" s="489">
        <v>14.66</v>
      </c>
      <c r="Q8" s="489">
        <v>304.60000000000002</v>
      </c>
      <c r="R8" s="316"/>
      <c r="S8" s="489">
        <v>25.99</v>
      </c>
      <c r="T8" s="489">
        <v>361.8</v>
      </c>
      <c r="U8" s="316"/>
      <c r="V8" s="457">
        <v>1</v>
      </c>
      <c r="W8" s="398">
        <v>9071</v>
      </c>
      <c r="X8" s="432"/>
      <c r="Z8" s="714"/>
      <c r="AA8" s="714"/>
      <c r="AD8" s="451">
        <v>2</v>
      </c>
      <c r="AE8" s="491">
        <v>2.5870000000000002</v>
      </c>
      <c r="AF8" s="490">
        <v>404.15010232575912</v>
      </c>
      <c r="AG8" s="503">
        <v>12.46</v>
      </c>
      <c r="AH8" s="503">
        <v>304.5</v>
      </c>
      <c r="AI8" s="503">
        <v>18.600000000000001</v>
      </c>
      <c r="AJ8" s="503">
        <v>344.1</v>
      </c>
      <c r="AK8" s="493">
        <v>0.1171</v>
      </c>
      <c r="AL8" s="493">
        <v>5.892E-2</v>
      </c>
      <c r="AM8" s="495">
        <v>1</v>
      </c>
      <c r="AN8" s="504">
        <v>7449</v>
      </c>
    </row>
    <row r="9" spans="1:40" ht="14.45" customHeight="1" x14ac:dyDescent="0.25">
      <c r="A9" s="408"/>
      <c r="B9" s="687"/>
      <c r="C9" s="690"/>
      <c r="D9" s="396">
        <v>5.5</v>
      </c>
      <c r="F9" s="451">
        <v>3</v>
      </c>
      <c r="G9" s="316">
        <v>4.3250000000000002</v>
      </c>
      <c r="H9" s="316">
        <v>1656.2596135997619</v>
      </c>
      <c r="I9" s="489">
        <v>5.1820000000000004</v>
      </c>
      <c r="J9" s="489">
        <v>299.5</v>
      </c>
      <c r="K9" s="489">
        <v>14.95</v>
      </c>
      <c r="L9" s="489">
        <v>397.6</v>
      </c>
      <c r="M9" s="489">
        <v>6.1600000000000002E-2</v>
      </c>
      <c r="N9" s="489">
        <v>299.7</v>
      </c>
      <c r="O9" s="489">
        <v>0.16250000000000001</v>
      </c>
      <c r="P9" s="489">
        <v>14.59</v>
      </c>
      <c r="Q9" s="489">
        <v>304.3</v>
      </c>
      <c r="R9" s="316"/>
      <c r="S9" s="489">
        <v>26.15</v>
      </c>
      <c r="T9" s="489">
        <v>362.5</v>
      </c>
      <c r="U9" s="490">
        <v>4.8059000000000003</v>
      </c>
      <c r="V9" s="457">
        <v>1</v>
      </c>
      <c r="W9" s="398">
        <v>9096</v>
      </c>
      <c r="Z9" s="715" t="s">
        <v>509</v>
      </c>
      <c r="AA9" s="715"/>
      <c r="AD9" s="451">
        <v>3</v>
      </c>
      <c r="AE9" s="491">
        <v>3.3600000000000003</v>
      </c>
      <c r="AF9" s="490">
        <v>517.60232309050093</v>
      </c>
      <c r="AG9" s="503">
        <v>12.62</v>
      </c>
      <c r="AH9" s="503">
        <v>304.39999999999998</v>
      </c>
      <c r="AI9" s="503">
        <v>18.149999999999999</v>
      </c>
      <c r="AJ9" s="503">
        <v>339.9</v>
      </c>
      <c r="AK9" s="493">
        <v>0.1222</v>
      </c>
      <c r="AL9" s="493">
        <v>7.4120000000000005E-2</v>
      </c>
      <c r="AM9" s="495">
        <v>1</v>
      </c>
      <c r="AN9" s="504">
        <v>7412</v>
      </c>
    </row>
    <row r="10" spans="1:40" ht="14.45" customHeight="1" x14ac:dyDescent="0.25">
      <c r="A10" s="408"/>
      <c r="B10" s="687"/>
      <c r="C10" s="690"/>
      <c r="D10" s="431" t="s">
        <v>476</v>
      </c>
      <c r="F10" s="451">
        <v>4</v>
      </c>
      <c r="G10" s="316">
        <v>5.7240000000000002</v>
      </c>
      <c r="H10" s="316">
        <v>2021.0086305580305</v>
      </c>
      <c r="I10" s="489">
        <v>5.5919999999999996</v>
      </c>
      <c r="J10" s="489">
        <v>298.7</v>
      </c>
      <c r="K10" s="489">
        <v>14.78</v>
      </c>
      <c r="L10" s="489">
        <v>389.8</v>
      </c>
      <c r="M10" s="489">
        <v>5.9420000000000001E-2</v>
      </c>
      <c r="N10" s="489">
        <v>299.10000000000002</v>
      </c>
      <c r="O10" s="489"/>
      <c r="P10" s="489">
        <v>14.27</v>
      </c>
      <c r="Q10" s="489">
        <v>304.10000000000002</v>
      </c>
      <c r="R10" s="316"/>
      <c r="S10" s="489">
        <v>25.43</v>
      </c>
      <c r="T10" s="489">
        <v>363.7</v>
      </c>
      <c r="U10" s="316"/>
      <c r="V10" s="457">
        <v>1</v>
      </c>
      <c r="W10" s="398">
        <v>9057</v>
      </c>
      <c r="Z10" s="715"/>
      <c r="AA10" s="715"/>
      <c r="AD10" s="451">
        <v>4</v>
      </c>
      <c r="AE10" s="491">
        <v>4.1050000000000004</v>
      </c>
      <c r="AF10" s="490">
        <v>628.89756230742455</v>
      </c>
      <c r="AG10" s="503">
        <v>12.69</v>
      </c>
      <c r="AH10" s="503">
        <v>304.5</v>
      </c>
      <c r="AI10" s="503">
        <v>16.78</v>
      </c>
      <c r="AJ10" s="503">
        <v>333.3</v>
      </c>
      <c r="AK10" s="493">
        <v>0.1079</v>
      </c>
      <c r="AL10" s="493">
        <v>6.6919999999999993E-2</v>
      </c>
      <c r="AM10" s="495">
        <v>1</v>
      </c>
      <c r="AN10" s="504">
        <v>7330</v>
      </c>
    </row>
    <row r="11" spans="1:40" ht="15" customHeight="1" x14ac:dyDescent="0.25">
      <c r="A11" s="408"/>
      <c r="B11" s="687"/>
      <c r="C11" s="690"/>
      <c r="D11" s="396">
        <v>23.895</v>
      </c>
      <c r="F11" s="451">
        <v>5</v>
      </c>
      <c r="G11" s="316">
        <v>8.7159999999999993</v>
      </c>
      <c r="H11" s="316">
        <v>2412.1921181545522</v>
      </c>
      <c r="I11" s="489">
        <v>7.0830000000000002</v>
      </c>
      <c r="J11" s="489">
        <v>298.89999999999998</v>
      </c>
      <c r="K11" s="489">
        <v>14.16</v>
      </c>
      <c r="L11" s="489">
        <v>377.1</v>
      </c>
      <c r="M11" s="489">
        <v>6.5040000000000001E-2</v>
      </c>
      <c r="N11" s="489">
        <v>299.5</v>
      </c>
      <c r="O11" s="489"/>
      <c r="P11" s="489">
        <v>13.1</v>
      </c>
      <c r="Q11" s="489">
        <v>303.5</v>
      </c>
      <c r="R11" s="316"/>
      <c r="S11" s="489">
        <v>23.13</v>
      </c>
      <c r="T11" s="489">
        <v>361.8</v>
      </c>
      <c r="U11" s="316"/>
      <c r="V11" s="457">
        <v>1</v>
      </c>
      <c r="W11" s="398">
        <v>9024</v>
      </c>
      <c r="AD11" s="451">
        <v>5</v>
      </c>
      <c r="AE11" s="491">
        <v>4.9270000000000005</v>
      </c>
      <c r="AF11" s="490">
        <v>730.77650011542562</v>
      </c>
      <c r="AG11" s="503">
        <v>13.11</v>
      </c>
      <c r="AH11" s="503">
        <v>305.10000000000002</v>
      </c>
      <c r="AI11" s="503">
        <v>16.309999999999999</v>
      </c>
      <c r="AJ11" s="503">
        <v>335.1</v>
      </c>
      <c r="AK11" s="493">
        <v>0.1066</v>
      </c>
      <c r="AL11" s="493">
        <v>6.3670000000000004E-2</v>
      </c>
      <c r="AM11" s="495">
        <v>1</v>
      </c>
      <c r="AN11" s="504">
        <v>7739</v>
      </c>
    </row>
    <row r="12" spans="1:40" ht="14.65" customHeight="1" x14ac:dyDescent="0.25">
      <c r="A12" s="408"/>
      <c r="B12" s="687"/>
      <c r="C12" s="690"/>
      <c r="D12" s="431" t="s">
        <v>477</v>
      </c>
      <c r="F12" s="451">
        <v>6</v>
      </c>
      <c r="G12" s="458"/>
      <c r="H12" s="316"/>
      <c r="I12" s="315"/>
      <c r="J12" s="315"/>
      <c r="K12" s="315"/>
      <c r="L12" s="315"/>
      <c r="M12" s="394"/>
      <c r="N12" s="397"/>
      <c r="O12" s="394"/>
      <c r="P12" s="315"/>
      <c r="Q12" s="315"/>
      <c r="R12" s="316"/>
      <c r="S12" s="315"/>
      <c r="T12" s="315"/>
      <c r="U12" s="316"/>
      <c r="V12" s="457"/>
      <c r="W12" s="398"/>
      <c r="AD12" s="451">
        <v>6</v>
      </c>
      <c r="AE12" s="502"/>
      <c r="AF12" s="490"/>
      <c r="AG12" s="494"/>
      <c r="AH12" s="494"/>
      <c r="AI12" s="494"/>
      <c r="AJ12" s="494"/>
      <c r="AK12" s="493"/>
      <c r="AL12" s="493"/>
      <c r="AM12" s="495"/>
      <c r="AN12" s="496"/>
    </row>
    <row r="13" spans="1:40" x14ac:dyDescent="0.25">
      <c r="A13" s="408"/>
      <c r="B13" s="687"/>
      <c r="C13" s="690"/>
      <c r="D13" s="396">
        <v>0</v>
      </c>
      <c r="F13" s="451">
        <v>7</v>
      </c>
      <c r="G13" s="458"/>
      <c r="H13" s="316"/>
      <c r="I13" s="315"/>
      <c r="J13" s="315"/>
      <c r="K13" s="315"/>
      <c r="L13" s="315"/>
      <c r="M13" s="394"/>
      <c r="N13" s="397"/>
      <c r="O13" s="394"/>
      <c r="P13" s="315"/>
      <c r="Q13" s="315"/>
      <c r="R13" s="316"/>
      <c r="S13" s="315"/>
      <c r="T13" s="315"/>
      <c r="U13" s="316"/>
      <c r="V13" s="457"/>
      <c r="W13" s="398"/>
      <c r="Z13" s="462"/>
      <c r="AD13" s="451">
        <v>7</v>
      </c>
      <c r="AE13" s="491"/>
      <c r="AF13" s="490"/>
      <c r="AG13" s="494"/>
      <c r="AH13" s="494"/>
      <c r="AI13" s="494"/>
      <c r="AJ13" s="494"/>
      <c r="AK13" s="493"/>
      <c r="AL13" s="493"/>
      <c r="AM13" s="495"/>
      <c r="AN13" s="496"/>
    </row>
    <row r="14" spans="1:40" x14ac:dyDescent="0.25">
      <c r="A14" s="408"/>
      <c r="B14" s="687"/>
      <c r="C14" s="690"/>
      <c r="D14" s="431" t="s">
        <v>478</v>
      </c>
      <c r="F14" s="451">
        <v>8</v>
      </c>
      <c r="G14" s="458"/>
      <c r="H14" s="316"/>
      <c r="I14" s="315"/>
      <c r="J14" s="315"/>
      <c r="K14" s="315"/>
      <c r="L14" s="315"/>
      <c r="M14" s="394"/>
      <c r="N14" s="397"/>
      <c r="O14" s="394"/>
      <c r="P14" s="315"/>
      <c r="Q14" s="315"/>
      <c r="R14" s="316"/>
      <c r="S14" s="315"/>
      <c r="T14" s="315"/>
      <c r="U14" s="316"/>
      <c r="V14" s="457"/>
      <c r="W14" s="398"/>
      <c r="AD14" s="451">
        <v>8</v>
      </c>
      <c r="AE14" s="491"/>
      <c r="AF14" s="490"/>
      <c r="AG14" s="494"/>
      <c r="AH14" s="494"/>
      <c r="AI14" s="494"/>
      <c r="AJ14" s="494"/>
      <c r="AK14" s="493"/>
      <c r="AL14" s="493"/>
      <c r="AM14" s="495"/>
      <c r="AN14" s="496"/>
    </row>
    <row r="15" spans="1:40" x14ac:dyDescent="0.25">
      <c r="A15" s="408"/>
      <c r="B15" s="688"/>
      <c r="C15" s="691"/>
      <c r="D15" s="396">
        <v>13.6</v>
      </c>
      <c r="F15" s="451">
        <v>9</v>
      </c>
      <c r="G15" s="458"/>
      <c r="H15" s="316"/>
      <c r="I15" s="315"/>
      <c r="J15" s="315"/>
      <c r="K15" s="315"/>
      <c r="L15" s="315"/>
      <c r="M15" s="394"/>
      <c r="N15" s="397"/>
      <c r="O15" s="394"/>
      <c r="P15" s="315"/>
      <c r="Q15" s="315"/>
      <c r="R15" s="316"/>
      <c r="S15" s="315"/>
      <c r="T15" s="315"/>
      <c r="U15" s="316"/>
      <c r="V15" s="457"/>
      <c r="W15" s="398"/>
      <c r="AD15" s="451">
        <v>9</v>
      </c>
      <c r="AE15" s="491"/>
      <c r="AF15" s="490"/>
      <c r="AG15" s="494"/>
      <c r="AH15" s="494"/>
      <c r="AI15" s="494"/>
      <c r="AJ15" s="494"/>
      <c r="AK15" s="493"/>
      <c r="AL15" s="493"/>
      <c r="AM15" s="495"/>
      <c r="AN15" s="496"/>
    </row>
    <row r="16" spans="1:40" ht="15.75" thickBot="1" x14ac:dyDescent="0.3">
      <c r="A16" s="408"/>
      <c r="B16" s="692" t="s">
        <v>356</v>
      </c>
      <c r="C16" s="693" t="s">
        <v>353</v>
      </c>
      <c r="D16" s="429" t="s">
        <v>475</v>
      </c>
      <c r="F16" s="452">
        <v>10</v>
      </c>
      <c r="G16" s="219"/>
      <c r="H16" s="314"/>
      <c r="I16" s="222"/>
      <c r="J16" s="222"/>
      <c r="K16" s="222"/>
      <c r="L16" s="222"/>
      <c r="M16" s="395"/>
      <c r="N16" s="464"/>
      <c r="O16" s="395"/>
      <c r="P16" s="222"/>
      <c r="Q16" s="222"/>
      <c r="R16" s="314"/>
      <c r="S16" s="222"/>
      <c r="T16" s="222"/>
      <c r="U16" s="314"/>
      <c r="V16" s="459"/>
      <c r="W16" s="399"/>
      <c r="AD16" s="452">
        <v>10</v>
      </c>
      <c r="AE16" s="492"/>
      <c r="AF16" s="497"/>
      <c r="AG16" s="498"/>
      <c r="AH16" s="498"/>
      <c r="AI16" s="498"/>
      <c r="AJ16" s="498"/>
      <c r="AK16" s="499"/>
      <c r="AL16" s="499"/>
      <c r="AM16" s="500"/>
      <c r="AN16" s="501"/>
    </row>
    <row r="17" spans="1:29" x14ac:dyDescent="0.25">
      <c r="A17" s="408"/>
      <c r="B17" s="692"/>
      <c r="C17" s="693"/>
      <c r="D17" s="396">
        <v>5.5</v>
      </c>
    </row>
    <row r="18" spans="1:29" ht="16.5" customHeight="1" thickBot="1" x14ac:dyDescent="0.3">
      <c r="A18" s="408"/>
      <c r="B18" s="692"/>
      <c r="C18" s="693"/>
      <c r="D18" s="431" t="s">
        <v>476</v>
      </c>
    </row>
    <row r="19" spans="1:29" ht="15.75" thickBot="1" x14ac:dyDescent="0.3">
      <c r="A19" s="408"/>
      <c r="B19" s="692"/>
      <c r="C19" s="693"/>
      <c r="D19" s="396">
        <v>17.97</v>
      </c>
      <c r="F19" s="648" t="s">
        <v>385</v>
      </c>
      <c r="G19" s="678"/>
      <c r="H19" s="678"/>
      <c r="I19" s="678"/>
      <c r="J19" s="678"/>
      <c r="K19" s="678"/>
      <c r="L19" s="678"/>
      <c r="M19" s="678"/>
      <c r="N19" s="678"/>
      <c r="O19" s="678"/>
      <c r="P19" s="678"/>
      <c r="Q19" s="678"/>
      <c r="R19" s="678"/>
      <c r="S19" s="678"/>
      <c r="T19" s="678"/>
      <c r="U19" s="678"/>
      <c r="V19" s="678"/>
      <c r="W19" s="678"/>
      <c r="X19" s="678"/>
      <c r="Y19" s="678"/>
      <c r="Z19" s="678"/>
      <c r="AA19" s="678"/>
      <c r="AB19" s="678"/>
      <c r="AC19" s="626"/>
    </row>
    <row r="20" spans="1:29" ht="14.65" customHeight="1" thickBot="1" x14ac:dyDescent="0.3">
      <c r="A20" s="408"/>
      <c r="B20" s="692"/>
      <c r="C20" s="693"/>
      <c r="D20" s="431" t="s">
        <v>477</v>
      </c>
      <c r="F20" s="313"/>
      <c r="G20" s="711" t="s">
        <v>311</v>
      </c>
      <c r="H20" s="712"/>
      <c r="I20" s="713" t="s">
        <v>303</v>
      </c>
      <c r="J20" s="712"/>
      <c r="K20" s="710" t="s">
        <v>304</v>
      </c>
      <c r="L20" s="709"/>
      <c r="M20" s="710" t="s">
        <v>313</v>
      </c>
      <c r="N20" s="710"/>
      <c r="O20" s="708" t="s">
        <v>396</v>
      </c>
      <c r="P20" s="709"/>
      <c r="Q20" s="710" t="s">
        <v>333</v>
      </c>
      <c r="R20" s="710"/>
      <c r="S20" s="708" t="s">
        <v>335</v>
      </c>
      <c r="T20" s="709"/>
      <c r="U20" s="708" t="s">
        <v>371</v>
      </c>
      <c r="V20" s="709"/>
      <c r="W20" s="710" t="s">
        <v>315</v>
      </c>
      <c r="X20" s="710"/>
      <c r="Y20" s="708" t="s">
        <v>337</v>
      </c>
      <c r="Z20" s="709"/>
      <c r="AA20" s="710" t="s">
        <v>370</v>
      </c>
      <c r="AB20" s="709"/>
      <c r="AC20" s="472" t="s">
        <v>510</v>
      </c>
    </row>
    <row r="21" spans="1:29" ht="34.5" customHeight="1" thickBot="1" x14ac:dyDescent="0.3">
      <c r="B21" s="692"/>
      <c r="C21" s="693"/>
      <c r="D21" s="396">
        <v>0</v>
      </c>
      <c r="F21" s="312"/>
      <c r="G21" s="305" t="s">
        <v>305</v>
      </c>
      <c r="H21" s="310" t="s">
        <v>308</v>
      </c>
      <c r="I21" s="307" t="s">
        <v>369</v>
      </c>
      <c r="J21" s="310" t="s">
        <v>368</v>
      </c>
      <c r="K21" s="311" t="s">
        <v>367</v>
      </c>
      <c r="L21" s="303" t="s">
        <v>314</v>
      </c>
      <c r="M21" s="305" t="s">
        <v>366</v>
      </c>
      <c r="N21" s="309" t="s">
        <v>327</v>
      </c>
      <c r="O21" s="305" t="s">
        <v>397</v>
      </c>
      <c r="P21" s="308" t="s">
        <v>398</v>
      </c>
      <c r="Q21" s="307" t="s">
        <v>365</v>
      </c>
      <c r="R21" s="309" t="s">
        <v>334</v>
      </c>
      <c r="S21" s="305" t="s">
        <v>364</v>
      </c>
      <c r="T21" s="303" t="s">
        <v>336</v>
      </c>
      <c r="U21" s="305" t="s">
        <v>363</v>
      </c>
      <c r="V21" s="308" t="s">
        <v>362</v>
      </c>
      <c r="W21" s="307" t="s">
        <v>361</v>
      </c>
      <c r="X21" s="306" t="s">
        <v>317</v>
      </c>
      <c r="Y21" s="305" t="s">
        <v>360</v>
      </c>
      <c r="Z21" s="303" t="s">
        <v>338</v>
      </c>
      <c r="AA21" s="304" t="s">
        <v>359</v>
      </c>
      <c r="AB21" s="303" t="s">
        <v>357</v>
      </c>
      <c r="AC21" s="473" t="s">
        <v>511</v>
      </c>
    </row>
    <row r="22" spans="1:29" x14ac:dyDescent="0.25">
      <c r="B22" s="692"/>
      <c r="C22" s="693"/>
      <c r="D22" s="431" t="s">
        <v>478</v>
      </c>
      <c r="F22" s="332">
        <v>1</v>
      </c>
      <c r="G22" s="302">
        <v>2.2254125053126814</v>
      </c>
      <c r="H22" s="294">
        <v>1.013123464366914</v>
      </c>
      <c r="I22" s="301">
        <v>0.65370224585316417</v>
      </c>
      <c r="J22" s="300">
        <v>-2.8746371386877412E-3</v>
      </c>
      <c r="K22" s="297">
        <v>1065720.5685238568</v>
      </c>
      <c r="L22" s="300">
        <v>0.11859356895525477</v>
      </c>
      <c r="M22" s="297">
        <v>1.9768609167195028E-2</v>
      </c>
      <c r="N22" s="294">
        <v>0.75870513924796901</v>
      </c>
      <c r="O22" s="295">
        <v>140.68128318785909</v>
      </c>
      <c r="P22" s="292">
        <v>1.032371638569451</v>
      </c>
      <c r="Q22" s="297">
        <v>70.59695674947551</v>
      </c>
      <c r="R22" s="299">
        <v>0.58097796755497733</v>
      </c>
      <c r="S22" s="295">
        <v>125.96275265792249</v>
      </c>
      <c r="T22" s="294">
        <v>1.0366110296584961</v>
      </c>
      <c r="U22" s="295">
        <v>1765.0690179703577</v>
      </c>
      <c r="V22" s="298">
        <v>0.77432823372869009</v>
      </c>
      <c r="W22" s="297">
        <v>296.37686574536519</v>
      </c>
      <c r="X22" s="296">
        <v>6.1929679199566462E-2</v>
      </c>
      <c r="Y22" s="295">
        <v>4052.9975386877545</v>
      </c>
      <c r="Z22" s="294">
        <v>0.8468975361363551</v>
      </c>
      <c r="AA22" s="293">
        <v>0.78058125989764127</v>
      </c>
      <c r="AB22" s="292">
        <v>0.83229017784637527</v>
      </c>
      <c r="AC22" s="248">
        <v>8215.5888170277594</v>
      </c>
    </row>
    <row r="23" spans="1:29" ht="15" customHeight="1" x14ac:dyDescent="0.25">
      <c r="B23" s="692"/>
      <c r="C23" s="693"/>
      <c r="D23" s="396">
        <v>13.6</v>
      </c>
      <c r="F23" s="290">
        <v>2</v>
      </c>
      <c r="G23" s="282">
        <v>2.1965320149999168</v>
      </c>
      <c r="H23" s="289">
        <v>0.99997556377390806</v>
      </c>
      <c r="I23" s="284">
        <v>0.65074282709790576</v>
      </c>
      <c r="J23" s="288">
        <v>-5.834055893946144E-3</v>
      </c>
      <c r="K23" s="284">
        <v>1089590.9262789434</v>
      </c>
      <c r="L23" s="288">
        <v>0.12124986648954703</v>
      </c>
      <c r="M23" s="284">
        <v>2.2975244557738462E-2</v>
      </c>
      <c r="N23" s="287">
        <v>0.88177352154655653</v>
      </c>
      <c r="O23" s="282">
        <v>138.58577186440237</v>
      </c>
      <c r="P23" s="286">
        <v>1.0169939962163526</v>
      </c>
      <c r="Q23" s="284">
        <v>68.689001578567058</v>
      </c>
      <c r="R23" s="469">
        <v>0.56527644204426697</v>
      </c>
      <c r="S23" s="282">
        <v>123.73020339615709</v>
      </c>
      <c r="T23" s="281">
        <v>1.0182382556426182</v>
      </c>
      <c r="U23" s="282">
        <v>2044.4032132100269</v>
      </c>
      <c r="V23" s="285">
        <v>0.89687095121895344</v>
      </c>
      <c r="W23" s="284">
        <v>337.7716614513198</v>
      </c>
      <c r="X23" s="283">
        <v>7.057936382374988E-2</v>
      </c>
      <c r="Y23" s="282">
        <v>4497.6046398785629</v>
      </c>
      <c r="Z23" s="281">
        <v>0.93980078982772908</v>
      </c>
      <c r="AA23" s="280">
        <v>0.79066087720315825</v>
      </c>
      <c r="AB23" s="279">
        <v>0.84472568297932704</v>
      </c>
      <c r="AC23" s="250">
        <v>8018.0740410063518</v>
      </c>
    </row>
    <row r="24" spans="1:29" x14ac:dyDescent="0.25">
      <c r="B24" s="692" t="s">
        <v>421</v>
      </c>
      <c r="C24" s="693" t="s">
        <v>387</v>
      </c>
      <c r="D24" s="700"/>
      <c r="F24" s="290">
        <v>3</v>
      </c>
      <c r="G24" s="282">
        <v>2.1776208272869622</v>
      </c>
      <c r="H24" s="289">
        <v>0.99136620799591058</v>
      </c>
      <c r="I24" s="284">
        <v>0.6535559724840474</v>
      </c>
      <c r="J24" s="288">
        <v>-3.0209105078045084E-3</v>
      </c>
      <c r="K24" s="284">
        <v>1104133.8404089219</v>
      </c>
      <c r="L24" s="288">
        <v>0.12286820448603784</v>
      </c>
      <c r="M24" s="284">
        <v>2.5293467001523705E-2</v>
      </c>
      <c r="N24" s="287">
        <v>0.97074524773853188</v>
      </c>
      <c r="O24" s="282">
        <v>135.6992669763552</v>
      </c>
      <c r="P24" s="286">
        <v>0.99581174856061638</v>
      </c>
      <c r="Q24" s="284">
        <v>67.545489859181956</v>
      </c>
      <c r="R24" s="469">
        <v>0.55586590729613017</v>
      </c>
      <c r="S24" s="282">
        <v>120.89215590152328</v>
      </c>
      <c r="T24" s="281">
        <v>0.99488253124350512</v>
      </c>
      <c r="U24" s="291">
        <v>2247.5037995620478</v>
      </c>
      <c r="V24" s="285">
        <v>0.98597031033640115</v>
      </c>
      <c r="W24" s="284">
        <v>368.31968032875199</v>
      </c>
      <c r="X24" s="283">
        <v>7.6962551001682519E-2</v>
      </c>
      <c r="Y24" s="282">
        <v>4776.4327492452494</v>
      </c>
      <c r="Z24" s="281">
        <v>0.99806355376334699</v>
      </c>
      <c r="AA24" s="280">
        <v>0.79315404319478933</v>
      </c>
      <c r="AB24" s="279">
        <v>0.84771491142464128</v>
      </c>
      <c r="AC24" s="250">
        <v>7806.0343686647275</v>
      </c>
    </row>
    <row r="25" spans="1:29" ht="15" customHeight="1" x14ac:dyDescent="0.25">
      <c r="B25" s="692"/>
      <c r="C25" s="693"/>
      <c r="D25" s="701"/>
      <c r="F25" s="290">
        <v>4</v>
      </c>
      <c r="G25" s="282">
        <v>2.028362859987217</v>
      </c>
      <c r="H25" s="289">
        <v>0.9234162218454397</v>
      </c>
      <c r="I25" s="284">
        <v>0.65241305555495843</v>
      </c>
      <c r="J25" s="288">
        <v>-4.1638274368934747E-3</v>
      </c>
      <c r="K25" s="284">
        <v>1195120.8418341428</v>
      </c>
      <c r="L25" s="288">
        <v>0.13299325372150472</v>
      </c>
      <c r="M25" s="284">
        <v>3.0996610253312327E-2</v>
      </c>
      <c r="N25" s="287">
        <v>1.1896278235638378</v>
      </c>
      <c r="O25" s="282">
        <v>124.68007500421281</v>
      </c>
      <c r="P25" s="286">
        <v>0.91494881488378077</v>
      </c>
      <c r="Q25" s="284">
        <v>61.103221332331145</v>
      </c>
      <c r="R25" s="469">
        <v>0.50284922998445569</v>
      </c>
      <c r="S25" s="282">
        <v>110.1628806159674</v>
      </c>
      <c r="T25" s="281">
        <v>0.90658591286573897</v>
      </c>
      <c r="U25" s="282">
        <v>2741.2159487321574</v>
      </c>
      <c r="V25" s="285">
        <v>1.2025597198977822</v>
      </c>
      <c r="W25" s="284">
        <v>450.11711645252683</v>
      </c>
      <c r="X25" s="283">
        <v>9.4054603600837255E-2</v>
      </c>
      <c r="Y25" s="282">
        <v>5313.4273855761185</v>
      </c>
      <c r="Z25" s="281">
        <v>1.110271723170303</v>
      </c>
      <c r="AA25" s="280">
        <v>0.7770307462705689</v>
      </c>
      <c r="AB25" s="279">
        <v>0.82779326559157773</v>
      </c>
      <c r="AC25" s="250">
        <v>6958.7769988455811</v>
      </c>
    </row>
    <row r="26" spans="1:29" ht="15.75" customHeight="1" x14ac:dyDescent="0.25">
      <c r="B26" s="692" t="s">
        <v>514</v>
      </c>
      <c r="C26" s="693" t="s">
        <v>353</v>
      </c>
      <c r="D26" s="701"/>
      <c r="F26" s="290">
        <v>5</v>
      </c>
      <c r="G26" s="282">
        <v>1.5784509676166769</v>
      </c>
      <c r="H26" s="289">
        <v>0.71859293898432752</v>
      </c>
      <c r="I26" s="284">
        <v>0.65270165692429361</v>
      </c>
      <c r="J26" s="288">
        <v>-3.8752260675583017E-3</v>
      </c>
      <c r="K26" s="284">
        <v>1516369.3458798889</v>
      </c>
      <c r="L26" s="288">
        <v>0.1687418427433828</v>
      </c>
      <c r="M26" s="284">
        <v>3.7131561204681994E-2</v>
      </c>
      <c r="N26" s="287">
        <v>1.4250828713353563</v>
      </c>
      <c r="O26" s="282">
        <v>94.580829163886676</v>
      </c>
      <c r="P26" s="286">
        <v>0.69406934148298727</v>
      </c>
      <c r="Q26" s="284">
        <v>42.576684726068891</v>
      </c>
      <c r="R26" s="469">
        <v>0.35038501510993708</v>
      </c>
      <c r="S26" s="282">
        <v>77.549378297715336</v>
      </c>
      <c r="T26" s="281">
        <v>0.63819295141066323</v>
      </c>
      <c r="U26" s="282">
        <v>3269.4926013563972</v>
      </c>
      <c r="V26" s="285">
        <v>1.4343124293850336</v>
      </c>
      <c r="W26" s="284">
        <v>591.20494466462651</v>
      </c>
      <c r="X26" s="283">
        <v>0.12353573033508713</v>
      </c>
      <c r="Y26" s="282">
        <v>5387.1149207381613</v>
      </c>
      <c r="Z26" s="281">
        <v>1.1256691645398085</v>
      </c>
      <c r="AA26" s="280">
        <v>0.62769837671592854</v>
      </c>
      <c r="AB26" s="279">
        <v>0.65410852415677445</v>
      </c>
      <c r="AC26" s="250">
        <v>4788.9379783022277</v>
      </c>
    </row>
    <row r="27" spans="1:29" ht="14.45" customHeight="1" x14ac:dyDescent="0.25">
      <c r="B27" s="692"/>
      <c r="C27" s="693"/>
      <c r="D27" s="701"/>
      <c r="F27" s="290">
        <v>6</v>
      </c>
      <c r="G27" s="282"/>
      <c r="H27" s="289"/>
      <c r="I27" s="284"/>
      <c r="J27" s="288"/>
      <c r="K27" s="284"/>
      <c r="L27" s="288"/>
      <c r="M27" s="284"/>
      <c r="N27" s="287"/>
      <c r="O27" s="282"/>
      <c r="P27" s="286"/>
      <c r="Q27" s="284"/>
      <c r="R27" s="469"/>
      <c r="S27" s="282"/>
      <c r="T27" s="281"/>
      <c r="U27" s="282"/>
      <c r="V27" s="285"/>
      <c r="W27" s="284"/>
      <c r="X27" s="283"/>
      <c r="Y27" s="282"/>
      <c r="Z27" s="281"/>
      <c r="AA27" s="280"/>
      <c r="AB27" s="279"/>
      <c r="AC27" s="250"/>
    </row>
    <row r="28" spans="1:29" ht="20.100000000000001" customHeight="1" x14ac:dyDescent="0.25">
      <c r="B28" s="692" t="s">
        <v>424</v>
      </c>
      <c r="C28" s="693" t="s">
        <v>353</v>
      </c>
      <c r="D28" s="701"/>
      <c r="F28" s="290">
        <v>7</v>
      </c>
      <c r="G28" s="282"/>
      <c r="H28" s="289"/>
      <c r="I28" s="284"/>
      <c r="J28" s="288"/>
      <c r="K28" s="284"/>
      <c r="L28" s="288"/>
      <c r="M28" s="284"/>
      <c r="N28" s="287"/>
      <c r="O28" s="282"/>
      <c r="P28" s="286"/>
      <c r="Q28" s="284"/>
      <c r="R28" s="469"/>
      <c r="S28" s="282"/>
      <c r="T28" s="281"/>
      <c r="U28" s="282"/>
      <c r="V28" s="285"/>
      <c r="W28" s="284"/>
      <c r="X28" s="283"/>
      <c r="Y28" s="282"/>
      <c r="Z28" s="281"/>
      <c r="AA28" s="280"/>
      <c r="AB28" s="279"/>
      <c r="AC28" s="250"/>
    </row>
    <row r="29" spans="1:29" x14ac:dyDescent="0.25">
      <c r="B29" s="692"/>
      <c r="C29" s="693"/>
      <c r="D29" s="701"/>
      <c r="F29" s="290">
        <v>8</v>
      </c>
      <c r="G29" s="282"/>
      <c r="H29" s="289"/>
      <c r="I29" s="284"/>
      <c r="J29" s="288"/>
      <c r="K29" s="284"/>
      <c r="L29" s="288"/>
      <c r="M29" s="284"/>
      <c r="N29" s="287"/>
      <c r="O29" s="282"/>
      <c r="P29" s="286"/>
      <c r="Q29" s="284"/>
      <c r="R29" s="469"/>
      <c r="S29" s="282"/>
      <c r="T29" s="281"/>
      <c r="U29" s="282"/>
      <c r="V29" s="285"/>
      <c r="W29" s="284"/>
      <c r="X29" s="283"/>
      <c r="Y29" s="282"/>
      <c r="Z29" s="281"/>
      <c r="AA29" s="280"/>
      <c r="AB29" s="279"/>
      <c r="AC29" s="250"/>
    </row>
    <row r="30" spans="1:29" ht="15" customHeight="1" x14ac:dyDescent="0.25">
      <c r="A30" s="406"/>
      <c r="B30" s="692" t="s">
        <v>515</v>
      </c>
      <c r="C30" s="693" t="s">
        <v>353</v>
      </c>
      <c r="D30" s="701"/>
      <c r="F30" s="290">
        <v>9</v>
      </c>
      <c r="G30" s="282"/>
      <c r="H30" s="289"/>
      <c r="I30" s="284"/>
      <c r="J30" s="288"/>
      <c r="K30" s="284"/>
      <c r="L30" s="288"/>
      <c r="M30" s="284"/>
      <c r="N30" s="287"/>
      <c r="O30" s="282"/>
      <c r="P30" s="286"/>
      <c r="Q30" s="284"/>
      <c r="R30" s="469"/>
      <c r="S30" s="282"/>
      <c r="T30" s="281"/>
      <c r="U30" s="282"/>
      <c r="V30" s="285"/>
      <c r="W30" s="284"/>
      <c r="X30" s="283"/>
      <c r="Y30" s="282"/>
      <c r="Z30" s="281"/>
      <c r="AA30" s="280"/>
      <c r="AB30" s="279"/>
      <c r="AC30" s="250"/>
    </row>
    <row r="31" spans="1:29" ht="15.75" thickBot="1" x14ac:dyDescent="0.3">
      <c r="A31" s="643"/>
      <c r="B31" s="692"/>
      <c r="C31" s="693"/>
      <c r="D31" s="702"/>
      <c r="F31" s="278">
        <v>10</v>
      </c>
      <c r="G31" s="270"/>
      <c r="H31" s="277"/>
      <c r="I31" s="272"/>
      <c r="J31" s="276"/>
      <c r="K31" s="272"/>
      <c r="L31" s="276"/>
      <c r="M31" s="272"/>
      <c r="N31" s="275"/>
      <c r="O31" s="270"/>
      <c r="P31" s="274"/>
      <c r="Q31" s="272"/>
      <c r="R31" s="470"/>
      <c r="S31" s="270"/>
      <c r="T31" s="269"/>
      <c r="U31" s="270"/>
      <c r="V31" s="273"/>
      <c r="W31" s="272"/>
      <c r="X31" s="271"/>
      <c r="Y31" s="270"/>
      <c r="Z31" s="269"/>
      <c r="AA31" s="268"/>
      <c r="AB31" s="267"/>
      <c r="AC31" s="251"/>
    </row>
    <row r="32" spans="1:29" ht="15" customHeight="1" thickBot="1" x14ac:dyDescent="0.3">
      <c r="A32" s="643"/>
      <c r="B32" s="696"/>
      <c r="C32" s="697"/>
      <c r="D32" s="432"/>
      <c r="F32" s="266" t="s">
        <v>512</v>
      </c>
      <c r="G32" s="259">
        <v>2.1669792262932317</v>
      </c>
      <c r="H32" s="256">
        <v>0.98652159800138561</v>
      </c>
      <c r="I32" s="261">
        <v>0.65657688299185191</v>
      </c>
      <c r="J32" s="265">
        <v>0</v>
      </c>
      <c r="K32" s="261">
        <v>8986326.8127629422</v>
      </c>
      <c r="L32" s="265">
        <v>1</v>
      </c>
      <c r="M32" s="261">
        <v>2.6055720654258041E-2</v>
      </c>
      <c r="N32" s="264">
        <v>1</v>
      </c>
      <c r="O32" s="259">
        <v>134.98549318646468</v>
      </c>
      <c r="P32" s="263">
        <v>0.99057381071743333</v>
      </c>
      <c r="Q32" s="261" t="s">
        <v>513</v>
      </c>
      <c r="R32" s="471" t="s">
        <v>513</v>
      </c>
      <c r="S32" s="259">
        <v>120.21385888103846</v>
      </c>
      <c r="T32" s="258">
        <v>0.99334623828778545</v>
      </c>
      <c r="U32" s="259">
        <v>2279.4842562705835</v>
      </c>
      <c r="V32" s="262">
        <v>1</v>
      </c>
      <c r="W32" s="261" t="s">
        <v>513</v>
      </c>
      <c r="X32" s="260" t="s">
        <v>513</v>
      </c>
      <c r="Y32" s="259">
        <v>4853.1759777951456</v>
      </c>
      <c r="Z32" s="258">
        <v>1.014099500134807</v>
      </c>
      <c r="AA32" s="257"/>
      <c r="AB32" s="256">
        <v>0.84675233718224807</v>
      </c>
      <c r="AC32" s="482"/>
    </row>
    <row r="33" spans="1:29" ht="15" customHeight="1" thickBot="1" x14ac:dyDescent="0.3">
      <c r="A33" s="643"/>
      <c r="B33" s="696"/>
      <c r="C33" s="697"/>
      <c r="D33" s="432"/>
      <c r="F33" s="474"/>
      <c r="G33" s="475"/>
      <c r="H33" s="475"/>
      <c r="I33" s="475"/>
      <c r="J33" s="475"/>
      <c r="K33" s="475"/>
      <c r="L33" s="475"/>
      <c r="M33" s="475"/>
      <c r="N33" s="475"/>
      <c r="O33" s="475"/>
      <c r="P33" s="475"/>
      <c r="Q33" s="475"/>
      <c r="R33" s="475"/>
      <c r="S33" s="475"/>
      <c r="T33" s="475"/>
      <c r="U33" s="475"/>
      <c r="V33" s="475"/>
      <c r="W33" s="475"/>
      <c r="X33" s="475"/>
      <c r="Y33" s="475"/>
      <c r="Z33" s="476"/>
      <c r="AA33" s="476"/>
      <c r="AB33" s="477"/>
      <c r="AC33" s="477"/>
    </row>
    <row r="34" spans="1:29" ht="15.75" thickBot="1" x14ac:dyDescent="0.3">
      <c r="A34" s="643"/>
      <c r="F34" s="648" t="s">
        <v>384</v>
      </c>
      <c r="G34" s="678"/>
      <c r="H34" s="678"/>
      <c r="I34" s="678"/>
      <c r="J34" s="678"/>
      <c r="K34" s="678"/>
      <c r="L34" s="678"/>
      <c r="M34" s="678"/>
      <c r="N34" s="678"/>
      <c r="O34" s="678"/>
      <c r="P34" s="678"/>
      <c r="Q34" s="678"/>
      <c r="R34" s="678"/>
      <c r="S34" s="678"/>
      <c r="T34" s="678"/>
      <c r="U34" s="678"/>
      <c r="V34" s="678"/>
      <c r="W34" s="678"/>
      <c r="X34" s="678"/>
      <c r="Y34" s="678"/>
      <c r="Z34" s="678"/>
      <c r="AA34" s="678"/>
      <c r="AB34" s="678"/>
      <c r="AC34" s="649"/>
    </row>
    <row r="35" spans="1:29" ht="15.75" customHeight="1" thickBot="1" x14ac:dyDescent="0.3">
      <c r="A35" s="643"/>
      <c r="F35" s="313"/>
      <c r="G35" s="716" t="s">
        <v>311</v>
      </c>
      <c r="H35" s="717"/>
      <c r="I35" s="718" t="s">
        <v>303</v>
      </c>
      <c r="J35" s="717"/>
      <c r="K35" s="703" t="s">
        <v>304</v>
      </c>
      <c r="L35" s="705"/>
      <c r="M35" s="703" t="s">
        <v>313</v>
      </c>
      <c r="N35" s="703"/>
      <c r="O35" s="704" t="s">
        <v>396</v>
      </c>
      <c r="P35" s="705"/>
      <c r="Q35" s="703" t="s">
        <v>333</v>
      </c>
      <c r="R35" s="703"/>
      <c r="S35" s="704" t="s">
        <v>335</v>
      </c>
      <c r="T35" s="705"/>
      <c r="U35" s="704" t="s">
        <v>371</v>
      </c>
      <c r="V35" s="705"/>
      <c r="W35" s="703" t="s">
        <v>315</v>
      </c>
      <c r="X35" s="703"/>
      <c r="Y35" s="704" t="s">
        <v>337</v>
      </c>
      <c r="Z35" s="705"/>
      <c r="AA35" s="703" t="s">
        <v>370</v>
      </c>
      <c r="AB35" s="705"/>
      <c r="AC35" s="478" t="s">
        <v>425</v>
      </c>
    </row>
    <row r="36" spans="1:29" ht="26.25" thickBot="1" x14ac:dyDescent="0.3">
      <c r="A36" s="643"/>
      <c r="F36" s="312" t="s">
        <v>479</v>
      </c>
      <c r="G36" s="305" t="s">
        <v>305</v>
      </c>
      <c r="H36" s="310" t="s">
        <v>308</v>
      </c>
      <c r="I36" s="307" t="s">
        <v>369</v>
      </c>
      <c r="J36" s="310" t="s">
        <v>368</v>
      </c>
      <c r="K36" s="311" t="s">
        <v>367</v>
      </c>
      <c r="L36" s="303" t="s">
        <v>314</v>
      </c>
      <c r="M36" s="305" t="s">
        <v>366</v>
      </c>
      <c r="N36" s="309" t="s">
        <v>327</v>
      </c>
      <c r="O36" s="305" t="s">
        <v>397</v>
      </c>
      <c r="P36" s="308" t="s">
        <v>398</v>
      </c>
      <c r="Q36" s="307" t="s">
        <v>365</v>
      </c>
      <c r="R36" s="309" t="s">
        <v>334</v>
      </c>
      <c r="S36" s="305" t="s">
        <v>364</v>
      </c>
      <c r="T36" s="303" t="s">
        <v>336</v>
      </c>
      <c r="U36" s="305" t="s">
        <v>363</v>
      </c>
      <c r="V36" s="308" t="s">
        <v>362</v>
      </c>
      <c r="W36" s="307" t="s">
        <v>361</v>
      </c>
      <c r="X36" s="306" t="s">
        <v>317</v>
      </c>
      <c r="Y36" s="305" t="s">
        <v>360</v>
      </c>
      <c r="Z36" s="303" t="s">
        <v>338</v>
      </c>
      <c r="AA36" s="304" t="s">
        <v>359</v>
      </c>
      <c r="AB36" s="303" t="s">
        <v>357</v>
      </c>
      <c r="AC36" s="479" t="s">
        <v>299</v>
      </c>
    </row>
    <row r="37" spans="1:29" x14ac:dyDescent="0.25">
      <c r="A37" s="406"/>
      <c r="F37" s="332">
        <v>1</v>
      </c>
      <c r="G37" s="302">
        <v>1.3227207253089355</v>
      </c>
      <c r="H37" s="294">
        <v>1.027364212958199</v>
      </c>
      <c r="I37" s="301">
        <v>0.47196051607468759</v>
      </c>
      <c r="J37" s="300">
        <v>-6.1986138216833853E-2</v>
      </c>
      <c r="K37" s="297">
        <v>1192374.3898159557</v>
      </c>
      <c r="L37" s="300">
        <v>0.1043429785471704</v>
      </c>
      <c r="M37" s="297">
        <v>8.9851318773819452E-3</v>
      </c>
      <c r="N37" s="294">
        <v>0.75985901051625149</v>
      </c>
      <c r="O37" s="295">
        <v>259.26825231172256</v>
      </c>
      <c r="P37" s="292">
        <v>1.0352509675440127</v>
      </c>
      <c r="Q37" s="297">
        <v>23.729875113017336</v>
      </c>
      <c r="R37" s="299">
        <v>0.38494403622381917</v>
      </c>
      <c r="S37" s="295">
        <v>64.267561390024781</v>
      </c>
      <c r="T37" s="294">
        <v>1.0425429700709672</v>
      </c>
      <c r="U37" s="295">
        <v>527.88716850393553</v>
      </c>
      <c r="V37" s="298">
        <v>0.75725965366872594</v>
      </c>
      <c r="W37" s="297">
        <v>73.758273710861303</v>
      </c>
      <c r="X37" s="296">
        <v>2.5821205570054719E-2</v>
      </c>
      <c r="Y37" s="295">
        <v>2348.7784837784966</v>
      </c>
      <c r="Z37" s="294">
        <v>0.8222574772548561</v>
      </c>
      <c r="AA37" s="293">
        <v>0.66757922036697825</v>
      </c>
      <c r="AB37" s="292">
        <v>0.66965101420073336</v>
      </c>
      <c r="AC37" s="312"/>
    </row>
    <row r="38" spans="1:29" x14ac:dyDescent="0.25">
      <c r="A38" s="406"/>
      <c r="F38" s="290">
        <v>2</v>
      </c>
      <c r="G38" s="282">
        <v>1.3192737459068735</v>
      </c>
      <c r="H38" s="289">
        <v>1.0246869257480393</v>
      </c>
      <c r="I38" s="284">
        <v>0.47506645243163736</v>
      </c>
      <c r="J38" s="288">
        <v>-5.8880201859884074E-2</v>
      </c>
      <c r="K38" s="284">
        <v>1194368.5372530876</v>
      </c>
      <c r="L38" s="288">
        <v>0.10451748353908377</v>
      </c>
      <c r="M38" s="284">
        <v>1.1184170506366536E-2</v>
      </c>
      <c r="N38" s="287">
        <v>0.94582838075037245</v>
      </c>
      <c r="O38" s="282">
        <v>253.8033340052049</v>
      </c>
      <c r="P38" s="286">
        <v>1.0134296997492609</v>
      </c>
      <c r="Q38" s="284">
        <v>23.062639009987318</v>
      </c>
      <c r="R38" s="469">
        <v>0.37412018833623678</v>
      </c>
      <c r="S38" s="282">
        <v>61.59804203504148</v>
      </c>
      <c r="T38" s="281">
        <v>0.99923825184591575</v>
      </c>
      <c r="U38" s="282">
        <v>658.41349588017147</v>
      </c>
      <c r="V38" s="285">
        <v>0.9445010328136374</v>
      </c>
      <c r="W38" s="284">
        <v>86.186650627428108</v>
      </c>
      <c r="X38" s="283">
        <v>3.0172116445800142E-2</v>
      </c>
      <c r="Y38" s="282">
        <v>2708.1542883384054</v>
      </c>
      <c r="Z38" s="281">
        <v>0.94806731606455641</v>
      </c>
      <c r="AA38" s="280">
        <v>0.69225392429683275</v>
      </c>
      <c r="AB38" s="279">
        <v>0.69430436074644897</v>
      </c>
      <c r="AC38" s="249"/>
    </row>
    <row r="39" spans="1:29" x14ac:dyDescent="0.25">
      <c r="F39" s="290">
        <v>3</v>
      </c>
      <c r="G39" s="282">
        <v>1.2866731198277017</v>
      </c>
      <c r="H39" s="289">
        <v>0.99936584631462366</v>
      </c>
      <c r="I39" s="284">
        <v>0.47301840334762879</v>
      </c>
      <c r="J39" s="288">
        <v>-6.0928250943892648E-2</v>
      </c>
      <c r="K39" s="284">
        <v>1205399.4462691715</v>
      </c>
      <c r="L39" s="288">
        <v>0.10548278262018757</v>
      </c>
      <c r="M39" s="284">
        <v>1.4395271717545245E-2</v>
      </c>
      <c r="N39" s="287">
        <v>1.2173863525522004</v>
      </c>
      <c r="O39" s="282">
        <v>241.7474450697423</v>
      </c>
      <c r="P39" s="286">
        <v>0.96529086835067202</v>
      </c>
      <c r="Q39" s="284">
        <v>20.761393895089576</v>
      </c>
      <c r="R39" s="469">
        <v>0.33678958382820301</v>
      </c>
      <c r="S39" s="282">
        <v>55.997334307487435</v>
      </c>
      <c r="T39" s="281">
        <v>0.90838404262287986</v>
      </c>
      <c r="U39" s="291">
        <v>848.45696447997739</v>
      </c>
      <c r="V39" s="285">
        <v>1.2171203723246706</v>
      </c>
      <c r="W39" s="284">
        <v>99.738924772524101</v>
      </c>
      <c r="X39" s="283">
        <v>3.4916479878356069E-2</v>
      </c>
      <c r="Y39" s="282">
        <v>3139.9694381630652</v>
      </c>
      <c r="Z39" s="281">
        <v>1.0992366315991826</v>
      </c>
      <c r="AA39" s="280">
        <v>0.69940881803768828</v>
      </c>
      <c r="AB39" s="279">
        <v>0.70150281048698127</v>
      </c>
      <c r="AC39" s="249"/>
    </row>
    <row r="40" spans="1:29" x14ac:dyDescent="0.25">
      <c r="F40" s="290">
        <v>4</v>
      </c>
      <c r="G40" s="282">
        <v>1.2056421414082092</v>
      </c>
      <c r="H40" s="289">
        <v>0.9364286549814107</v>
      </c>
      <c r="I40" s="284">
        <v>0.46779210993261205</v>
      </c>
      <c r="J40" s="288">
        <v>-6.6154544358909384E-2</v>
      </c>
      <c r="K40" s="284">
        <v>1198177.4782408962</v>
      </c>
      <c r="L40" s="288">
        <v>0.10485079852066409</v>
      </c>
      <c r="M40" s="284">
        <v>1.7686218956384073E-2</v>
      </c>
      <c r="N40" s="287">
        <v>1.4956967821253158</v>
      </c>
      <c r="O40" s="282">
        <v>215.36656657409637</v>
      </c>
      <c r="P40" s="286">
        <v>0.85995274945734057</v>
      </c>
      <c r="Q40" s="284">
        <v>15.807602800854134</v>
      </c>
      <c r="R40" s="469">
        <v>0.25642960176582258</v>
      </c>
      <c r="S40" s="282">
        <v>43.632119686959278</v>
      </c>
      <c r="T40" s="281">
        <v>0.70779657209764424</v>
      </c>
      <c r="U40" s="282">
        <v>1045.1073218776332</v>
      </c>
      <c r="V40" s="285">
        <v>1.4992173627834751</v>
      </c>
      <c r="W40" s="284">
        <v>99.519846858507364</v>
      </c>
      <c r="X40" s="283">
        <v>3.4839785352181817E-2</v>
      </c>
      <c r="Y40" s="282">
        <v>3229.5778880859548</v>
      </c>
      <c r="Z40" s="281">
        <v>1.1306066473257326</v>
      </c>
      <c r="AA40" s="280">
        <v>0.65203285119363252</v>
      </c>
      <c r="AB40" s="279">
        <v>0.6546046762521428</v>
      </c>
      <c r="AC40" s="249"/>
    </row>
    <row r="41" spans="1:29" x14ac:dyDescent="0.25">
      <c r="F41" s="290">
        <v>5</v>
      </c>
      <c r="G41" s="282">
        <v>1.1250598933659246</v>
      </c>
      <c r="H41" s="289">
        <v>0.8738399949155996</v>
      </c>
      <c r="I41" s="284">
        <v>0.49393364016425501</v>
      </c>
      <c r="J41" s="288">
        <v>-4.0013014127266433E-2</v>
      </c>
      <c r="K41" s="284">
        <v>1303631.450002704</v>
      </c>
      <c r="L41" s="288">
        <v>0.11407892486020633</v>
      </c>
      <c r="M41" s="284">
        <v>1.9465196266921888E-2</v>
      </c>
      <c r="N41" s="287">
        <v>1.646142202110626</v>
      </c>
      <c r="O41" s="282">
        <v>188.87645261951585</v>
      </c>
      <c r="P41" s="286">
        <v>0.75417845639480852</v>
      </c>
      <c r="Q41" s="284">
        <v>12.411074754890574</v>
      </c>
      <c r="R41" s="469">
        <v>0.20133140976381822</v>
      </c>
      <c r="S41" s="282">
        <v>30.836443930475674</v>
      </c>
      <c r="T41" s="281">
        <v>0.50022619726621254</v>
      </c>
      <c r="U41" s="282">
        <v>1151.5315424983739</v>
      </c>
      <c r="V41" s="285">
        <v>1.6518840181932388</v>
      </c>
      <c r="W41" s="284">
        <v>128.82560797648563</v>
      </c>
      <c r="X41" s="283">
        <v>4.5099110091540565E-2</v>
      </c>
      <c r="Y41" s="282">
        <v>3442.5685162823206</v>
      </c>
      <c r="Z41" s="281">
        <v>1.2051701439812079</v>
      </c>
      <c r="AA41" s="280">
        <v>0.47466777978262975</v>
      </c>
      <c r="AB41" s="279">
        <v>0.47820619647334034</v>
      </c>
      <c r="AC41" s="249"/>
    </row>
    <row r="42" spans="1:29" x14ac:dyDescent="0.25">
      <c r="F42" s="290">
        <v>6</v>
      </c>
      <c r="G42" s="282"/>
      <c r="H42" s="289"/>
      <c r="I42" s="284"/>
      <c r="J42" s="288"/>
      <c r="K42" s="284"/>
      <c r="L42" s="288"/>
      <c r="M42" s="284"/>
      <c r="N42" s="287"/>
      <c r="O42" s="282"/>
      <c r="P42" s="286"/>
      <c r="Q42" s="284"/>
      <c r="R42" s="469"/>
      <c r="S42" s="282"/>
      <c r="T42" s="281"/>
      <c r="U42" s="282"/>
      <c r="V42" s="285"/>
      <c r="W42" s="284"/>
      <c r="X42" s="283"/>
      <c r="Y42" s="282"/>
      <c r="Z42" s="281"/>
      <c r="AA42" s="280"/>
      <c r="AB42" s="279"/>
      <c r="AC42" s="249"/>
    </row>
    <row r="43" spans="1:29" x14ac:dyDescent="0.25">
      <c r="F43" s="290">
        <v>7</v>
      </c>
      <c r="G43" s="282"/>
      <c r="H43" s="289"/>
      <c r="I43" s="284"/>
      <c r="J43" s="288"/>
      <c r="K43" s="284"/>
      <c r="L43" s="288"/>
      <c r="M43" s="284"/>
      <c r="N43" s="287"/>
      <c r="O43" s="282"/>
      <c r="P43" s="286"/>
      <c r="Q43" s="284"/>
      <c r="R43" s="469"/>
      <c r="S43" s="282"/>
      <c r="T43" s="281"/>
      <c r="U43" s="282"/>
      <c r="V43" s="285"/>
      <c r="W43" s="284"/>
      <c r="X43" s="283"/>
      <c r="Y43" s="282"/>
      <c r="Z43" s="281"/>
      <c r="AA43" s="280"/>
      <c r="AB43" s="279"/>
      <c r="AC43" s="249"/>
    </row>
    <row r="44" spans="1:29" x14ac:dyDescent="0.25">
      <c r="F44" s="290">
        <v>8</v>
      </c>
      <c r="G44" s="282"/>
      <c r="H44" s="289"/>
      <c r="I44" s="284"/>
      <c r="J44" s="288"/>
      <c r="K44" s="284"/>
      <c r="L44" s="288"/>
      <c r="M44" s="284"/>
      <c r="N44" s="287"/>
      <c r="O44" s="282"/>
      <c r="P44" s="286"/>
      <c r="Q44" s="284"/>
      <c r="R44" s="469"/>
      <c r="S44" s="282"/>
      <c r="T44" s="281"/>
      <c r="U44" s="282"/>
      <c r="V44" s="285"/>
      <c r="W44" s="284"/>
      <c r="X44" s="283"/>
      <c r="Y44" s="282"/>
      <c r="Z44" s="281"/>
      <c r="AA44" s="280"/>
      <c r="AB44" s="279"/>
      <c r="AC44" s="249"/>
    </row>
    <row r="45" spans="1:29" x14ac:dyDescent="0.25">
      <c r="F45" s="290">
        <v>9</v>
      </c>
      <c r="G45" s="282"/>
      <c r="H45" s="289"/>
      <c r="I45" s="284"/>
      <c r="J45" s="288"/>
      <c r="K45" s="284"/>
      <c r="L45" s="288"/>
      <c r="M45" s="284"/>
      <c r="N45" s="287"/>
      <c r="O45" s="282"/>
      <c r="P45" s="286"/>
      <c r="Q45" s="284"/>
      <c r="R45" s="469"/>
      <c r="S45" s="282"/>
      <c r="T45" s="281"/>
      <c r="U45" s="282"/>
      <c r="V45" s="285"/>
      <c r="W45" s="284"/>
      <c r="X45" s="283"/>
      <c r="Y45" s="282"/>
      <c r="Z45" s="281"/>
      <c r="AA45" s="280"/>
      <c r="AB45" s="279"/>
      <c r="AC45" s="249"/>
    </row>
    <row r="46" spans="1:29" ht="15.75" thickBot="1" x14ac:dyDescent="0.3">
      <c r="F46" s="278">
        <v>10</v>
      </c>
      <c r="G46" s="270"/>
      <c r="H46" s="277"/>
      <c r="I46" s="272"/>
      <c r="J46" s="276"/>
      <c r="K46" s="272"/>
      <c r="L46" s="276"/>
      <c r="M46" s="272"/>
      <c r="N46" s="275"/>
      <c r="O46" s="270"/>
      <c r="P46" s="274"/>
      <c r="Q46" s="272"/>
      <c r="R46" s="470"/>
      <c r="S46" s="270"/>
      <c r="T46" s="269"/>
      <c r="U46" s="270"/>
      <c r="V46" s="273"/>
      <c r="W46" s="272"/>
      <c r="X46" s="271"/>
      <c r="Y46" s="270"/>
      <c r="Z46" s="269"/>
      <c r="AA46" s="268"/>
      <c r="AB46" s="267"/>
      <c r="AC46" s="480"/>
    </row>
    <row r="47" spans="1:29" ht="15.75" thickBot="1" x14ac:dyDescent="0.3">
      <c r="F47" s="266" t="s">
        <v>512</v>
      </c>
      <c r="G47" s="259">
        <v>1.2991934681189521</v>
      </c>
      <c r="H47" s="256">
        <v>1.0090904673340748</v>
      </c>
      <c r="I47" s="261">
        <v>0.53590313636085551</v>
      </c>
      <c r="J47" s="265">
        <v>1.9564820693340756E-3</v>
      </c>
      <c r="K47" s="261">
        <v>11395503.382886197</v>
      </c>
      <c r="L47" s="265">
        <v>0.99720421301419593</v>
      </c>
      <c r="M47" s="261">
        <v>1.193842859636084E-2</v>
      </c>
      <c r="N47" s="264">
        <v>1.0096148464092323</v>
      </c>
      <c r="O47" s="259">
        <v>250.92384311405652</v>
      </c>
      <c r="P47" s="263">
        <v>1.00193197218518</v>
      </c>
      <c r="Q47" s="261" t="s">
        <v>513</v>
      </c>
      <c r="R47" s="471" t="s">
        <v>513</v>
      </c>
      <c r="S47" s="259">
        <v>60.267254761646413</v>
      </c>
      <c r="T47" s="258">
        <v>1.0187627666086212</v>
      </c>
      <c r="U47" s="259">
        <v>703.80446121543605</v>
      </c>
      <c r="V47" s="262">
        <v>1.0096148464092323</v>
      </c>
      <c r="W47" s="261" t="s">
        <v>513</v>
      </c>
      <c r="X47" s="260" t="s">
        <v>513</v>
      </c>
      <c r="Y47" s="259">
        <v>2738.0263243762206</v>
      </c>
      <c r="Z47" s="258">
        <v>0.95852488163004401</v>
      </c>
      <c r="AA47" s="257"/>
      <c r="AB47" s="256">
        <v>0.6962100690828491</v>
      </c>
      <c r="AC47" s="481"/>
    </row>
    <row r="48" spans="1:29" ht="15.75" thickBot="1" x14ac:dyDescent="0.3">
      <c r="F48" s="266" t="s">
        <v>516</v>
      </c>
      <c r="G48" s="259"/>
      <c r="H48" s="265"/>
      <c r="I48" s="261"/>
      <c r="J48" s="265"/>
      <c r="K48" s="261"/>
      <c r="L48" s="265"/>
      <c r="M48" s="261"/>
      <c r="N48" s="264"/>
      <c r="O48" s="259">
        <v>250.92384311405652</v>
      </c>
      <c r="P48" s="263">
        <v>1.00193197218518</v>
      </c>
      <c r="Q48" s="261"/>
      <c r="R48" s="471"/>
      <c r="S48" s="259"/>
      <c r="T48" s="258"/>
      <c r="U48" s="259"/>
      <c r="V48" s="262"/>
      <c r="W48" s="261"/>
      <c r="X48" s="260"/>
      <c r="Y48" s="259">
        <v>7591.2023021713667</v>
      </c>
      <c r="Z48" s="258">
        <v>0.99332683025455581</v>
      </c>
      <c r="AA48" s="257"/>
      <c r="AB48" s="256"/>
    </row>
    <row r="49" spans="1:28" x14ac:dyDescent="0.25">
      <c r="Y49" s="698" t="s">
        <v>358</v>
      </c>
      <c r="Z49" s="698"/>
      <c r="AA49" s="698"/>
      <c r="AB49" s="698"/>
    </row>
    <row r="50" spans="1:28" x14ac:dyDescent="0.25">
      <c r="Y50" s="699"/>
      <c r="Z50" s="699"/>
      <c r="AA50" s="699"/>
      <c r="AB50" s="699"/>
    </row>
    <row r="51" spans="1:28" x14ac:dyDescent="0.25">
      <c r="R51" s="363"/>
      <c r="Y51" s="699"/>
      <c r="Z51" s="699"/>
      <c r="AA51" s="699"/>
      <c r="AB51" s="699"/>
    </row>
    <row r="52" spans="1:28" x14ac:dyDescent="0.25">
      <c r="A52" s="432"/>
      <c r="B52" s="432"/>
      <c r="C52" s="432"/>
      <c r="D52" s="432"/>
    </row>
    <row r="53" spans="1:28" x14ac:dyDescent="0.25">
      <c r="A53" s="432"/>
      <c r="B53" s="696"/>
      <c r="C53" s="697"/>
      <c r="D53" s="432"/>
    </row>
    <row r="54" spans="1:28" x14ac:dyDescent="0.25">
      <c r="A54" s="432"/>
      <c r="B54" s="696"/>
      <c r="C54" s="697"/>
      <c r="D54" s="432"/>
    </row>
    <row r="55" spans="1:28" x14ac:dyDescent="0.25">
      <c r="A55" s="432"/>
      <c r="B55" s="696"/>
      <c r="C55" s="697"/>
      <c r="D55" s="432"/>
    </row>
    <row r="56" spans="1:28" x14ac:dyDescent="0.25">
      <c r="A56" s="432"/>
      <c r="B56" s="696"/>
      <c r="C56" s="697"/>
      <c r="D56" s="432"/>
    </row>
    <row r="57" spans="1:28" x14ac:dyDescent="0.25">
      <c r="A57" s="432"/>
      <c r="B57" s="696"/>
      <c r="C57" s="697"/>
      <c r="D57" s="432"/>
    </row>
    <row r="58" spans="1:28" x14ac:dyDescent="0.25">
      <c r="A58" s="432"/>
      <c r="B58" s="696"/>
      <c r="C58" s="697"/>
      <c r="D58" s="432"/>
    </row>
    <row r="59" spans="1:28" x14ac:dyDescent="0.25">
      <c r="A59" s="432"/>
      <c r="B59" s="696"/>
      <c r="C59" s="697"/>
      <c r="D59" s="432"/>
    </row>
    <row r="60" spans="1:28" x14ac:dyDescent="0.25">
      <c r="A60" s="432"/>
      <c r="B60" s="696"/>
      <c r="C60" s="697"/>
      <c r="D60" s="432"/>
    </row>
  </sheetData>
  <mergeCells count="59">
    <mergeCell ref="AD3:AN3"/>
    <mergeCell ref="V5:V6"/>
    <mergeCell ref="B8:B15"/>
    <mergeCell ref="C8:C15"/>
    <mergeCell ref="C28:C29"/>
    <mergeCell ref="M20:N20"/>
    <mergeCell ref="C4:C7"/>
    <mergeCell ref="F3:W3"/>
    <mergeCell ref="X3:X4"/>
    <mergeCell ref="Y3:Y4"/>
    <mergeCell ref="B4:B7"/>
    <mergeCell ref="AA35:AB35"/>
    <mergeCell ref="O20:P20"/>
    <mergeCell ref="Q20:R20"/>
    <mergeCell ref="Z7:AA8"/>
    <mergeCell ref="Z9:AA10"/>
    <mergeCell ref="F19:AC19"/>
    <mergeCell ref="F34:AC34"/>
    <mergeCell ref="G35:H35"/>
    <mergeCell ref="I35:J35"/>
    <mergeCell ref="K35:L35"/>
    <mergeCell ref="M35:N35"/>
    <mergeCell ref="Y35:Z35"/>
    <mergeCell ref="C32:C33"/>
    <mergeCell ref="B30:B31"/>
    <mergeCell ref="C30:C31"/>
    <mergeCell ref="AM5:AM6"/>
    <mergeCell ref="S20:T20"/>
    <mergeCell ref="U20:V20"/>
    <mergeCell ref="AA20:AB20"/>
    <mergeCell ref="G20:H20"/>
    <mergeCell ref="I20:J20"/>
    <mergeCell ref="W20:X20"/>
    <mergeCell ref="Y20:Z20"/>
    <mergeCell ref="K20:L20"/>
    <mergeCell ref="B16:B23"/>
    <mergeCell ref="C16:C23"/>
    <mergeCell ref="C59:C60"/>
    <mergeCell ref="B55:B56"/>
    <mergeCell ref="C55:C56"/>
    <mergeCell ref="B57:B58"/>
    <mergeCell ref="C57:C58"/>
    <mergeCell ref="B59:B60"/>
    <mergeCell ref="B53:B54"/>
    <mergeCell ref="C53:C54"/>
    <mergeCell ref="Y49:AB51"/>
    <mergeCell ref="D24:D31"/>
    <mergeCell ref="A31:A36"/>
    <mergeCell ref="W35:X35"/>
    <mergeCell ref="B24:B25"/>
    <mergeCell ref="C24:C25"/>
    <mergeCell ref="B26:B27"/>
    <mergeCell ref="C26:C27"/>
    <mergeCell ref="B28:B29"/>
    <mergeCell ref="O35:P35"/>
    <mergeCell ref="Q35:R35"/>
    <mergeCell ref="S35:T35"/>
    <mergeCell ref="U35:V35"/>
    <mergeCell ref="B32:B33"/>
  </mergeCells>
  <conditionalFormatting sqref="H31">
    <cfRule type="expression" dxfId="74" priority="98">
      <formula>AND(AND(N31&gt;0.96,N31&lt;1.04),OR(H31&gt;1.05,H31&lt;0.95))</formula>
    </cfRule>
    <cfRule type="expression" dxfId="73" priority="99">
      <formula>AND(AND(N31&gt;0.96,N31&lt;1.04),AND(H31&lt;1.05,H31&gt;0.95))</formula>
    </cfRule>
  </conditionalFormatting>
  <conditionalFormatting sqref="N31">
    <cfRule type="expression" dxfId="72" priority="91">
      <formula>AND(N31=N10009,N31=N10010)</formula>
    </cfRule>
    <cfRule type="expression" dxfId="71" priority="96">
      <formula>OR(N31&lt;0.96,N31&gt;1.04)</formula>
    </cfRule>
    <cfRule type="expression" dxfId="70" priority="97">
      <formula>AND(N31&gt;0.96,N31&lt;1.04)</formula>
    </cfRule>
  </conditionalFormatting>
  <conditionalFormatting sqref="T31">
    <cfRule type="expression" dxfId="69" priority="94">
      <formula>AND(AND(N31&gt;0.96,N31&lt;1.04),OR(T31&gt;1.05,T31&lt;1))</formula>
    </cfRule>
    <cfRule type="expression" dxfId="68" priority="95">
      <formula>AND(AND(N31&gt;0.96,N31&lt;1.04),AND(T31&lt;1.05,T31&gt;1))</formula>
    </cfRule>
  </conditionalFormatting>
  <conditionalFormatting sqref="F22:F31">
    <cfRule type="expression" dxfId="67" priority="90">
      <formula>AND(N22&gt;0.96,N22&lt;1.04)</formula>
    </cfRule>
  </conditionalFormatting>
  <conditionalFormatting sqref="Z31">
    <cfRule type="expression" dxfId="66" priority="88">
      <formula>AND(AND(N31&gt;0.96,N31&lt;1.04),Z31&gt;1.07)</formula>
    </cfRule>
    <cfRule type="expression" dxfId="65" priority="89">
      <formula>AND(AND(N31&gt;0.96,N31&lt;1.04),Z31&lt;1.07)</formula>
    </cfRule>
  </conditionalFormatting>
  <conditionalFormatting sqref="N32">
    <cfRule type="expression" dxfId="64" priority="86">
      <formula>AND(V32&gt;0.96,V32&lt;1.04)</formula>
    </cfRule>
  </conditionalFormatting>
  <conditionalFormatting sqref="H32">
    <cfRule type="expression" dxfId="63" priority="84">
      <formula>AND(AND(N32&gt;0.96,N32&lt;1.04),OR(H32&gt;1.05,H32&lt;0.95))</formula>
    </cfRule>
    <cfRule type="expression" dxfId="62" priority="85">
      <formula>AND(AND(N32&gt;0.96,N32&lt;1.04),AND(H32&lt;1.05,H32&gt;0.95))</formula>
    </cfRule>
  </conditionalFormatting>
  <conditionalFormatting sqref="N32">
    <cfRule type="expression" dxfId="61" priority="79">
      <formula>AND(N32=N10010,N32=N10011)</formula>
    </cfRule>
    <cfRule type="expression" dxfId="60" priority="82">
      <formula>OR(N32&lt;0.96,N32&gt;1.04)</formula>
    </cfRule>
    <cfRule type="expression" dxfId="59" priority="83">
      <formula>AND(N32&gt;0.96,N32&lt;1.04)</formula>
    </cfRule>
  </conditionalFormatting>
  <conditionalFormatting sqref="T32">
    <cfRule type="expression" dxfId="58" priority="80">
      <formula>AND(AND(N32&gt;0.96,N32&lt;1.04),OR(T32&gt;1.05,T32&lt;1))</formula>
    </cfRule>
    <cfRule type="expression" dxfId="57" priority="81">
      <formula>AND(AND(N32&gt;0.96,N32&lt;1.04),AND(T32&lt;1.05,T32&gt;1))</formula>
    </cfRule>
  </conditionalFormatting>
  <conditionalFormatting sqref="F32">
    <cfRule type="expression" dxfId="56" priority="78">
      <formula>AND(N32&gt;0.96,N32&lt;1.04)</formula>
    </cfRule>
  </conditionalFormatting>
  <conditionalFormatting sqref="Z32">
    <cfRule type="expression" dxfId="55" priority="76">
      <formula>IF($C$30="Yes",AND($Z$32&gt;1.04),AND($Z$32&gt;1.07))</formula>
    </cfRule>
    <cfRule type="expression" dxfId="54" priority="77">
      <formula>IF($C$30="Yes",AND($Z$32&lt;=1.04),AND($Z$32&lt;1.07))</formula>
    </cfRule>
  </conditionalFormatting>
  <conditionalFormatting sqref="H43:H46">
    <cfRule type="expression" dxfId="53" priority="72">
      <formula>AND(AND(N43&gt;0.96,N43&lt;1.04),OR(H43&gt;1.05,H43&lt;0.95))</formula>
    </cfRule>
    <cfRule type="expression" dxfId="52" priority="73">
      <formula>AND(AND(N43&gt;0.96,N43&lt;1.04),AND(H43&lt;1.05,H43&gt;0.95))</formula>
    </cfRule>
  </conditionalFormatting>
  <conditionalFormatting sqref="N43:N46">
    <cfRule type="expression" dxfId="51" priority="65">
      <formula>AND(N43=N10021,N43=N10022)</formula>
    </cfRule>
    <cfRule type="expression" dxfId="50" priority="70">
      <formula>OR(N43&lt;0.96,N43&gt;1.04)</formula>
    </cfRule>
    <cfRule type="expression" dxfId="49" priority="71">
      <formula>AND(N43&gt;0.96,N43&lt;1.04)</formula>
    </cfRule>
  </conditionalFormatting>
  <conditionalFormatting sqref="T43:T46">
    <cfRule type="expression" dxfId="48" priority="68">
      <formula>AND(AND(N43&gt;0.96,N43&lt;1.04),OR(T43&gt;1.05,T43&lt;1))</formula>
    </cfRule>
    <cfRule type="expression" dxfId="47" priority="69">
      <formula>AND(AND(N43&gt;0.96,N43&lt;1.04),AND(T43&lt;1.05,T43&gt;1))</formula>
    </cfRule>
  </conditionalFormatting>
  <conditionalFormatting sqref="F37:F46">
    <cfRule type="expression" dxfId="46" priority="64">
      <formula>AND(N37&gt;0.96,N37&lt;1.04)</formula>
    </cfRule>
  </conditionalFormatting>
  <conditionalFormatting sqref="Z43:Z46">
    <cfRule type="expression" dxfId="45" priority="62">
      <formula>AND(AND(N43&gt;0.96,N43&lt;1.04),Z43&gt;1.07)</formula>
    </cfRule>
    <cfRule type="expression" dxfId="44" priority="63">
      <formula>AND(AND(N43&gt;0.96,N43&lt;1.04),Z43&lt;1.07)</formula>
    </cfRule>
  </conditionalFormatting>
  <conditionalFormatting sqref="N47:N48">
    <cfRule type="expression" dxfId="43" priority="60">
      <formula>AND(V47&gt;0.96,V47&lt;1.04)</formula>
    </cfRule>
  </conditionalFormatting>
  <conditionalFormatting sqref="H47">
    <cfRule type="expression" dxfId="42" priority="58">
      <formula>AND(AND(N47&gt;0.96,N47&lt;1.04),OR(H47&gt;1.05,H47&lt;0.95))</formula>
    </cfRule>
    <cfRule type="expression" dxfId="41" priority="59">
      <formula>AND(AND(N47&gt;0.96,N47&lt;1.04),AND(H47&lt;1.05,H47&gt;0.95))</formula>
    </cfRule>
  </conditionalFormatting>
  <conditionalFormatting sqref="N47:N48">
    <cfRule type="expression" dxfId="40" priority="53">
      <formula>AND(N47=N10025,N47=N10026)</formula>
    </cfRule>
    <cfRule type="expression" dxfId="39" priority="56">
      <formula>OR(N47&lt;0.96,N47&gt;1.04)</formula>
    </cfRule>
    <cfRule type="expression" dxfId="38" priority="57">
      <formula>AND(N47&gt;0.96,N47&lt;1.04)</formula>
    </cfRule>
  </conditionalFormatting>
  <conditionalFormatting sqref="T47:T48">
    <cfRule type="expression" dxfId="37" priority="54">
      <formula>AND(AND(N47&gt;0.96,N47&lt;1.04),OR(T47&gt;1.05,T47&lt;1))</formula>
    </cfRule>
    <cfRule type="expression" dxfId="36" priority="55">
      <formula>AND(AND(N47&gt;0.96,N47&lt;1.04),AND(T47&lt;1.05,T47&gt;1))</formula>
    </cfRule>
  </conditionalFormatting>
  <conditionalFormatting sqref="F47:F48">
    <cfRule type="expression" dxfId="35" priority="52">
      <formula>AND(N47&gt;0.96,N47&lt;1.04)</formula>
    </cfRule>
  </conditionalFormatting>
  <conditionalFormatting sqref="D5">
    <cfRule type="expression" dxfId="34" priority="48">
      <formula>IF($C$4="No",TRUE,FALSE)</formula>
    </cfRule>
    <cfRule type="expression" dxfId="33" priority="49">
      <formula>"C23=No"</formula>
    </cfRule>
  </conditionalFormatting>
  <conditionalFormatting sqref="M11:M12">
    <cfRule type="expression" dxfId="32" priority="32">
      <formula>AND(M11="Calculando...",M11="Calculando...")</formula>
    </cfRule>
    <cfRule type="expression" dxfId="31" priority="33">
      <formula>AND(M11="Carregando script...",M11="Carregando script...")</formula>
    </cfRule>
    <cfRule type="cellIs" dxfId="30" priority="34" operator="equal">
      <formula>"Carregando bibliotecas..."</formula>
    </cfRule>
    <cfRule type="cellIs" dxfId="29" priority="35" operator="equal">
      <formula>"ERRO!"</formula>
    </cfRule>
    <cfRule type="expression" dxfId="28" priority="36">
      <formula>AND(M11="Calculado",M11="Calculado")</formula>
    </cfRule>
  </conditionalFormatting>
  <conditionalFormatting sqref="D7">
    <cfRule type="expression" dxfId="27" priority="20">
      <formula>IF($C$4="No",TRUE,FALSE)</formula>
    </cfRule>
    <cfRule type="expression" dxfId="26" priority="21">
      <formula>"C23=No"</formula>
    </cfRule>
  </conditionalFormatting>
  <conditionalFormatting sqref="Z9">
    <cfRule type="expression" dxfId="25" priority="15">
      <formula>AND(Z9="Calculando...",Z9="Calculando...")</formula>
    </cfRule>
    <cfRule type="expression" dxfId="24" priority="16">
      <formula>AND(Z9="Carregando script...",Z9="Carregando script...")</formula>
    </cfRule>
    <cfRule type="cellIs" dxfId="23" priority="17" operator="equal">
      <formula>"Carregando bibliotecas..."</formula>
    </cfRule>
    <cfRule type="cellIs" dxfId="22" priority="18" operator="equal">
      <formula>"ERRO!"</formula>
    </cfRule>
    <cfRule type="expression" dxfId="21" priority="19">
      <formula>OR(Z9="Calculado",Z9="Calculado!")</formula>
    </cfRule>
  </conditionalFormatting>
  <conditionalFormatting sqref="AK11:AL12">
    <cfRule type="expression" dxfId="20" priority="10">
      <formula>AND(AK11="Calculando...",AK11="Calculando...")</formula>
    </cfRule>
    <cfRule type="expression" dxfId="19" priority="11">
      <formula>AND(AK11="Carregando script...",AK11="Carregando script...")</formula>
    </cfRule>
    <cfRule type="cellIs" dxfId="18" priority="12" operator="equal">
      <formula>"Carregando bibliotecas..."</formula>
    </cfRule>
    <cfRule type="cellIs" dxfId="17" priority="13" operator="equal">
      <formula>"ERRO!"</formula>
    </cfRule>
    <cfRule type="expression" dxfId="16" priority="14">
      <formula>AND(AK11="Calculado",AK11="Calculado")</formula>
    </cfRule>
  </conditionalFormatting>
  <conditionalFormatting sqref="O12">
    <cfRule type="expression" dxfId="15" priority="5">
      <formula>AND(O12="Calculando...",O12="Calculando...")</formula>
    </cfRule>
    <cfRule type="expression" dxfId="14" priority="6">
      <formula>AND(O12="Carregando script...",O12="Carregando script...")</formula>
    </cfRule>
    <cfRule type="cellIs" dxfId="13" priority="7" operator="equal">
      <formula>"Carregando bibliotecas..."</formula>
    </cfRule>
    <cfRule type="cellIs" dxfId="12" priority="8" operator="equal">
      <formula>"ERRO!"</formula>
    </cfRule>
    <cfRule type="expression" dxfId="11" priority="9">
      <formula>AND(O12="Calculado",O12="Calculado")</formula>
    </cfRule>
  </conditionalFormatting>
  <conditionalFormatting sqref="P47:P48">
    <cfRule type="expression" dxfId="10" priority="3">
      <formula>$P$48&lt;1</formula>
    </cfRule>
    <cfRule type="expression" dxfId="9" priority="4">
      <formula>$P$48&gt;1</formula>
    </cfRule>
  </conditionalFormatting>
  <conditionalFormatting sqref="Z47">
    <cfRule type="expression" dxfId="8" priority="1">
      <formula>AND(AND(N47&gt;0.96,N47&lt;1.04),IF($C$30="Yes",AND($Z$47&lt;=1.04),AND($Z$47&lt;1.07)))</formula>
    </cfRule>
    <cfRule type="expression" dxfId="7" priority="2">
      <formula>AND(AND(N47&gt;0.96,N47&lt;1.04),IF($C$30="Yes",AND($Z$47&gt;1.04),AND($Z$47&gt;1.07)))</formula>
    </cfRule>
  </conditionalFormatting>
  <conditionalFormatting sqref="Z48">
    <cfRule type="expression" dxfId="6" priority="50">
      <formula>IF($C$30="Yes",AND($Z$48&gt;1.04),AND($Z$48&gt;1.07))</formula>
    </cfRule>
    <cfRule type="expression" dxfId="5" priority="51">
      <formula>IF($C$30="Yes",AND($Z$48&lt;=1.04),AND($Z$48&lt;1.07))</formula>
    </cfRule>
  </conditionalFormatting>
  <dataValidations count="5">
    <dataValidation type="list" allowBlank="1" showInputMessage="1" showErrorMessage="1" sqref="C4 C57 C59 C53 C55 C8 C16 C24 C26 C28 C32 C30" xr:uid="{00000000-0002-0000-0200-000000000000}">
      <formula1>"Yes,No"</formula1>
    </dataValidation>
    <dataValidation type="list" allowBlank="1" showInputMessage="1" showErrorMessage="1" sqref="G6 AE6 AK6:AL6 M6 O6 U6 R6" xr:uid="{538D2325-0C42-48B1-AD4B-6E2D1C38C337}">
      <formula1>Vazão_mássica</formula1>
    </dataValidation>
    <dataValidation type="list" allowBlank="1" showInputMessage="1" showErrorMessage="1" sqref="AF6 H6" xr:uid="{706BDEAB-670C-49CF-A5F7-444CF1E7C3FB}">
      <formula1>Vazão_vol.</formula1>
    </dataValidation>
    <dataValidation type="list" allowBlank="1" showInputMessage="1" showErrorMessage="1" sqref="AI6 I6 K6 S6 AG6 P6" xr:uid="{DFF2F6C6-FBB8-45F1-8C85-361C42244203}">
      <formula1>Pressão_descarga_abs</formula1>
    </dataValidation>
    <dataValidation type="list" allowBlank="1" showInputMessage="1" showErrorMessage="1" sqref="Y3" xr:uid="{5EC08678-E6F0-470B-842E-F4DD63C43AC4}">
      <formula1>"Vazão Seção 1,Vazão Seção 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44" r:id="rId4" name="Button 76">
              <controlPr defaultSize="0" print="0" autoFill="0" autoPict="0" macro="[0]!Planilha3.Calcular_Teste">
                <anchor moveWithCells="1" sizeWithCells="1">
                  <from>
                    <xdr:col>25</xdr:col>
                    <xdr:colOff>209550</xdr:colOff>
                    <xdr:row>11</xdr:row>
                    <xdr:rowOff>85725</xdr:rowOff>
                  </from>
                  <to>
                    <xdr:col>26</xdr:col>
                    <xdr:colOff>685800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6B8AD6-E9BD-422A-B18C-828C0E1768E3}">
          <x14:formula1>
            <xm:f>GRAF!$M$4:$M$11</xm:f>
          </x14:formula1>
          <xm:sqref>V7:V16 AM7:AM16</xm:sqref>
        </x14:dataValidation>
        <x14:dataValidation type="list" allowBlank="1" showInputMessage="1" showErrorMessage="1" xr:uid="{54A4319D-B269-4641-8509-F553F485C862}">
          <x14:formula1>
            <xm:f>auxiliar!$I$3:$I$5</xm:f>
          </x14:formula1>
          <xm:sqref>AJ6 Q6 J6 T6 AH6 L6 N6</xm:sqref>
        </x14:dataValidation>
        <x14:dataValidation type="list" allowBlank="1" showInputMessage="1" showErrorMessage="1" xr:uid="{5F932519-6D59-4038-BF6F-50F57CC2A445}">
          <x14:formula1>
            <xm:f>auxiliar!$B$3:$B$4</xm:f>
          </x14:formula1>
          <xm:sqref>W6 AN6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E8061-A966-4BE1-8F55-F7FE026C2598}">
  <sheetPr codeName="Planilha7"/>
  <dimension ref="B2:AF32"/>
  <sheetViews>
    <sheetView showGridLines="0" zoomScale="70" zoomScaleNormal="70" workbookViewId="0">
      <selection activeCell="D17" sqref="D17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406" customFormat="1" ht="15.75" thickBot="1" x14ac:dyDescent="0.3"/>
    <row r="3" spans="2:32" ht="15.75" thickBot="1" x14ac:dyDescent="0.3">
      <c r="B3" s="730" t="s">
        <v>420</v>
      </c>
      <c r="C3" s="731"/>
      <c r="D3" s="392">
        <v>1</v>
      </c>
      <c r="F3" s="732" t="s">
        <v>420</v>
      </c>
      <c r="G3" s="733"/>
      <c r="H3" s="392">
        <v>2</v>
      </c>
      <c r="J3" s="730" t="s">
        <v>420</v>
      </c>
      <c r="K3" s="731"/>
      <c r="L3" s="392">
        <v>3</v>
      </c>
      <c r="N3" s="732" t="s">
        <v>420</v>
      </c>
      <c r="O3" s="733"/>
      <c r="P3" s="392">
        <v>4</v>
      </c>
      <c r="R3" s="730" t="s">
        <v>420</v>
      </c>
      <c r="S3" s="731"/>
      <c r="T3" s="392">
        <v>5</v>
      </c>
      <c r="V3" s="732" t="s">
        <v>420</v>
      </c>
      <c r="W3" s="733"/>
      <c r="X3" s="392">
        <v>6</v>
      </c>
      <c r="Z3" s="730" t="s">
        <v>420</v>
      </c>
      <c r="AA3" s="731"/>
      <c r="AB3" s="392">
        <v>7</v>
      </c>
      <c r="AD3" s="732" t="s">
        <v>420</v>
      </c>
      <c r="AE3" s="733"/>
      <c r="AF3" s="392">
        <v>8</v>
      </c>
    </row>
    <row r="4" spans="2:32" x14ac:dyDescent="0.25">
      <c r="B4" s="728"/>
      <c r="C4" s="729"/>
      <c r="D4" s="393" t="s">
        <v>291</v>
      </c>
      <c r="F4" s="728"/>
      <c r="G4" s="729"/>
      <c r="H4" s="393" t="s">
        <v>291</v>
      </c>
      <c r="J4" s="728"/>
      <c r="K4" s="729"/>
      <c r="L4" s="393" t="s">
        <v>291</v>
      </c>
      <c r="N4" s="728"/>
      <c r="O4" s="729"/>
      <c r="P4" s="393" t="s">
        <v>291</v>
      </c>
      <c r="R4" s="728"/>
      <c r="S4" s="729"/>
      <c r="T4" s="393" t="s">
        <v>291</v>
      </c>
      <c r="V4" s="728"/>
      <c r="W4" s="729"/>
      <c r="X4" s="393" t="s">
        <v>291</v>
      </c>
      <c r="Z4" s="728"/>
      <c r="AA4" s="729"/>
      <c r="AB4" s="393" t="s">
        <v>291</v>
      </c>
      <c r="AD4" s="728"/>
      <c r="AE4" s="729"/>
      <c r="AF4" s="393" t="s">
        <v>291</v>
      </c>
    </row>
    <row r="5" spans="2:32" x14ac:dyDescent="0.25">
      <c r="B5" s="679" t="s">
        <v>485</v>
      </c>
      <c r="C5" s="679"/>
      <c r="D5" s="213">
        <v>1</v>
      </c>
      <c r="F5" s="679" t="s">
        <v>487</v>
      </c>
      <c r="G5" s="679"/>
      <c r="H5" s="213">
        <v>0</v>
      </c>
      <c r="J5" s="679" t="s">
        <v>487</v>
      </c>
      <c r="K5" s="679"/>
      <c r="L5" s="213">
        <v>0</v>
      </c>
      <c r="N5" s="679" t="s">
        <v>487</v>
      </c>
      <c r="O5" s="679"/>
      <c r="P5" s="213">
        <v>0</v>
      </c>
      <c r="R5" s="679" t="s">
        <v>487</v>
      </c>
      <c r="S5" s="679"/>
      <c r="T5" s="213">
        <v>0</v>
      </c>
      <c r="V5" s="679" t="s">
        <v>487</v>
      </c>
      <c r="W5" s="679"/>
      <c r="X5" s="213">
        <v>0</v>
      </c>
      <c r="Z5" s="679" t="s">
        <v>487</v>
      </c>
      <c r="AA5" s="679"/>
      <c r="AB5" s="213">
        <v>0</v>
      </c>
      <c r="AD5" s="679" t="s">
        <v>487</v>
      </c>
      <c r="AE5" s="679"/>
      <c r="AF5" s="213">
        <v>0</v>
      </c>
    </row>
    <row r="6" spans="2:32" x14ac:dyDescent="0.25">
      <c r="B6" s="679" t="s">
        <v>95</v>
      </c>
      <c r="C6" s="679"/>
      <c r="D6" s="213">
        <v>0</v>
      </c>
      <c r="F6" s="679" t="s">
        <v>95</v>
      </c>
      <c r="G6" s="679"/>
      <c r="H6" s="213">
        <v>0</v>
      </c>
      <c r="J6" s="679" t="s">
        <v>95</v>
      </c>
      <c r="K6" s="679"/>
      <c r="L6" s="213">
        <v>0</v>
      </c>
      <c r="N6" s="679" t="s">
        <v>95</v>
      </c>
      <c r="O6" s="679"/>
      <c r="P6" s="213">
        <v>0</v>
      </c>
      <c r="R6" s="679" t="s">
        <v>95</v>
      </c>
      <c r="S6" s="679"/>
      <c r="T6" s="213">
        <v>0</v>
      </c>
      <c r="V6" s="679" t="s">
        <v>95</v>
      </c>
      <c r="W6" s="679"/>
      <c r="X6" s="213">
        <v>0</v>
      </c>
      <c r="Z6" s="679" t="s">
        <v>95</v>
      </c>
      <c r="AA6" s="679"/>
      <c r="AB6" s="213">
        <v>0</v>
      </c>
      <c r="AD6" s="679" t="s">
        <v>95</v>
      </c>
      <c r="AE6" s="679"/>
      <c r="AF6" s="213">
        <v>0</v>
      </c>
    </row>
    <row r="7" spans="2:32" x14ac:dyDescent="0.25">
      <c r="B7" s="679" t="s">
        <v>488</v>
      </c>
      <c r="C7" s="679"/>
      <c r="D7" s="213">
        <v>0</v>
      </c>
      <c r="F7" s="679" t="s">
        <v>488</v>
      </c>
      <c r="G7" s="679"/>
      <c r="H7" s="213">
        <v>0</v>
      </c>
      <c r="J7" s="679" t="s">
        <v>488</v>
      </c>
      <c r="K7" s="679"/>
      <c r="L7" s="213">
        <v>0</v>
      </c>
      <c r="N7" s="679" t="s">
        <v>488</v>
      </c>
      <c r="O7" s="679"/>
      <c r="P7" s="213">
        <v>0</v>
      </c>
      <c r="R7" s="679" t="s">
        <v>488</v>
      </c>
      <c r="S7" s="679"/>
      <c r="T7" s="213">
        <v>0</v>
      </c>
      <c r="V7" s="679" t="s">
        <v>488</v>
      </c>
      <c r="W7" s="679"/>
      <c r="X7" s="213">
        <v>0</v>
      </c>
      <c r="Z7" s="679" t="s">
        <v>488</v>
      </c>
      <c r="AA7" s="679"/>
      <c r="AB7" s="213">
        <v>0</v>
      </c>
      <c r="AD7" s="679" t="s">
        <v>488</v>
      </c>
      <c r="AE7" s="679"/>
      <c r="AF7" s="213">
        <v>0</v>
      </c>
    </row>
    <row r="8" spans="2:32" x14ac:dyDescent="0.25">
      <c r="B8" s="679" t="s">
        <v>96</v>
      </c>
      <c r="C8" s="679"/>
      <c r="D8" s="213">
        <v>0</v>
      </c>
      <c r="F8" s="679" t="s">
        <v>96</v>
      </c>
      <c r="G8" s="679"/>
      <c r="H8" s="213">
        <v>0</v>
      </c>
      <c r="J8" s="679" t="s">
        <v>96</v>
      </c>
      <c r="K8" s="679"/>
      <c r="L8" s="213">
        <v>0</v>
      </c>
      <c r="N8" s="679" t="s">
        <v>96</v>
      </c>
      <c r="O8" s="679"/>
      <c r="P8" s="213">
        <v>0</v>
      </c>
      <c r="R8" s="679" t="s">
        <v>96</v>
      </c>
      <c r="S8" s="679"/>
      <c r="T8" s="213">
        <v>0</v>
      </c>
      <c r="V8" s="679" t="s">
        <v>96</v>
      </c>
      <c r="W8" s="679"/>
      <c r="X8" s="213">
        <v>0</v>
      </c>
      <c r="Z8" s="679" t="s">
        <v>96</v>
      </c>
      <c r="AA8" s="679"/>
      <c r="AB8" s="213">
        <v>0</v>
      </c>
      <c r="AD8" s="679" t="s">
        <v>96</v>
      </c>
      <c r="AE8" s="679"/>
      <c r="AF8" s="213">
        <v>0</v>
      </c>
    </row>
    <row r="9" spans="2:32" x14ac:dyDescent="0.25">
      <c r="B9" s="679" t="s">
        <v>489</v>
      </c>
      <c r="C9" s="679"/>
      <c r="D9" s="213">
        <v>0</v>
      </c>
      <c r="F9" s="679" t="s">
        <v>489</v>
      </c>
      <c r="G9" s="679"/>
      <c r="H9" s="213">
        <v>0</v>
      </c>
      <c r="J9" s="679" t="s">
        <v>489</v>
      </c>
      <c r="K9" s="679"/>
      <c r="L9" s="213">
        <v>0</v>
      </c>
      <c r="N9" s="679" t="s">
        <v>489</v>
      </c>
      <c r="O9" s="679"/>
      <c r="P9" s="213">
        <v>0</v>
      </c>
      <c r="R9" s="679" t="s">
        <v>489</v>
      </c>
      <c r="S9" s="679"/>
      <c r="T9" s="213">
        <v>0</v>
      </c>
      <c r="V9" s="679" t="s">
        <v>489</v>
      </c>
      <c r="W9" s="679"/>
      <c r="X9" s="213">
        <v>0</v>
      </c>
      <c r="Z9" s="679" t="s">
        <v>489</v>
      </c>
      <c r="AA9" s="679"/>
      <c r="AB9" s="213">
        <v>0</v>
      </c>
      <c r="AD9" s="679" t="s">
        <v>489</v>
      </c>
      <c r="AE9" s="679"/>
      <c r="AF9" s="213">
        <v>0</v>
      </c>
    </row>
    <row r="10" spans="2:32" x14ac:dyDescent="0.25">
      <c r="B10" s="679" t="s">
        <v>98</v>
      </c>
      <c r="C10" s="679"/>
      <c r="D10" s="213">
        <v>0</v>
      </c>
      <c r="F10" s="679" t="s">
        <v>98</v>
      </c>
      <c r="G10" s="679"/>
      <c r="H10" s="213">
        <v>0</v>
      </c>
      <c r="J10" s="679" t="s">
        <v>98</v>
      </c>
      <c r="K10" s="679"/>
      <c r="L10" s="213">
        <v>0</v>
      </c>
      <c r="N10" s="679" t="s">
        <v>98</v>
      </c>
      <c r="O10" s="679"/>
      <c r="P10" s="213">
        <v>0</v>
      </c>
      <c r="R10" s="679" t="s">
        <v>98</v>
      </c>
      <c r="S10" s="679"/>
      <c r="T10" s="213">
        <v>0</v>
      </c>
      <c r="V10" s="679" t="s">
        <v>98</v>
      </c>
      <c r="W10" s="679"/>
      <c r="X10" s="213">
        <v>0</v>
      </c>
      <c r="Z10" s="679" t="s">
        <v>98</v>
      </c>
      <c r="AA10" s="679"/>
      <c r="AB10" s="213">
        <v>0</v>
      </c>
      <c r="AD10" s="679" t="s">
        <v>98</v>
      </c>
      <c r="AE10" s="679"/>
      <c r="AF10" s="213">
        <v>0</v>
      </c>
    </row>
    <row r="11" spans="2:32" x14ac:dyDescent="0.25">
      <c r="B11" s="679" t="s">
        <v>97</v>
      </c>
      <c r="C11" s="679"/>
      <c r="D11" s="213">
        <v>0</v>
      </c>
      <c r="F11" s="679" t="s">
        <v>97</v>
      </c>
      <c r="G11" s="679"/>
      <c r="H11" s="213">
        <v>0</v>
      </c>
      <c r="J11" s="679" t="s">
        <v>97</v>
      </c>
      <c r="K11" s="679"/>
      <c r="L11" s="213">
        <v>0</v>
      </c>
      <c r="N11" s="679" t="s">
        <v>97</v>
      </c>
      <c r="O11" s="679"/>
      <c r="P11" s="213">
        <v>0</v>
      </c>
      <c r="R11" s="679" t="s">
        <v>97</v>
      </c>
      <c r="S11" s="679"/>
      <c r="T11" s="213">
        <v>0</v>
      </c>
      <c r="V11" s="679" t="s">
        <v>97</v>
      </c>
      <c r="W11" s="679"/>
      <c r="X11" s="213">
        <v>0</v>
      </c>
      <c r="Z11" s="679" t="s">
        <v>97</v>
      </c>
      <c r="AA11" s="679"/>
      <c r="AB11" s="213">
        <v>0</v>
      </c>
      <c r="AD11" s="679" t="s">
        <v>97</v>
      </c>
      <c r="AE11" s="679"/>
      <c r="AF11" s="213">
        <v>0</v>
      </c>
    </row>
    <row r="12" spans="2:32" x14ac:dyDescent="0.25">
      <c r="B12" s="679" t="s">
        <v>100</v>
      </c>
      <c r="C12" s="679"/>
      <c r="D12" s="213">
        <v>0</v>
      </c>
      <c r="F12" s="679" t="s">
        <v>100</v>
      </c>
      <c r="G12" s="679"/>
      <c r="H12" s="213">
        <v>0</v>
      </c>
      <c r="J12" s="679" t="s">
        <v>100</v>
      </c>
      <c r="K12" s="679"/>
      <c r="L12" s="213">
        <v>0</v>
      </c>
      <c r="N12" s="679" t="s">
        <v>100</v>
      </c>
      <c r="O12" s="679"/>
      <c r="P12" s="213">
        <v>0</v>
      </c>
      <c r="R12" s="679" t="s">
        <v>100</v>
      </c>
      <c r="S12" s="679"/>
      <c r="T12" s="213">
        <v>0</v>
      </c>
      <c r="V12" s="679" t="s">
        <v>100</v>
      </c>
      <c r="W12" s="679"/>
      <c r="X12" s="213">
        <v>0</v>
      </c>
      <c r="Z12" s="679" t="s">
        <v>100</v>
      </c>
      <c r="AA12" s="679"/>
      <c r="AB12" s="213">
        <v>0</v>
      </c>
      <c r="AD12" s="679" t="s">
        <v>100</v>
      </c>
      <c r="AE12" s="679"/>
      <c r="AF12" s="213">
        <v>0</v>
      </c>
    </row>
    <row r="13" spans="2:32" x14ac:dyDescent="0.25">
      <c r="B13" s="679" t="s">
        <v>99</v>
      </c>
      <c r="C13" s="679"/>
      <c r="D13" s="213">
        <v>0</v>
      </c>
      <c r="F13" s="679" t="s">
        <v>99</v>
      </c>
      <c r="G13" s="679"/>
      <c r="H13" s="213">
        <v>0</v>
      </c>
      <c r="J13" s="679" t="s">
        <v>99</v>
      </c>
      <c r="K13" s="679"/>
      <c r="L13" s="213">
        <v>0</v>
      </c>
      <c r="N13" s="679" t="s">
        <v>99</v>
      </c>
      <c r="O13" s="679"/>
      <c r="P13" s="213">
        <v>0</v>
      </c>
      <c r="R13" s="679" t="s">
        <v>99</v>
      </c>
      <c r="S13" s="679"/>
      <c r="T13" s="213">
        <v>0</v>
      </c>
      <c r="V13" s="679" t="s">
        <v>99</v>
      </c>
      <c r="W13" s="679"/>
      <c r="X13" s="213">
        <v>0</v>
      </c>
      <c r="Z13" s="679" t="s">
        <v>99</v>
      </c>
      <c r="AA13" s="679"/>
      <c r="AB13" s="213">
        <v>0</v>
      </c>
      <c r="AD13" s="679" t="s">
        <v>99</v>
      </c>
      <c r="AE13" s="679"/>
      <c r="AF13" s="213">
        <v>0</v>
      </c>
    </row>
    <row r="14" spans="2:32" x14ac:dyDescent="0.25">
      <c r="B14" s="679" t="s">
        <v>102</v>
      </c>
      <c r="C14" s="679"/>
      <c r="D14" s="213">
        <v>0</v>
      </c>
      <c r="F14" s="679" t="s">
        <v>499</v>
      </c>
      <c r="G14" s="679"/>
      <c r="H14" s="213">
        <v>1</v>
      </c>
      <c r="J14" s="679" t="s">
        <v>102</v>
      </c>
      <c r="K14" s="679"/>
      <c r="L14" s="213">
        <v>0</v>
      </c>
      <c r="N14" s="679" t="s">
        <v>102</v>
      </c>
      <c r="O14" s="679"/>
      <c r="P14" s="213">
        <v>0</v>
      </c>
      <c r="R14" s="679" t="s">
        <v>102</v>
      </c>
      <c r="S14" s="679"/>
      <c r="T14" s="213">
        <v>0</v>
      </c>
      <c r="V14" s="679" t="s">
        <v>102</v>
      </c>
      <c r="W14" s="679"/>
      <c r="X14" s="213">
        <v>0</v>
      </c>
      <c r="Z14" s="679" t="s">
        <v>102</v>
      </c>
      <c r="AA14" s="679"/>
      <c r="AB14" s="213">
        <v>0</v>
      </c>
      <c r="AD14" s="679" t="s">
        <v>102</v>
      </c>
      <c r="AE14" s="679"/>
      <c r="AF14" s="213">
        <v>0</v>
      </c>
    </row>
    <row r="15" spans="2:32" x14ac:dyDescent="0.25">
      <c r="B15" s="679" t="s">
        <v>480</v>
      </c>
      <c r="C15" s="679"/>
      <c r="D15" s="213">
        <v>0</v>
      </c>
      <c r="F15" s="679" t="s">
        <v>480</v>
      </c>
      <c r="G15" s="679"/>
      <c r="H15" s="213">
        <v>0</v>
      </c>
      <c r="J15" s="679" t="s">
        <v>480</v>
      </c>
      <c r="K15" s="679"/>
      <c r="L15" s="213">
        <v>0</v>
      </c>
      <c r="N15" s="679" t="s">
        <v>480</v>
      </c>
      <c r="O15" s="679"/>
      <c r="P15" s="213">
        <v>0</v>
      </c>
      <c r="R15" s="679" t="s">
        <v>480</v>
      </c>
      <c r="S15" s="679"/>
      <c r="T15" s="213">
        <v>0</v>
      </c>
      <c r="V15" s="679" t="s">
        <v>480</v>
      </c>
      <c r="W15" s="679"/>
      <c r="X15" s="213">
        <v>0</v>
      </c>
      <c r="Z15" s="679" t="s">
        <v>480</v>
      </c>
      <c r="AA15" s="679"/>
      <c r="AB15" s="213">
        <v>0</v>
      </c>
      <c r="AD15" s="679" t="s">
        <v>480</v>
      </c>
      <c r="AE15" s="679"/>
      <c r="AF15" s="213">
        <v>0</v>
      </c>
    </row>
    <row r="16" spans="2:32" x14ac:dyDescent="0.25">
      <c r="B16" s="679" t="s">
        <v>501</v>
      </c>
      <c r="C16" s="679"/>
      <c r="D16" s="213">
        <v>0</v>
      </c>
      <c r="F16" s="679" t="s">
        <v>485</v>
      </c>
      <c r="G16" s="679"/>
      <c r="H16" s="213">
        <v>0</v>
      </c>
      <c r="J16" s="679" t="s">
        <v>485</v>
      </c>
      <c r="K16" s="679"/>
      <c r="L16" s="213">
        <v>1</v>
      </c>
      <c r="N16" s="679" t="s">
        <v>485</v>
      </c>
      <c r="O16" s="679"/>
      <c r="P16" s="213">
        <v>1</v>
      </c>
      <c r="R16" s="679" t="s">
        <v>485</v>
      </c>
      <c r="S16" s="679"/>
      <c r="T16" s="213">
        <v>1</v>
      </c>
      <c r="V16" s="679" t="s">
        <v>485</v>
      </c>
      <c r="W16" s="679"/>
      <c r="X16" s="213">
        <v>1</v>
      </c>
      <c r="Z16" s="679" t="s">
        <v>485</v>
      </c>
      <c r="AA16" s="679"/>
      <c r="AB16" s="213">
        <v>1</v>
      </c>
      <c r="AD16" s="679" t="s">
        <v>485</v>
      </c>
      <c r="AE16" s="679"/>
      <c r="AF16" s="213">
        <v>1</v>
      </c>
    </row>
    <row r="17" spans="2:32" x14ac:dyDescent="0.25">
      <c r="B17" s="679" t="s">
        <v>486</v>
      </c>
      <c r="C17" s="679"/>
      <c r="D17" s="213">
        <v>0</v>
      </c>
      <c r="F17" s="679" t="s">
        <v>486</v>
      </c>
      <c r="G17" s="679"/>
      <c r="H17" s="213">
        <v>0</v>
      </c>
      <c r="J17" s="679" t="s">
        <v>486</v>
      </c>
      <c r="K17" s="679"/>
      <c r="L17" s="213">
        <v>0</v>
      </c>
      <c r="N17" s="679" t="s">
        <v>486</v>
      </c>
      <c r="O17" s="679"/>
      <c r="P17" s="213">
        <v>0</v>
      </c>
      <c r="R17" s="679" t="s">
        <v>486</v>
      </c>
      <c r="S17" s="679"/>
      <c r="T17" s="213">
        <v>0</v>
      </c>
      <c r="V17" s="679" t="s">
        <v>486</v>
      </c>
      <c r="W17" s="679"/>
      <c r="X17" s="213">
        <v>0</v>
      </c>
      <c r="Z17" s="679" t="s">
        <v>486</v>
      </c>
      <c r="AA17" s="679"/>
      <c r="AB17" s="213">
        <v>0</v>
      </c>
      <c r="AD17" s="679" t="s">
        <v>486</v>
      </c>
      <c r="AE17" s="679"/>
      <c r="AF17" s="213">
        <v>0</v>
      </c>
    </row>
    <row r="18" spans="2:32" x14ac:dyDescent="0.25">
      <c r="B18" s="679" t="s">
        <v>104</v>
      </c>
      <c r="C18" s="679"/>
      <c r="D18" s="213">
        <v>0</v>
      </c>
      <c r="F18" s="679" t="s">
        <v>104</v>
      </c>
      <c r="G18" s="679"/>
      <c r="H18" s="213">
        <v>0</v>
      </c>
      <c r="J18" s="679" t="s">
        <v>104</v>
      </c>
      <c r="K18" s="679"/>
      <c r="L18" s="213">
        <v>0</v>
      </c>
      <c r="N18" s="679" t="s">
        <v>104</v>
      </c>
      <c r="O18" s="679"/>
      <c r="P18" s="213">
        <v>0</v>
      </c>
      <c r="R18" s="679" t="s">
        <v>104</v>
      </c>
      <c r="S18" s="679"/>
      <c r="T18" s="213">
        <v>0</v>
      </c>
      <c r="V18" s="679" t="s">
        <v>104</v>
      </c>
      <c r="W18" s="679"/>
      <c r="X18" s="213">
        <v>0</v>
      </c>
      <c r="Z18" s="679" t="s">
        <v>104</v>
      </c>
      <c r="AA18" s="679"/>
      <c r="AB18" s="213">
        <v>0</v>
      </c>
      <c r="AD18" s="679" t="s">
        <v>104</v>
      </c>
      <c r="AE18" s="679"/>
      <c r="AF18" s="213">
        <v>0</v>
      </c>
    </row>
    <row r="19" spans="2:32" x14ac:dyDescent="0.25">
      <c r="B19" s="679" t="s">
        <v>105</v>
      </c>
      <c r="C19" s="679"/>
      <c r="D19" s="213">
        <v>0</v>
      </c>
      <c r="F19" s="679" t="s">
        <v>105</v>
      </c>
      <c r="G19" s="679"/>
      <c r="H19" s="213">
        <v>0</v>
      </c>
      <c r="J19" s="679" t="s">
        <v>105</v>
      </c>
      <c r="K19" s="679"/>
      <c r="L19" s="213">
        <v>0</v>
      </c>
      <c r="N19" s="679" t="s">
        <v>105</v>
      </c>
      <c r="O19" s="679"/>
      <c r="P19" s="213">
        <v>0</v>
      </c>
      <c r="R19" s="679" t="s">
        <v>105</v>
      </c>
      <c r="S19" s="679"/>
      <c r="T19" s="213">
        <v>0</v>
      </c>
      <c r="V19" s="679" t="s">
        <v>105</v>
      </c>
      <c r="W19" s="679"/>
      <c r="X19" s="213">
        <v>0</v>
      </c>
      <c r="Z19" s="679" t="s">
        <v>105</v>
      </c>
      <c r="AA19" s="679"/>
      <c r="AB19" s="213">
        <v>0</v>
      </c>
      <c r="AD19" s="679" t="s">
        <v>105</v>
      </c>
      <c r="AE19" s="679"/>
      <c r="AF19" s="213">
        <v>0</v>
      </c>
    </row>
    <row r="20" spans="2:32" x14ac:dyDescent="0.25">
      <c r="B20" s="679" t="s">
        <v>490</v>
      </c>
      <c r="C20" s="679"/>
      <c r="D20" s="213">
        <v>0</v>
      </c>
      <c r="F20" s="679" t="s">
        <v>490</v>
      </c>
      <c r="G20" s="679"/>
      <c r="H20" s="213">
        <v>0</v>
      </c>
      <c r="J20" s="679" t="s">
        <v>490</v>
      </c>
      <c r="K20" s="679"/>
      <c r="L20" s="213">
        <v>0</v>
      </c>
      <c r="N20" s="679" t="s">
        <v>490</v>
      </c>
      <c r="O20" s="679"/>
      <c r="P20" s="213">
        <v>0</v>
      </c>
      <c r="R20" s="679" t="s">
        <v>490</v>
      </c>
      <c r="S20" s="679"/>
      <c r="T20" s="213">
        <v>0</v>
      </c>
      <c r="V20" s="679" t="s">
        <v>490</v>
      </c>
      <c r="W20" s="679"/>
      <c r="X20" s="213">
        <v>0</v>
      </c>
      <c r="Z20" s="679" t="s">
        <v>490</v>
      </c>
      <c r="AA20" s="679"/>
      <c r="AB20" s="213">
        <v>0</v>
      </c>
      <c r="AD20" s="679" t="s">
        <v>490</v>
      </c>
      <c r="AE20" s="679"/>
      <c r="AF20" s="213">
        <v>0</v>
      </c>
    </row>
    <row r="21" spans="2:32" x14ac:dyDescent="0.25">
      <c r="B21" s="679" t="s">
        <v>491</v>
      </c>
      <c r="C21" s="679"/>
      <c r="D21" s="213">
        <v>0</v>
      </c>
      <c r="F21" s="679" t="s">
        <v>491</v>
      </c>
      <c r="G21" s="679"/>
      <c r="H21" s="213">
        <v>0</v>
      </c>
      <c r="J21" s="679" t="s">
        <v>491</v>
      </c>
      <c r="K21" s="679"/>
      <c r="L21" s="213">
        <v>0</v>
      </c>
      <c r="N21" s="679" t="s">
        <v>491</v>
      </c>
      <c r="O21" s="679"/>
      <c r="P21" s="213">
        <v>0</v>
      </c>
      <c r="R21" s="679" t="s">
        <v>491</v>
      </c>
      <c r="S21" s="679"/>
      <c r="T21" s="213">
        <v>0</v>
      </c>
      <c r="V21" s="679" t="s">
        <v>491</v>
      </c>
      <c r="W21" s="679"/>
      <c r="X21" s="213">
        <v>0</v>
      </c>
      <c r="Z21" s="679" t="s">
        <v>491</v>
      </c>
      <c r="AA21" s="679"/>
      <c r="AB21" s="213">
        <v>0</v>
      </c>
      <c r="AD21" s="679" t="s">
        <v>491</v>
      </c>
      <c r="AE21" s="679"/>
      <c r="AF21" s="213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</sheetData>
  <mergeCells count="152">
    <mergeCell ref="R3:S3"/>
    <mergeCell ref="R4:S4"/>
    <mergeCell ref="R5:S5"/>
    <mergeCell ref="R21:S21"/>
    <mergeCell ref="R18:S18"/>
    <mergeCell ref="R19:S19"/>
    <mergeCell ref="R20:S20"/>
    <mergeCell ref="R15:S15"/>
    <mergeCell ref="R16:S16"/>
    <mergeCell ref="R17:S17"/>
    <mergeCell ref="R12:S12"/>
    <mergeCell ref="R13:S13"/>
    <mergeCell ref="R14:S14"/>
    <mergeCell ref="J3:K3"/>
    <mergeCell ref="N3:O3"/>
    <mergeCell ref="V3:W3"/>
    <mergeCell ref="Z3:AA3"/>
    <mergeCell ref="AD3:AE3"/>
    <mergeCell ref="Z16:AA16"/>
    <mergeCell ref="Z17:AA17"/>
    <mergeCell ref="Z18:AA18"/>
    <mergeCell ref="N20:O20"/>
    <mergeCell ref="AD19:AE19"/>
    <mergeCell ref="AD20:AE20"/>
    <mergeCell ref="AD4:AE4"/>
    <mergeCell ref="AD5:AE5"/>
    <mergeCell ref="AD6:AE6"/>
    <mergeCell ref="Z19:AA19"/>
    <mergeCell ref="Z20:AA20"/>
    <mergeCell ref="Z4:AA4"/>
    <mergeCell ref="Z5:AA5"/>
    <mergeCell ref="Z6:AA6"/>
    <mergeCell ref="Z7:AA7"/>
    <mergeCell ref="Z8:AA8"/>
    <mergeCell ref="Z9:AA9"/>
    <mergeCell ref="V7:W7"/>
    <mergeCell ref="V8:W8"/>
    <mergeCell ref="N15:O15"/>
    <mergeCell ref="N16:O16"/>
    <mergeCell ref="N17:O17"/>
    <mergeCell ref="N18:O18"/>
    <mergeCell ref="N19:O19"/>
    <mergeCell ref="N8:O8"/>
    <mergeCell ref="N9:O9"/>
    <mergeCell ref="N10:O10"/>
    <mergeCell ref="N11:O11"/>
    <mergeCell ref="AD21:AE21"/>
    <mergeCell ref="AD13:AE13"/>
    <mergeCell ref="AD14:AE14"/>
    <mergeCell ref="AD15:AE15"/>
    <mergeCell ref="AD16:AE16"/>
    <mergeCell ref="AD17:AE17"/>
    <mergeCell ref="AD18:AE18"/>
    <mergeCell ref="AD7:AE7"/>
    <mergeCell ref="AD8:AE8"/>
    <mergeCell ref="AD9:AE9"/>
    <mergeCell ref="AD10:AE10"/>
    <mergeCell ref="AD11:AE11"/>
    <mergeCell ref="AD12:AE12"/>
    <mergeCell ref="Z21:AA21"/>
    <mergeCell ref="Z10:AA10"/>
    <mergeCell ref="Z11:AA11"/>
    <mergeCell ref="Z12:AA12"/>
    <mergeCell ref="Z13:AA13"/>
    <mergeCell ref="Z14:AA14"/>
    <mergeCell ref="Z15:AA15"/>
    <mergeCell ref="V19:W19"/>
    <mergeCell ref="V20:W20"/>
    <mergeCell ref="V21:W21"/>
    <mergeCell ref="V13:W13"/>
    <mergeCell ref="V14:W14"/>
    <mergeCell ref="V15:W15"/>
    <mergeCell ref="V16:W16"/>
    <mergeCell ref="V17:W17"/>
    <mergeCell ref="V18:W18"/>
    <mergeCell ref="V9:W9"/>
    <mergeCell ref="V10:W10"/>
    <mergeCell ref="V11:W11"/>
    <mergeCell ref="V12:W12"/>
    <mergeCell ref="V4:W4"/>
    <mergeCell ref="V5:W5"/>
    <mergeCell ref="V6:W6"/>
    <mergeCell ref="N12:O12"/>
    <mergeCell ref="N13:O13"/>
    <mergeCell ref="R9:S9"/>
    <mergeCell ref="R10:S10"/>
    <mergeCell ref="R11:S11"/>
    <mergeCell ref="R6:S6"/>
    <mergeCell ref="R7:S7"/>
    <mergeCell ref="R8:S8"/>
    <mergeCell ref="J17:K17"/>
    <mergeCell ref="J18:K18"/>
    <mergeCell ref="J19:K19"/>
    <mergeCell ref="J20:K20"/>
    <mergeCell ref="J21:K21"/>
    <mergeCell ref="N4:O4"/>
    <mergeCell ref="N5:O5"/>
    <mergeCell ref="N6:O6"/>
    <mergeCell ref="N7:O7"/>
    <mergeCell ref="J11:K11"/>
    <mergeCell ref="J12:K12"/>
    <mergeCell ref="J13:K13"/>
    <mergeCell ref="J14:K14"/>
    <mergeCell ref="J15:K15"/>
    <mergeCell ref="J16:K16"/>
    <mergeCell ref="J4:K4"/>
    <mergeCell ref="J5:K5"/>
    <mergeCell ref="J6:K6"/>
    <mergeCell ref="J7:K7"/>
    <mergeCell ref="J8:K8"/>
    <mergeCell ref="J9:K9"/>
    <mergeCell ref="J10:K10"/>
    <mergeCell ref="N21:O21"/>
    <mergeCell ref="N14:O14"/>
    <mergeCell ref="F4:G4"/>
    <mergeCell ref="F5:G5"/>
    <mergeCell ref="F6:G6"/>
    <mergeCell ref="F7:G7"/>
    <mergeCell ref="B3:C3"/>
    <mergeCell ref="F3:G3"/>
    <mergeCell ref="B16:C16"/>
    <mergeCell ref="B17:C17"/>
    <mergeCell ref="B18:C18"/>
    <mergeCell ref="B4:C4"/>
    <mergeCell ref="B5:C5"/>
    <mergeCell ref="B6:C6"/>
    <mergeCell ref="B7:C7"/>
    <mergeCell ref="B8:C8"/>
    <mergeCell ref="B9:C9"/>
    <mergeCell ref="F17:G17"/>
    <mergeCell ref="F18:G18"/>
    <mergeCell ref="F8:G8"/>
    <mergeCell ref="F9:G9"/>
    <mergeCell ref="F10:G10"/>
    <mergeCell ref="F11:G11"/>
    <mergeCell ref="F12:G12"/>
    <mergeCell ref="F13:G13"/>
    <mergeCell ref="F14:G14"/>
    <mergeCell ref="F20:G20"/>
    <mergeCell ref="F21:G21"/>
    <mergeCell ref="F16:G16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F19:G19"/>
    <mergeCell ref="F15:G15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D78E6F-EF21-459B-A249-F9ECB19AEBC2}">
          <x14:formula1>
            <xm:f>auxiliar!$K$3:$K$34</xm:f>
          </x14:formula1>
          <xm:sqref>B5:B21 F5:F21 J5:J21 N5:N21 R5:R21 V5:V21 Z5:Z21 AD5:AD21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D13"/>
  <sheetViews>
    <sheetView showGridLines="0" workbookViewId="0">
      <selection activeCell="F8" sqref="F8"/>
    </sheetView>
  </sheetViews>
  <sheetFormatPr defaultRowHeight="15" x14ac:dyDescent="0.25"/>
  <sheetData>
    <row r="2" spans="1:4" ht="15.75" thickBot="1" x14ac:dyDescent="0.3"/>
    <row r="3" spans="1:4" x14ac:dyDescent="0.25">
      <c r="B3" s="734" t="s">
        <v>350</v>
      </c>
      <c r="C3" s="735"/>
      <c r="D3" s="736"/>
    </row>
    <row r="4" spans="1:4" ht="15.75" thickBot="1" x14ac:dyDescent="0.3">
      <c r="B4" s="247"/>
      <c r="C4" s="243" t="s">
        <v>348</v>
      </c>
      <c r="D4" s="244" t="s">
        <v>343</v>
      </c>
    </row>
    <row r="5" spans="1:4" x14ac:dyDescent="0.25">
      <c r="A5" t="s">
        <v>1</v>
      </c>
      <c r="B5" s="248" t="s">
        <v>342</v>
      </c>
      <c r="C5" s="252">
        <v>16.84</v>
      </c>
      <c r="D5" s="242">
        <f>0.980665*C5+1.01325</f>
        <v>17.527648599999999</v>
      </c>
    </row>
    <row r="6" spans="1:4" x14ac:dyDescent="0.25">
      <c r="B6" s="249"/>
      <c r="C6" s="246"/>
      <c r="D6" s="245"/>
    </row>
    <row r="7" spans="1:4" x14ac:dyDescent="0.25">
      <c r="B7" s="250" t="s">
        <v>345</v>
      </c>
      <c r="C7" s="252">
        <v>0</v>
      </c>
      <c r="D7" s="242">
        <f>0.980665*C7</f>
        <v>0</v>
      </c>
    </row>
    <row r="8" spans="1:4" x14ac:dyDescent="0.25">
      <c r="B8" s="249"/>
      <c r="C8" s="246"/>
      <c r="D8" s="245"/>
    </row>
    <row r="9" spans="1:4" x14ac:dyDescent="0.25">
      <c r="B9" s="250" t="s">
        <v>344</v>
      </c>
      <c r="C9" s="252">
        <v>0</v>
      </c>
      <c r="D9" s="242">
        <f>C9+1.01325</f>
        <v>1.01325</v>
      </c>
    </row>
    <row r="10" spans="1:4" x14ac:dyDescent="0.25">
      <c r="B10" s="249"/>
      <c r="C10" s="246"/>
      <c r="D10" s="245"/>
    </row>
    <row r="11" spans="1:4" x14ac:dyDescent="0.25">
      <c r="B11" s="250" t="s">
        <v>346</v>
      </c>
      <c r="C11" s="252">
        <v>0</v>
      </c>
      <c r="D11" s="242">
        <f>C11/100000+1.01325</f>
        <v>1.01325</v>
      </c>
    </row>
    <row r="12" spans="1:4" x14ac:dyDescent="0.25">
      <c r="B12" s="249"/>
      <c r="C12" s="246"/>
      <c r="D12" s="245"/>
    </row>
    <row r="13" spans="1:4" ht="15.75" thickBot="1" x14ac:dyDescent="0.3">
      <c r="B13" s="251" t="s">
        <v>347</v>
      </c>
      <c r="C13" s="253">
        <v>0</v>
      </c>
      <c r="D13" s="220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EE2E-7776-4720-A501-EA6F89F3333E}">
  <sheetPr codeName="Planilha6"/>
  <dimension ref="B2:O500"/>
  <sheetViews>
    <sheetView showGridLines="0" workbookViewId="0">
      <selection activeCell="N19" sqref="N19"/>
    </sheetView>
  </sheetViews>
  <sheetFormatPr defaultRowHeight="15" x14ac:dyDescent="0.25"/>
  <cols>
    <col min="9" max="9" width="11.140625" customWidth="1"/>
    <col min="10" max="10" width="22.28515625" customWidth="1"/>
  </cols>
  <sheetData>
    <row r="2" spans="2:15" ht="15.75" thickBot="1" x14ac:dyDescent="0.3"/>
    <row r="3" spans="2:15" x14ac:dyDescent="0.25">
      <c r="B3" s="737" t="s">
        <v>399</v>
      </c>
      <c r="C3" s="381" t="s">
        <v>92</v>
      </c>
      <c r="D3" s="381" t="s">
        <v>400</v>
      </c>
      <c r="E3" s="381" t="s">
        <v>401</v>
      </c>
      <c r="F3" s="381" t="s">
        <v>402</v>
      </c>
      <c r="G3" s="381" t="s">
        <v>403</v>
      </c>
      <c r="H3" s="739" t="s">
        <v>404</v>
      </c>
      <c r="I3" s="382" t="s">
        <v>292</v>
      </c>
      <c r="J3" s="741" t="s">
        <v>405</v>
      </c>
    </row>
    <row r="4" spans="2:15" ht="15.75" thickBot="1" x14ac:dyDescent="0.3">
      <c r="B4" s="738"/>
      <c r="C4" s="383" t="s">
        <v>406</v>
      </c>
      <c r="D4" s="383" t="s">
        <v>406</v>
      </c>
      <c r="E4" s="383" t="s">
        <v>341</v>
      </c>
      <c r="F4" s="383" t="s">
        <v>301</v>
      </c>
      <c r="G4" s="383" t="s">
        <v>407</v>
      </c>
      <c r="H4" s="740"/>
      <c r="I4" s="384" t="s">
        <v>299</v>
      </c>
      <c r="J4" s="742"/>
    </row>
    <row r="5" spans="2:15" ht="15.75" thickBot="1" x14ac:dyDescent="0.3">
      <c r="B5" s="385">
        <v>1</v>
      </c>
      <c r="C5" s="386">
        <v>250</v>
      </c>
      <c r="D5" s="386">
        <v>170</v>
      </c>
      <c r="E5" s="386">
        <v>1140</v>
      </c>
      <c r="F5" s="386">
        <v>203</v>
      </c>
      <c r="G5" s="386">
        <v>3700</v>
      </c>
      <c r="H5" s="387" t="s">
        <v>408</v>
      </c>
      <c r="I5" s="388"/>
      <c r="J5" s="315" t="s">
        <v>409</v>
      </c>
    </row>
    <row r="6" spans="2:15" x14ac:dyDescent="0.25">
      <c r="B6" s="385">
        <v>2</v>
      </c>
      <c r="C6" s="386">
        <v>250</v>
      </c>
      <c r="D6" s="386">
        <v>170</v>
      </c>
      <c r="E6" s="386">
        <v>1140</v>
      </c>
      <c r="F6" s="386">
        <v>180</v>
      </c>
      <c r="G6" s="386">
        <v>7350</v>
      </c>
      <c r="H6" s="387" t="s">
        <v>408</v>
      </c>
      <c r="I6" s="388"/>
      <c r="J6" s="315" t="s">
        <v>410</v>
      </c>
      <c r="L6" s="614" t="s">
        <v>388</v>
      </c>
      <c r="M6" s="615"/>
    </row>
    <row r="7" spans="2:15" x14ac:dyDescent="0.25">
      <c r="B7" s="385">
        <v>3</v>
      </c>
      <c r="C7" s="386">
        <v>250</v>
      </c>
      <c r="D7" s="386">
        <v>170</v>
      </c>
      <c r="E7" s="386">
        <v>1140</v>
      </c>
      <c r="F7" s="386">
        <v>161</v>
      </c>
      <c r="G7" s="386">
        <v>13900</v>
      </c>
      <c r="H7" s="387" t="s">
        <v>408</v>
      </c>
      <c r="I7" s="388"/>
      <c r="J7" s="315" t="s">
        <v>411</v>
      </c>
      <c r="L7" s="616"/>
      <c r="M7" s="617"/>
    </row>
    <row r="8" spans="2:15" x14ac:dyDescent="0.25">
      <c r="B8" s="385">
        <v>4</v>
      </c>
      <c r="C8" s="386">
        <v>250</v>
      </c>
      <c r="D8" s="386">
        <v>170</v>
      </c>
      <c r="E8" s="386">
        <v>1140</v>
      </c>
      <c r="F8" s="386">
        <v>159</v>
      </c>
      <c r="G8" s="386">
        <v>14950</v>
      </c>
      <c r="H8" s="387" t="s">
        <v>408</v>
      </c>
      <c r="I8" s="388"/>
      <c r="J8" s="315" t="s">
        <v>412</v>
      </c>
      <c r="L8" s="618" t="s">
        <v>479</v>
      </c>
      <c r="M8" s="619"/>
    </row>
    <row r="9" spans="2:15" ht="15.75" thickBot="1" x14ac:dyDescent="0.3">
      <c r="B9" s="385">
        <v>5</v>
      </c>
      <c r="C9" s="386">
        <v>250</v>
      </c>
      <c r="D9" s="386">
        <v>170</v>
      </c>
      <c r="E9" s="386">
        <v>1140</v>
      </c>
      <c r="F9" s="386">
        <v>150</v>
      </c>
      <c r="G9" s="386">
        <v>29500</v>
      </c>
      <c r="H9" s="387" t="s">
        <v>408</v>
      </c>
      <c r="I9" s="388"/>
      <c r="J9" s="315" t="s">
        <v>413</v>
      </c>
      <c r="L9" s="620"/>
      <c r="M9" s="621"/>
    </row>
    <row r="10" spans="2:15" x14ac:dyDescent="0.25">
      <c r="B10" s="385">
        <v>6</v>
      </c>
      <c r="C10" s="386"/>
      <c r="D10" s="386"/>
      <c r="E10" s="386"/>
      <c r="F10" s="386"/>
      <c r="G10" s="386"/>
      <c r="H10" s="387" t="s">
        <v>408</v>
      </c>
      <c r="I10" s="388"/>
      <c r="J10" s="315"/>
    </row>
    <row r="11" spans="2:15" x14ac:dyDescent="0.25">
      <c r="B11" s="385">
        <v>7</v>
      </c>
      <c r="C11" s="386"/>
      <c r="D11" s="386"/>
      <c r="E11" s="386"/>
      <c r="F11" s="386"/>
      <c r="G11" s="386"/>
      <c r="H11" s="387" t="s">
        <v>408</v>
      </c>
      <c r="I11" s="388"/>
      <c r="J11" s="315"/>
    </row>
    <row r="12" spans="2:15" x14ac:dyDescent="0.25">
      <c r="B12" s="385">
        <v>8</v>
      </c>
      <c r="C12" s="386"/>
      <c r="D12" s="386"/>
      <c r="E12" s="386"/>
      <c r="F12" s="386"/>
      <c r="G12" s="386"/>
      <c r="H12" s="387" t="s">
        <v>408</v>
      </c>
      <c r="I12" s="388"/>
      <c r="J12" s="315"/>
    </row>
    <row r="13" spans="2:15" x14ac:dyDescent="0.25">
      <c r="B13" s="385">
        <v>9</v>
      </c>
      <c r="C13" s="386"/>
      <c r="D13" s="386"/>
      <c r="E13" s="386"/>
      <c r="F13" s="386"/>
      <c r="G13" s="386"/>
      <c r="H13" s="387" t="s">
        <v>408</v>
      </c>
      <c r="I13" s="388"/>
      <c r="J13" s="315"/>
    </row>
    <row r="14" spans="2:15" x14ac:dyDescent="0.25">
      <c r="B14" s="385">
        <v>10</v>
      </c>
      <c r="C14" s="386"/>
      <c r="D14" s="386"/>
      <c r="E14" s="386"/>
      <c r="F14" s="386"/>
      <c r="G14" s="386"/>
      <c r="H14" s="387" t="s">
        <v>408</v>
      </c>
      <c r="I14" s="388"/>
      <c r="J14" s="315"/>
    </row>
    <row r="15" spans="2:15" x14ac:dyDescent="0.25">
      <c r="B15" s="385">
        <v>11</v>
      </c>
      <c r="C15" s="386"/>
      <c r="D15" s="386"/>
      <c r="E15" s="386"/>
      <c r="F15" s="386"/>
      <c r="G15" s="386"/>
      <c r="H15" s="387" t="s">
        <v>408</v>
      </c>
      <c r="I15" s="388"/>
      <c r="J15" s="315"/>
      <c r="O15" t="s">
        <v>1</v>
      </c>
    </row>
    <row r="16" spans="2:15" x14ac:dyDescent="0.25">
      <c r="B16" s="385">
        <v>12</v>
      </c>
      <c r="C16" s="386"/>
      <c r="D16" s="386"/>
      <c r="E16" s="386"/>
      <c r="F16" s="386"/>
      <c r="G16" s="386"/>
      <c r="H16" s="387" t="s">
        <v>408</v>
      </c>
      <c r="I16" s="388"/>
      <c r="J16" s="315"/>
    </row>
    <row r="17" spans="2:10" x14ac:dyDescent="0.25">
      <c r="B17" s="385">
        <v>13</v>
      </c>
      <c r="C17" s="386"/>
      <c r="D17" s="386"/>
      <c r="E17" s="386"/>
      <c r="F17" s="386"/>
      <c r="G17" s="386"/>
      <c r="H17" s="387" t="s">
        <v>408</v>
      </c>
      <c r="I17" s="388"/>
      <c r="J17" s="315"/>
    </row>
    <row r="18" spans="2:10" x14ac:dyDescent="0.25">
      <c r="B18" s="385">
        <v>14</v>
      </c>
      <c r="C18" s="386"/>
      <c r="D18" s="386"/>
      <c r="E18" s="386"/>
      <c r="F18" s="386"/>
      <c r="G18" s="386"/>
      <c r="H18" s="387" t="s">
        <v>408</v>
      </c>
      <c r="I18" s="388"/>
      <c r="J18" s="315"/>
    </row>
    <row r="19" spans="2:10" x14ac:dyDescent="0.25">
      <c r="B19" s="385">
        <v>15</v>
      </c>
      <c r="C19" s="386"/>
      <c r="D19" s="386"/>
      <c r="E19" s="386"/>
      <c r="F19" s="386"/>
      <c r="G19" s="386"/>
      <c r="H19" s="387" t="s">
        <v>408</v>
      </c>
      <c r="I19" s="388"/>
      <c r="J19" s="315"/>
    </row>
    <row r="20" spans="2:10" x14ac:dyDescent="0.25">
      <c r="B20" s="385">
        <v>16</v>
      </c>
      <c r="C20" s="386"/>
      <c r="D20" s="386"/>
      <c r="E20" s="386"/>
      <c r="F20" s="386"/>
      <c r="G20" s="386"/>
      <c r="H20" s="387" t="s">
        <v>408</v>
      </c>
      <c r="I20" s="388"/>
      <c r="J20" s="315"/>
    </row>
    <row r="21" spans="2:10" x14ac:dyDescent="0.25">
      <c r="B21" s="385">
        <v>17</v>
      </c>
      <c r="C21" s="386"/>
      <c r="D21" s="386"/>
      <c r="E21" s="386"/>
      <c r="F21" s="386"/>
      <c r="G21" s="386"/>
      <c r="H21" s="387" t="s">
        <v>408</v>
      </c>
      <c r="I21" s="388"/>
      <c r="J21" s="315"/>
    </row>
    <row r="22" spans="2:10" x14ac:dyDescent="0.25">
      <c r="B22" s="385">
        <v>18</v>
      </c>
      <c r="C22" s="386"/>
      <c r="D22" s="386"/>
      <c r="E22" s="386"/>
      <c r="F22" s="386"/>
      <c r="G22" s="386"/>
      <c r="H22" s="387" t="s">
        <v>408</v>
      </c>
      <c r="I22" s="388"/>
      <c r="J22" s="315"/>
    </row>
    <row r="23" spans="2:10" x14ac:dyDescent="0.25">
      <c r="B23" s="385">
        <v>19</v>
      </c>
      <c r="C23" s="386"/>
      <c r="D23" s="386"/>
      <c r="E23" s="386"/>
      <c r="F23" s="386"/>
      <c r="G23" s="386"/>
      <c r="H23" s="387" t="s">
        <v>408</v>
      </c>
      <c r="I23" s="388"/>
      <c r="J23" s="315"/>
    </row>
    <row r="24" spans="2:10" x14ac:dyDescent="0.25">
      <c r="B24" s="385">
        <v>20</v>
      </c>
      <c r="C24" s="386"/>
      <c r="D24" s="386"/>
      <c r="E24" s="386"/>
      <c r="F24" s="386"/>
      <c r="G24" s="386"/>
      <c r="H24" s="387" t="s">
        <v>408</v>
      </c>
      <c r="I24" s="388"/>
      <c r="J24" s="315"/>
    </row>
    <row r="25" spans="2:10" x14ac:dyDescent="0.25">
      <c r="B25" s="385">
        <v>21</v>
      </c>
      <c r="C25" s="386"/>
      <c r="D25" s="386"/>
      <c r="E25" s="386"/>
      <c r="F25" s="386"/>
      <c r="G25" s="386"/>
      <c r="H25" s="387" t="s">
        <v>408</v>
      </c>
      <c r="I25" s="388"/>
      <c r="J25" s="315"/>
    </row>
    <row r="26" spans="2:10" x14ac:dyDescent="0.25">
      <c r="B26" s="385">
        <v>22</v>
      </c>
      <c r="C26" s="386"/>
      <c r="D26" s="386"/>
      <c r="E26" s="386"/>
      <c r="F26" s="386"/>
      <c r="G26" s="386"/>
      <c r="H26" s="387" t="s">
        <v>408</v>
      </c>
      <c r="I26" s="388"/>
      <c r="J26" s="315"/>
    </row>
    <row r="27" spans="2:10" x14ac:dyDescent="0.25">
      <c r="B27" s="385">
        <v>23</v>
      </c>
      <c r="C27" s="386"/>
      <c r="D27" s="386"/>
      <c r="E27" s="386"/>
      <c r="F27" s="386"/>
      <c r="G27" s="386"/>
      <c r="H27" s="387" t="s">
        <v>408</v>
      </c>
      <c r="I27" s="388"/>
      <c r="J27" s="315"/>
    </row>
    <row r="28" spans="2:10" x14ac:dyDescent="0.25">
      <c r="B28" s="385">
        <v>24</v>
      </c>
      <c r="C28" s="386"/>
      <c r="D28" s="386"/>
      <c r="E28" s="386"/>
      <c r="F28" s="386"/>
      <c r="G28" s="386"/>
      <c r="H28" s="387" t="s">
        <v>408</v>
      </c>
      <c r="I28" s="388"/>
      <c r="J28" s="315"/>
    </row>
    <row r="29" spans="2:10" x14ac:dyDescent="0.25">
      <c r="B29" s="385">
        <v>25</v>
      </c>
      <c r="C29" s="386"/>
      <c r="D29" s="386"/>
      <c r="E29" s="386"/>
      <c r="F29" s="386"/>
      <c r="G29" s="386"/>
      <c r="H29" s="387" t="s">
        <v>408</v>
      </c>
      <c r="I29" s="388"/>
      <c r="J29" s="315"/>
    </row>
    <row r="30" spans="2:10" x14ac:dyDescent="0.25">
      <c r="B30" s="385">
        <v>26</v>
      </c>
      <c r="C30" s="386"/>
      <c r="D30" s="386"/>
      <c r="E30" s="386"/>
      <c r="F30" s="386"/>
      <c r="G30" s="386"/>
      <c r="H30" s="387" t="s">
        <v>408</v>
      </c>
      <c r="I30" s="388"/>
      <c r="J30" s="315"/>
    </row>
    <row r="31" spans="2:10" x14ac:dyDescent="0.25">
      <c r="B31" s="385">
        <v>27</v>
      </c>
      <c r="C31" s="386"/>
      <c r="D31" s="386"/>
      <c r="E31" s="386"/>
      <c r="F31" s="386"/>
      <c r="G31" s="386"/>
      <c r="H31" s="387" t="s">
        <v>408</v>
      </c>
      <c r="I31" s="388"/>
      <c r="J31" s="315"/>
    </row>
    <row r="32" spans="2:10" x14ac:dyDescent="0.25">
      <c r="B32" s="385">
        <v>28</v>
      </c>
      <c r="C32" s="386"/>
      <c r="D32" s="386"/>
      <c r="E32" s="386"/>
      <c r="F32" s="386"/>
      <c r="G32" s="386"/>
      <c r="H32" s="387" t="s">
        <v>408</v>
      </c>
      <c r="I32" s="388"/>
      <c r="J32" s="315"/>
    </row>
    <row r="33" spans="2:10" x14ac:dyDescent="0.25">
      <c r="B33" s="385">
        <v>29</v>
      </c>
      <c r="C33" s="386"/>
      <c r="D33" s="386"/>
      <c r="E33" s="386"/>
      <c r="F33" s="386"/>
      <c r="G33" s="386"/>
      <c r="H33" s="387" t="s">
        <v>408</v>
      </c>
      <c r="I33" s="388"/>
      <c r="J33" s="315"/>
    </row>
    <row r="34" spans="2:10" x14ac:dyDescent="0.25">
      <c r="B34" s="385">
        <v>30</v>
      </c>
      <c r="C34" s="386"/>
      <c r="D34" s="386"/>
      <c r="E34" s="386"/>
      <c r="F34" s="386"/>
      <c r="G34" s="386"/>
      <c r="H34" s="387" t="s">
        <v>408</v>
      </c>
      <c r="I34" s="388"/>
      <c r="J34" s="315"/>
    </row>
    <row r="35" spans="2:10" x14ac:dyDescent="0.25">
      <c r="B35" s="385">
        <v>31</v>
      </c>
      <c r="C35" s="386"/>
      <c r="D35" s="386"/>
      <c r="E35" s="386"/>
      <c r="F35" s="386"/>
      <c r="G35" s="386"/>
      <c r="H35" s="387" t="s">
        <v>408</v>
      </c>
      <c r="I35" s="388"/>
      <c r="J35" s="315"/>
    </row>
    <row r="36" spans="2:10" x14ac:dyDescent="0.25">
      <c r="B36" s="385">
        <v>32</v>
      </c>
      <c r="C36" s="386"/>
      <c r="D36" s="386"/>
      <c r="E36" s="386"/>
      <c r="F36" s="386"/>
      <c r="G36" s="386"/>
      <c r="H36" s="387" t="s">
        <v>408</v>
      </c>
      <c r="I36" s="388"/>
      <c r="J36" s="315"/>
    </row>
    <row r="37" spans="2:10" x14ac:dyDescent="0.25">
      <c r="B37" s="385">
        <v>33</v>
      </c>
      <c r="C37" s="386"/>
      <c r="D37" s="386"/>
      <c r="E37" s="386"/>
      <c r="F37" s="386"/>
      <c r="G37" s="386"/>
      <c r="H37" s="387" t="s">
        <v>408</v>
      </c>
      <c r="I37" s="388"/>
      <c r="J37" s="315"/>
    </row>
    <row r="38" spans="2:10" x14ac:dyDescent="0.25">
      <c r="B38" s="385">
        <v>34</v>
      </c>
      <c r="C38" s="386"/>
      <c r="D38" s="386"/>
      <c r="E38" s="386"/>
      <c r="F38" s="386"/>
      <c r="G38" s="386"/>
      <c r="H38" s="387" t="s">
        <v>408</v>
      </c>
      <c r="I38" s="388"/>
      <c r="J38" s="315"/>
    </row>
    <row r="39" spans="2:10" x14ac:dyDescent="0.25">
      <c r="B39" s="385">
        <v>35</v>
      </c>
      <c r="C39" s="386"/>
      <c r="D39" s="386"/>
      <c r="E39" s="386"/>
      <c r="F39" s="386"/>
      <c r="G39" s="386"/>
      <c r="H39" s="387" t="s">
        <v>408</v>
      </c>
      <c r="I39" s="388"/>
      <c r="J39" s="315"/>
    </row>
    <row r="40" spans="2:10" x14ac:dyDescent="0.25">
      <c r="B40" s="385">
        <v>36</v>
      </c>
      <c r="C40" s="386"/>
      <c r="D40" s="386"/>
      <c r="E40" s="386"/>
      <c r="F40" s="386"/>
      <c r="G40" s="386"/>
      <c r="H40" s="387" t="s">
        <v>408</v>
      </c>
      <c r="I40" s="388"/>
      <c r="J40" s="315"/>
    </row>
    <row r="41" spans="2:10" x14ac:dyDescent="0.25">
      <c r="B41" s="385">
        <v>37</v>
      </c>
      <c r="C41" s="386"/>
      <c r="D41" s="386"/>
      <c r="E41" s="386"/>
      <c r="F41" s="386"/>
      <c r="G41" s="386"/>
      <c r="H41" s="387" t="s">
        <v>408</v>
      </c>
      <c r="I41" s="388"/>
      <c r="J41" s="315"/>
    </row>
    <row r="42" spans="2:10" x14ac:dyDescent="0.25">
      <c r="B42" s="385">
        <v>38</v>
      </c>
      <c r="C42" s="386"/>
      <c r="D42" s="386"/>
      <c r="E42" s="386"/>
      <c r="F42" s="386"/>
      <c r="G42" s="386"/>
      <c r="H42" s="387" t="s">
        <v>408</v>
      </c>
      <c r="I42" s="388"/>
      <c r="J42" s="315"/>
    </row>
    <row r="43" spans="2:10" x14ac:dyDescent="0.25">
      <c r="B43" s="385">
        <v>39</v>
      </c>
      <c r="C43" s="386"/>
      <c r="D43" s="386"/>
      <c r="E43" s="386"/>
      <c r="F43" s="386"/>
      <c r="G43" s="386"/>
      <c r="H43" s="387" t="s">
        <v>408</v>
      </c>
      <c r="I43" s="388"/>
      <c r="J43" s="315"/>
    </row>
    <row r="44" spans="2:10" x14ac:dyDescent="0.25">
      <c r="B44" s="385">
        <v>40</v>
      </c>
      <c r="C44" s="386"/>
      <c r="D44" s="386"/>
      <c r="E44" s="386"/>
      <c r="F44" s="386"/>
      <c r="G44" s="386"/>
      <c r="H44" s="387" t="s">
        <v>408</v>
      </c>
      <c r="I44" s="388"/>
      <c r="J44" s="315"/>
    </row>
    <row r="45" spans="2:10" x14ac:dyDescent="0.25">
      <c r="B45" s="385">
        <v>41</v>
      </c>
      <c r="C45" s="386"/>
      <c r="D45" s="386"/>
      <c r="E45" s="386"/>
      <c r="F45" s="386"/>
      <c r="G45" s="386"/>
      <c r="H45" s="387" t="s">
        <v>408</v>
      </c>
      <c r="I45" s="388"/>
      <c r="J45" s="315"/>
    </row>
    <row r="46" spans="2:10" x14ac:dyDescent="0.25">
      <c r="B46" s="385">
        <v>42</v>
      </c>
      <c r="C46" s="386"/>
      <c r="D46" s="386"/>
      <c r="E46" s="386"/>
      <c r="F46" s="386"/>
      <c r="G46" s="386"/>
      <c r="H46" s="387" t="s">
        <v>408</v>
      </c>
      <c r="I46" s="388"/>
      <c r="J46" s="315"/>
    </row>
    <row r="47" spans="2:10" x14ac:dyDescent="0.25">
      <c r="B47" s="385">
        <v>43</v>
      </c>
      <c r="C47" s="386"/>
      <c r="D47" s="386"/>
      <c r="E47" s="386"/>
      <c r="F47" s="386"/>
      <c r="G47" s="386"/>
      <c r="H47" s="387" t="s">
        <v>408</v>
      </c>
      <c r="I47" s="388"/>
      <c r="J47" s="315"/>
    </row>
    <row r="48" spans="2:10" x14ac:dyDescent="0.25">
      <c r="B48" s="385">
        <v>44</v>
      </c>
      <c r="C48" s="386"/>
      <c r="D48" s="386"/>
      <c r="E48" s="386"/>
      <c r="F48" s="386"/>
      <c r="G48" s="386"/>
      <c r="H48" s="387" t="s">
        <v>408</v>
      </c>
      <c r="I48" s="388"/>
      <c r="J48" s="315"/>
    </row>
    <row r="49" spans="2:10" x14ac:dyDescent="0.25">
      <c r="B49" s="385">
        <v>45</v>
      </c>
      <c r="C49" s="386"/>
      <c r="D49" s="386"/>
      <c r="E49" s="386"/>
      <c r="F49" s="386"/>
      <c r="G49" s="386"/>
      <c r="H49" s="387" t="s">
        <v>408</v>
      </c>
      <c r="I49" s="388"/>
      <c r="J49" s="315"/>
    </row>
    <row r="50" spans="2:10" x14ac:dyDescent="0.25">
      <c r="B50" s="385">
        <v>46</v>
      </c>
      <c r="C50" s="386"/>
      <c r="D50" s="386"/>
      <c r="E50" s="386"/>
      <c r="F50" s="386"/>
      <c r="G50" s="386"/>
      <c r="H50" s="387" t="s">
        <v>408</v>
      </c>
      <c r="I50" s="388"/>
      <c r="J50" s="315"/>
    </row>
    <row r="51" spans="2:10" x14ac:dyDescent="0.25">
      <c r="B51" s="385">
        <v>47</v>
      </c>
      <c r="C51" s="386"/>
      <c r="D51" s="386"/>
      <c r="E51" s="386"/>
      <c r="F51" s="386"/>
      <c r="G51" s="386"/>
      <c r="H51" s="387" t="s">
        <v>408</v>
      </c>
      <c r="I51" s="388"/>
      <c r="J51" s="315"/>
    </row>
    <row r="52" spans="2:10" x14ac:dyDescent="0.25">
      <c r="B52" s="385">
        <v>48</v>
      </c>
      <c r="C52" s="386"/>
      <c r="D52" s="386"/>
      <c r="E52" s="386"/>
      <c r="F52" s="386"/>
      <c r="G52" s="386"/>
      <c r="H52" s="387" t="s">
        <v>408</v>
      </c>
      <c r="I52" s="388"/>
      <c r="J52" s="315"/>
    </row>
    <row r="53" spans="2:10" x14ac:dyDescent="0.25">
      <c r="B53" s="385">
        <v>49</v>
      </c>
      <c r="C53" s="386"/>
      <c r="D53" s="386"/>
      <c r="E53" s="386"/>
      <c r="F53" s="386"/>
      <c r="G53" s="386"/>
      <c r="H53" s="387" t="s">
        <v>408</v>
      </c>
      <c r="I53" s="388"/>
      <c r="J53" s="315"/>
    </row>
    <row r="54" spans="2:10" x14ac:dyDescent="0.25">
      <c r="B54" s="385">
        <v>50</v>
      </c>
      <c r="C54" s="386"/>
      <c r="D54" s="386"/>
      <c r="E54" s="386"/>
      <c r="F54" s="386"/>
      <c r="G54" s="386"/>
      <c r="H54" s="387" t="s">
        <v>408</v>
      </c>
      <c r="I54" s="388"/>
      <c r="J54" s="315"/>
    </row>
    <row r="55" spans="2:10" x14ac:dyDescent="0.25">
      <c r="B55" s="385">
        <v>51</v>
      </c>
      <c r="C55" s="386"/>
      <c r="D55" s="386"/>
      <c r="E55" s="386"/>
      <c r="F55" s="386"/>
      <c r="G55" s="386"/>
      <c r="H55" s="387" t="s">
        <v>408</v>
      </c>
      <c r="I55" s="388"/>
      <c r="J55" s="315"/>
    </row>
    <row r="56" spans="2:10" x14ac:dyDescent="0.25">
      <c r="B56" s="385">
        <v>52</v>
      </c>
      <c r="C56" s="386"/>
      <c r="D56" s="386"/>
      <c r="E56" s="386"/>
      <c r="F56" s="386"/>
      <c r="G56" s="386"/>
      <c r="H56" s="387" t="s">
        <v>408</v>
      </c>
      <c r="I56" s="388"/>
      <c r="J56" s="315"/>
    </row>
    <row r="57" spans="2:10" x14ac:dyDescent="0.25">
      <c r="B57" s="385">
        <v>53</v>
      </c>
      <c r="C57" s="386"/>
      <c r="D57" s="386"/>
      <c r="E57" s="386"/>
      <c r="F57" s="386"/>
      <c r="G57" s="386"/>
      <c r="H57" s="387" t="s">
        <v>408</v>
      </c>
      <c r="I57" s="388"/>
      <c r="J57" s="315"/>
    </row>
    <row r="58" spans="2:10" x14ac:dyDescent="0.25">
      <c r="B58" s="385">
        <v>54</v>
      </c>
      <c r="C58" s="386"/>
      <c r="D58" s="386"/>
      <c r="E58" s="386"/>
      <c r="F58" s="386"/>
      <c r="G58" s="386"/>
      <c r="H58" s="387" t="s">
        <v>408</v>
      </c>
      <c r="I58" s="388"/>
      <c r="J58" s="315"/>
    </row>
    <row r="59" spans="2:10" x14ac:dyDescent="0.25">
      <c r="B59" s="385">
        <v>55</v>
      </c>
      <c r="C59" s="386"/>
      <c r="D59" s="386"/>
      <c r="E59" s="386"/>
      <c r="F59" s="386"/>
      <c r="G59" s="386"/>
      <c r="H59" s="387" t="s">
        <v>408</v>
      </c>
      <c r="I59" s="388"/>
      <c r="J59" s="315"/>
    </row>
    <row r="60" spans="2:10" x14ac:dyDescent="0.25">
      <c r="B60" s="385">
        <v>56</v>
      </c>
      <c r="C60" s="386"/>
      <c r="D60" s="386"/>
      <c r="E60" s="386"/>
      <c r="F60" s="386"/>
      <c r="G60" s="386"/>
      <c r="H60" s="387" t="s">
        <v>408</v>
      </c>
      <c r="I60" s="388"/>
      <c r="J60" s="315"/>
    </row>
    <row r="61" spans="2:10" x14ac:dyDescent="0.25">
      <c r="B61" s="385">
        <v>57</v>
      </c>
      <c r="C61" s="386"/>
      <c r="D61" s="386"/>
      <c r="E61" s="386"/>
      <c r="F61" s="386"/>
      <c r="G61" s="386"/>
      <c r="H61" s="387" t="s">
        <v>408</v>
      </c>
      <c r="I61" s="388"/>
      <c r="J61" s="315"/>
    </row>
    <row r="62" spans="2:10" x14ac:dyDescent="0.25">
      <c r="B62" s="385">
        <v>58</v>
      </c>
      <c r="C62" s="386"/>
      <c r="D62" s="386"/>
      <c r="E62" s="386"/>
      <c r="F62" s="386"/>
      <c r="G62" s="386"/>
      <c r="H62" s="387" t="s">
        <v>408</v>
      </c>
      <c r="I62" s="388"/>
      <c r="J62" s="315"/>
    </row>
    <row r="63" spans="2:10" x14ac:dyDescent="0.25">
      <c r="B63" s="385">
        <v>59</v>
      </c>
      <c r="C63" s="386"/>
      <c r="D63" s="386"/>
      <c r="E63" s="386"/>
      <c r="F63" s="386"/>
      <c r="G63" s="386"/>
      <c r="H63" s="387" t="s">
        <v>408</v>
      </c>
      <c r="I63" s="388"/>
      <c r="J63" s="315"/>
    </row>
    <row r="64" spans="2:10" x14ac:dyDescent="0.25">
      <c r="B64" s="385">
        <v>60</v>
      </c>
      <c r="C64" s="386"/>
      <c r="D64" s="386"/>
      <c r="E64" s="386"/>
      <c r="F64" s="386"/>
      <c r="G64" s="386"/>
      <c r="H64" s="387" t="s">
        <v>408</v>
      </c>
      <c r="I64" s="388"/>
      <c r="J64" s="315"/>
    </row>
    <row r="65" spans="2:10" x14ac:dyDescent="0.25">
      <c r="B65" s="385">
        <v>61</v>
      </c>
      <c r="C65" s="386"/>
      <c r="D65" s="386"/>
      <c r="E65" s="386"/>
      <c r="F65" s="386"/>
      <c r="G65" s="386"/>
      <c r="H65" s="387" t="s">
        <v>408</v>
      </c>
      <c r="I65" s="388"/>
      <c r="J65" s="315"/>
    </row>
    <row r="66" spans="2:10" x14ac:dyDescent="0.25">
      <c r="B66" s="385">
        <v>62</v>
      </c>
      <c r="C66" s="386"/>
      <c r="D66" s="386"/>
      <c r="E66" s="386"/>
      <c r="F66" s="386"/>
      <c r="G66" s="386"/>
      <c r="H66" s="387" t="s">
        <v>408</v>
      </c>
      <c r="I66" s="388"/>
      <c r="J66" s="315"/>
    </row>
    <row r="67" spans="2:10" x14ac:dyDescent="0.25">
      <c r="B67" s="385">
        <v>63</v>
      </c>
      <c r="C67" s="386"/>
      <c r="D67" s="386"/>
      <c r="E67" s="386"/>
      <c r="F67" s="386"/>
      <c r="G67" s="386"/>
      <c r="H67" s="387" t="s">
        <v>408</v>
      </c>
      <c r="I67" s="388"/>
      <c r="J67" s="315"/>
    </row>
    <row r="68" spans="2:10" x14ac:dyDescent="0.25">
      <c r="B68" s="385">
        <v>64</v>
      </c>
      <c r="C68" s="386"/>
      <c r="D68" s="386"/>
      <c r="E68" s="386"/>
      <c r="F68" s="386"/>
      <c r="G68" s="386"/>
      <c r="H68" s="387" t="s">
        <v>408</v>
      </c>
      <c r="I68" s="388"/>
      <c r="J68" s="315"/>
    </row>
    <row r="69" spans="2:10" x14ac:dyDescent="0.25">
      <c r="B69" s="385">
        <v>65</v>
      </c>
      <c r="C69" s="386"/>
      <c r="D69" s="386"/>
      <c r="E69" s="386"/>
      <c r="F69" s="386"/>
      <c r="G69" s="386"/>
      <c r="H69" s="387" t="s">
        <v>408</v>
      </c>
      <c r="I69" s="388"/>
      <c r="J69" s="315"/>
    </row>
    <row r="70" spans="2:10" x14ac:dyDescent="0.25">
      <c r="B70" s="385">
        <v>66</v>
      </c>
      <c r="C70" s="386"/>
      <c r="D70" s="386"/>
      <c r="E70" s="386"/>
      <c r="F70" s="386"/>
      <c r="G70" s="386"/>
      <c r="H70" s="387" t="s">
        <v>408</v>
      </c>
      <c r="I70" s="388"/>
      <c r="J70" s="315"/>
    </row>
    <row r="71" spans="2:10" x14ac:dyDescent="0.25">
      <c r="B71" s="385">
        <v>67</v>
      </c>
      <c r="C71" s="386"/>
      <c r="D71" s="386"/>
      <c r="E71" s="386"/>
      <c r="F71" s="386"/>
      <c r="G71" s="386"/>
      <c r="H71" s="387" t="s">
        <v>408</v>
      </c>
      <c r="I71" s="388"/>
      <c r="J71" s="315"/>
    </row>
    <row r="72" spans="2:10" x14ac:dyDescent="0.25">
      <c r="B72" s="385">
        <v>68</v>
      </c>
      <c r="C72" s="386"/>
      <c r="D72" s="386"/>
      <c r="E72" s="386"/>
      <c r="F72" s="386"/>
      <c r="G72" s="386"/>
      <c r="H72" s="387" t="s">
        <v>408</v>
      </c>
      <c r="I72" s="388"/>
      <c r="J72" s="315"/>
    </row>
    <row r="73" spans="2:10" x14ac:dyDescent="0.25">
      <c r="B73" s="385">
        <v>69</v>
      </c>
      <c r="C73" s="386"/>
      <c r="D73" s="386"/>
      <c r="E73" s="386"/>
      <c r="F73" s="386"/>
      <c r="G73" s="386"/>
      <c r="H73" s="387" t="s">
        <v>408</v>
      </c>
      <c r="I73" s="388"/>
      <c r="J73" s="315"/>
    </row>
    <row r="74" spans="2:10" x14ac:dyDescent="0.25">
      <c r="B74" s="385">
        <v>70</v>
      </c>
      <c r="C74" s="386"/>
      <c r="D74" s="386"/>
      <c r="E74" s="386"/>
      <c r="F74" s="386"/>
      <c r="G74" s="386"/>
      <c r="H74" s="387" t="s">
        <v>408</v>
      </c>
      <c r="I74" s="388"/>
      <c r="J74" s="315"/>
    </row>
    <row r="75" spans="2:10" x14ac:dyDescent="0.25">
      <c r="B75" s="385">
        <v>71</v>
      </c>
      <c r="C75" s="386"/>
      <c r="D75" s="386"/>
      <c r="E75" s="386"/>
      <c r="F75" s="386"/>
      <c r="G75" s="386"/>
      <c r="H75" s="387" t="s">
        <v>408</v>
      </c>
      <c r="I75" s="388"/>
      <c r="J75" s="315"/>
    </row>
    <row r="76" spans="2:10" x14ac:dyDescent="0.25">
      <c r="B76" s="385">
        <v>72</v>
      </c>
      <c r="C76" s="386"/>
      <c r="D76" s="386"/>
      <c r="E76" s="386"/>
      <c r="F76" s="386"/>
      <c r="G76" s="386"/>
      <c r="H76" s="387" t="s">
        <v>408</v>
      </c>
      <c r="I76" s="388"/>
      <c r="J76" s="315"/>
    </row>
    <row r="77" spans="2:10" x14ac:dyDescent="0.25">
      <c r="B77" s="385">
        <v>73</v>
      </c>
      <c r="C77" s="386"/>
      <c r="D77" s="386"/>
      <c r="E77" s="386"/>
      <c r="F77" s="386"/>
      <c r="G77" s="386"/>
      <c r="H77" s="387" t="s">
        <v>408</v>
      </c>
      <c r="I77" s="388"/>
      <c r="J77" s="315"/>
    </row>
    <row r="78" spans="2:10" x14ac:dyDescent="0.25">
      <c r="B78" s="385">
        <v>74</v>
      </c>
      <c r="C78" s="386"/>
      <c r="D78" s="386"/>
      <c r="E78" s="386"/>
      <c r="F78" s="386"/>
      <c r="G78" s="386"/>
      <c r="H78" s="387" t="s">
        <v>408</v>
      </c>
      <c r="I78" s="388"/>
      <c r="J78" s="315"/>
    </row>
    <row r="79" spans="2:10" x14ac:dyDescent="0.25">
      <c r="B79" s="385">
        <v>75</v>
      </c>
      <c r="C79" s="386"/>
      <c r="D79" s="386"/>
      <c r="E79" s="386"/>
      <c r="F79" s="386"/>
      <c r="G79" s="386"/>
      <c r="H79" s="387" t="s">
        <v>408</v>
      </c>
      <c r="I79" s="388"/>
      <c r="J79" s="315"/>
    </row>
    <row r="80" spans="2:10" x14ac:dyDescent="0.25">
      <c r="B80" s="385">
        <v>76</v>
      </c>
      <c r="C80" s="386"/>
      <c r="D80" s="386"/>
      <c r="E80" s="386"/>
      <c r="F80" s="386"/>
      <c r="G80" s="386"/>
      <c r="H80" s="387" t="s">
        <v>408</v>
      </c>
      <c r="I80" s="388"/>
      <c r="J80" s="315"/>
    </row>
    <row r="81" spans="2:10" x14ac:dyDescent="0.25">
      <c r="B81" s="385">
        <v>77</v>
      </c>
      <c r="C81" s="386"/>
      <c r="D81" s="386"/>
      <c r="E81" s="386"/>
      <c r="F81" s="386"/>
      <c r="G81" s="386"/>
      <c r="H81" s="387" t="s">
        <v>408</v>
      </c>
      <c r="I81" s="388"/>
      <c r="J81" s="315"/>
    </row>
    <row r="82" spans="2:10" x14ac:dyDescent="0.25">
      <c r="B82" s="385">
        <v>78</v>
      </c>
      <c r="C82" s="386"/>
      <c r="D82" s="386"/>
      <c r="E82" s="386"/>
      <c r="F82" s="386"/>
      <c r="G82" s="386"/>
      <c r="H82" s="387" t="s">
        <v>408</v>
      </c>
      <c r="I82" s="388"/>
      <c r="J82" s="315"/>
    </row>
    <row r="83" spans="2:10" x14ac:dyDescent="0.25">
      <c r="B83" s="385">
        <v>79</v>
      </c>
      <c r="C83" s="386"/>
      <c r="D83" s="386"/>
      <c r="E83" s="386"/>
      <c r="F83" s="386"/>
      <c r="G83" s="386"/>
      <c r="H83" s="387" t="s">
        <v>408</v>
      </c>
      <c r="I83" s="388"/>
      <c r="J83" s="315"/>
    </row>
    <row r="84" spans="2:10" x14ac:dyDescent="0.25">
      <c r="B84" s="385">
        <v>80</v>
      </c>
      <c r="C84" s="386"/>
      <c r="D84" s="386"/>
      <c r="E84" s="386"/>
      <c r="F84" s="386"/>
      <c r="G84" s="386"/>
      <c r="H84" s="387" t="s">
        <v>408</v>
      </c>
      <c r="I84" s="388"/>
      <c r="J84" s="315"/>
    </row>
    <row r="85" spans="2:10" x14ac:dyDescent="0.25">
      <c r="B85" s="385">
        <v>81</v>
      </c>
      <c r="C85" s="386"/>
      <c r="D85" s="386"/>
      <c r="E85" s="386"/>
      <c r="F85" s="386"/>
      <c r="G85" s="386"/>
      <c r="H85" s="387" t="s">
        <v>408</v>
      </c>
      <c r="I85" s="388"/>
      <c r="J85" s="315"/>
    </row>
    <row r="86" spans="2:10" x14ac:dyDescent="0.25">
      <c r="B86" s="385">
        <v>82</v>
      </c>
      <c r="C86" s="386"/>
      <c r="D86" s="386"/>
      <c r="E86" s="386"/>
      <c r="F86" s="386"/>
      <c r="G86" s="386"/>
      <c r="H86" s="387" t="s">
        <v>408</v>
      </c>
      <c r="I86" s="388"/>
      <c r="J86" s="315"/>
    </row>
    <row r="87" spans="2:10" x14ac:dyDescent="0.25">
      <c r="B87" s="385">
        <v>83</v>
      </c>
      <c r="C87" s="386"/>
      <c r="D87" s="386"/>
      <c r="E87" s="386"/>
      <c r="F87" s="386"/>
      <c r="G87" s="386"/>
      <c r="H87" s="387" t="s">
        <v>408</v>
      </c>
      <c r="I87" s="388"/>
      <c r="J87" s="315"/>
    </row>
    <row r="88" spans="2:10" x14ac:dyDescent="0.25">
      <c r="B88" s="385">
        <v>84</v>
      </c>
      <c r="C88" s="386"/>
      <c r="D88" s="386"/>
      <c r="E88" s="386"/>
      <c r="F88" s="386"/>
      <c r="G88" s="386"/>
      <c r="H88" s="387" t="s">
        <v>408</v>
      </c>
      <c r="I88" s="388"/>
      <c r="J88" s="315"/>
    </row>
    <row r="89" spans="2:10" x14ac:dyDescent="0.25">
      <c r="B89" s="385">
        <v>85</v>
      </c>
      <c r="C89" s="386"/>
      <c r="D89" s="386"/>
      <c r="E89" s="386"/>
      <c r="F89" s="386"/>
      <c r="G89" s="386"/>
      <c r="H89" s="387" t="s">
        <v>408</v>
      </c>
      <c r="I89" s="388"/>
      <c r="J89" s="315"/>
    </row>
    <row r="90" spans="2:10" x14ac:dyDescent="0.25">
      <c r="B90" s="385">
        <v>86</v>
      </c>
      <c r="C90" s="386"/>
      <c r="D90" s="386"/>
      <c r="E90" s="386"/>
      <c r="F90" s="386"/>
      <c r="G90" s="386"/>
      <c r="H90" s="387" t="s">
        <v>408</v>
      </c>
      <c r="I90" s="388"/>
      <c r="J90" s="315"/>
    </row>
    <row r="91" spans="2:10" x14ac:dyDescent="0.25">
      <c r="B91" s="385">
        <v>87</v>
      </c>
      <c r="C91" s="386"/>
      <c r="D91" s="386"/>
      <c r="E91" s="386"/>
      <c r="F91" s="386"/>
      <c r="G91" s="386"/>
      <c r="H91" s="387" t="s">
        <v>408</v>
      </c>
      <c r="I91" s="388"/>
      <c r="J91" s="315"/>
    </row>
    <row r="92" spans="2:10" x14ac:dyDescent="0.25">
      <c r="B92" s="385">
        <v>88</v>
      </c>
      <c r="C92" s="386"/>
      <c r="D92" s="386"/>
      <c r="E92" s="386"/>
      <c r="F92" s="386"/>
      <c r="G92" s="386"/>
      <c r="H92" s="387" t="s">
        <v>408</v>
      </c>
      <c r="I92" s="388"/>
      <c r="J92" s="315"/>
    </row>
    <row r="93" spans="2:10" x14ac:dyDescent="0.25">
      <c r="B93" s="385">
        <v>89</v>
      </c>
      <c r="C93" s="386"/>
      <c r="D93" s="386"/>
      <c r="E93" s="386"/>
      <c r="F93" s="386"/>
      <c r="G93" s="386"/>
      <c r="H93" s="387" t="s">
        <v>408</v>
      </c>
      <c r="I93" s="388"/>
      <c r="J93" s="315"/>
    </row>
    <row r="94" spans="2:10" x14ac:dyDescent="0.25">
      <c r="B94" s="385">
        <v>90</v>
      </c>
      <c r="C94" s="386"/>
      <c r="D94" s="386"/>
      <c r="E94" s="386"/>
      <c r="F94" s="386"/>
      <c r="G94" s="386"/>
      <c r="H94" s="387" t="s">
        <v>408</v>
      </c>
      <c r="I94" s="388"/>
      <c r="J94" s="315"/>
    </row>
    <row r="95" spans="2:10" x14ac:dyDescent="0.25">
      <c r="B95" s="385">
        <v>91</v>
      </c>
      <c r="C95" s="386"/>
      <c r="D95" s="386"/>
      <c r="E95" s="386"/>
      <c r="F95" s="386"/>
      <c r="G95" s="386"/>
      <c r="H95" s="387" t="s">
        <v>408</v>
      </c>
      <c r="I95" s="388"/>
      <c r="J95" s="315"/>
    </row>
    <row r="96" spans="2:10" x14ac:dyDescent="0.25">
      <c r="B96" s="385">
        <v>92</v>
      </c>
      <c r="C96" s="386"/>
      <c r="D96" s="386"/>
      <c r="E96" s="386"/>
      <c r="F96" s="386"/>
      <c r="G96" s="386"/>
      <c r="H96" s="387" t="s">
        <v>408</v>
      </c>
      <c r="I96" s="388"/>
      <c r="J96" s="315"/>
    </row>
    <row r="97" spans="2:10" x14ac:dyDescent="0.25">
      <c r="B97" s="385">
        <v>93</v>
      </c>
      <c r="C97" s="386"/>
      <c r="D97" s="386"/>
      <c r="E97" s="386"/>
      <c r="F97" s="386"/>
      <c r="G97" s="386"/>
      <c r="H97" s="387" t="s">
        <v>408</v>
      </c>
      <c r="I97" s="388"/>
      <c r="J97" s="315"/>
    </row>
    <row r="98" spans="2:10" x14ac:dyDescent="0.25">
      <c r="B98" s="385">
        <v>94</v>
      </c>
      <c r="C98" s="386"/>
      <c r="D98" s="386"/>
      <c r="E98" s="386"/>
      <c r="F98" s="386"/>
      <c r="G98" s="386"/>
      <c r="H98" s="387" t="s">
        <v>408</v>
      </c>
      <c r="I98" s="388"/>
      <c r="J98" s="315"/>
    </row>
    <row r="99" spans="2:10" x14ac:dyDescent="0.25">
      <c r="B99" s="385">
        <v>95</v>
      </c>
      <c r="C99" s="386"/>
      <c r="D99" s="386"/>
      <c r="E99" s="386"/>
      <c r="F99" s="386"/>
      <c r="G99" s="386"/>
      <c r="H99" s="387" t="s">
        <v>408</v>
      </c>
      <c r="I99" s="388"/>
      <c r="J99" s="315"/>
    </row>
    <row r="100" spans="2:10" x14ac:dyDescent="0.25">
      <c r="B100" s="385">
        <v>96</v>
      </c>
      <c r="C100" s="386"/>
      <c r="D100" s="386"/>
      <c r="E100" s="386"/>
      <c r="F100" s="386"/>
      <c r="G100" s="386"/>
      <c r="H100" s="387" t="s">
        <v>408</v>
      </c>
      <c r="I100" s="388"/>
      <c r="J100" s="315"/>
    </row>
    <row r="101" spans="2:10" x14ac:dyDescent="0.25">
      <c r="B101" s="385">
        <v>97</v>
      </c>
      <c r="C101" s="386"/>
      <c r="D101" s="386"/>
      <c r="E101" s="386"/>
      <c r="F101" s="386"/>
      <c r="G101" s="386"/>
      <c r="H101" s="387" t="s">
        <v>408</v>
      </c>
      <c r="I101" s="388"/>
      <c r="J101" s="315"/>
    </row>
    <row r="102" spans="2:10" x14ac:dyDescent="0.25">
      <c r="B102" s="385">
        <v>98</v>
      </c>
      <c r="C102" s="386"/>
      <c r="D102" s="386"/>
      <c r="E102" s="386"/>
      <c r="F102" s="386"/>
      <c r="G102" s="386"/>
      <c r="H102" s="387" t="s">
        <v>408</v>
      </c>
      <c r="I102" s="388"/>
      <c r="J102" s="315"/>
    </row>
    <row r="103" spans="2:10" x14ac:dyDescent="0.25">
      <c r="B103" s="385">
        <v>99</v>
      </c>
      <c r="C103" s="386"/>
      <c r="D103" s="386"/>
      <c r="E103" s="386"/>
      <c r="F103" s="386"/>
      <c r="G103" s="386"/>
      <c r="H103" s="387" t="s">
        <v>408</v>
      </c>
      <c r="I103" s="388"/>
      <c r="J103" s="315"/>
    </row>
    <row r="104" spans="2:10" x14ac:dyDescent="0.25">
      <c r="B104" s="385">
        <v>100</v>
      </c>
      <c r="C104" s="386"/>
      <c r="D104" s="386"/>
      <c r="E104" s="386"/>
      <c r="F104" s="386"/>
      <c r="G104" s="386"/>
      <c r="H104" s="387" t="s">
        <v>408</v>
      </c>
      <c r="I104" s="388"/>
      <c r="J104" s="315"/>
    </row>
    <row r="105" spans="2:10" x14ac:dyDescent="0.25">
      <c r="B105" s="385">
        <v>101</v>
      </c>
      <c r="C105" s="386"/>
      <c r="D105" s="386"/>
      <c r="E105" s="386"/>
      <c r="F105" s="386"/>
      <c r="G105" s="386"/>
      <c r="H105" s="387" t="s">
        <v>408</v>
      </c>
      <c r="I105" s="388"/>
      <c r="J105" s="315"/>
    </row>
    <row r="106" spans="2:10" x14ac:dyDescent="0.25">
      <c r="B106" s="385">
        <v>102</v>
      </c>
      <c r="C106" s="386"/>
      <c r="D106" s="386"/>
      <c r="E106" s="386"/>
      <c r="F106" s="386"/>
      <c r="G106" s="386"/>
      <c r="H106" s="387" t="s">
        <v>408</v>
      </c>
      <c r="I106" s="388"/>
      <c r="J106" s="315"/>
    </row>
    <row r="107" spans="2:10" x14ac:dyDescent="0.25">
      <c r="B107" s="385">
        <v>103</v>
      </c>
      <c r="C107" s="386"/>
      <c r="D107" s="386"/>
      <c r="E107" s="386"/>
      <c r="F107" s="386"/>
      <c r="G107" s="386"/>
      <c r="H107" s="387" t="s">
        <v>408</v>
      </c>
      <c r="I107" s="388"/>
      <c r="J107" s="315"/>
    </row>
    <row r="108" spans="2:10" x14ac:dyDescent="0.25">
      <c r="B108" s="385">
        <v>104</v>
      </c>
      <c r="C108" s="386"/>
      <c r="D108" s="386"/>
      <c r="E108" s="386"/>
      <c r="F108" s="386"/>
      <c r="G108" s="386"/>
      <c r="H108" s="387" t="s">
        <v>408</v>
      </c>
      <c r="I108" s="388"/>
      <c r="J108" s="315"/>
    </row>
    <row r="109" spans="2:10" x14ac:dyDescent="0.25">
      <c r="B109" s="385">
        <v>105</v>
      </c>
      <c r="C109" s="386"/>
      <c r="D109" s="386"/>
      <c r="E109" s="386"/>
      <c r="F109" s="386"/>
      <c r="G109" s="386"/>
      <c r="H109" s="387" t="s">
        <v>408</v>
      </c>
      <c r="I109" s="388"/>
      <c r="J109" s="315"/>
    </row>
    <row r="110" spans="2:10" x14ac:dyDescent="0.25">
      <c r="B110" s="385">
        <v>106</v>
      </c>
      <c r="C110" s="386"/>
      <c r="D110" s="386"/>
      <c r="E110" s="386"/>
      <c r="F110" s="386"/>
      <c r="G110" s="386"/>
      <c r="H110" s="387" t="s">
        <v>408</v>
      </c>
      <c r="I110" s="388"/>
      <c r="J110" s="315"/>
    </row>
    <row r="111" spans="2:10" x14ac:dyDescent="0.25">
      <c r="B111" s="385">
        <v>107</v>
      </c>
      <c r="C111" s="386"/>
      <c r="D111" s="386"/>
      <c r="E111" s="386"/>
      <c r="F111" s="386"/>
      <c r="G111" s="386"/>
      <c r="H111" s="387" t="s">
        <v>408</v>
      </c>
      <c r="I111" s="388"/>
      <c r="J111" s="315"/>
    </row>
    <row r="112" spans="2:10" x14ac:dyDescent="0.25">
      <c r="B112" s="385">
        <v>108</v>
      </c>
      <c r="C112" s="386"/>
      <c r="D112" s="386"/>
      <c r="E112" s="386"/>
      <c r="F112" s="386"/>
      <c r="G112" s="386"/>
      <c r="H112" s="387" t="s">
        <v>408</v>
      </c>
      <c r="I112" s="388"/>
      <c r="J112" s="315"/>
    </row>
    <row r="113" spans="2:10" x14ac:dyDescent="0.25">
      <c r="B113" s="385">
        <v>109</v>
      </c>
      <c r="C113" s="386"/>
      <c r="D113" s="386"/>
      <c r="E113" s="386"/>
      <c r="F113" s="386"/>
      <c r="G113" s="386"/>
      <c r="H113" s="387" t="s">
        <v>408</v>
      </c>
      <c r="I113" s="388"/>
      <c r="J113" s="315"/>
    </row>
    <row r="114" spans="2:10" x14ac:dyDescent="0.25">
      <c r="B114" s="385">
        <v>110</v>
      </c>
      <c r="C114" s="386"/>
      <c r="D114" s="386"/>
      <c r="E114" s="386"/>
      <c r="F114" s="386"/>
      <c r="G114" s="386"/>
      <c r="H114" s="387" t="s">
        <v>408</v>
      </c>
      <c r="I114" s="388"/>
      <c r="J114" s="315"/>
    </row>
    <row r="115" spans="2:10" x14ac:dyDescent="0.25">
      <c r="B115" s="385">
        <v>111</v>
      </c>
      <c r="C115" s="386"/>
      <c r="D115" s="386"/>
      <c r="E115" s="386"/>
      <c r="F115" s="386"/>
      <c r="G115" s="386"/>
      <c r="H115" s="387" t="s">
        <v>408</v>
      </c>
      <c r="I115" s="388"/>
      <c r="J115" s="315"/>
    </row>
    <row r="116" spans="2:10" x14ac:dyDescent="0.25">
      <c r="B116" s="385">
        <v>112</v>
      </c>
      <c r="C116" s="386"/>
      <c r="D116" s="386"/>
      <c r="E116" s="386"/>
      <c r="F116" s="386"/>
      <c r="G116" s="386"/>
      <c r="H116" s="387" t="s">
        <v>408</v>
      </c>
      <c r="I116" s="388"/>
      <c r="J116" s="315"/>
    </row>
    <row r="117" spans="2:10" x14ac:dyDescent="0.25">
      <c r="B117" s="385">
        <v>113</v>
      </c>
      <c r="C117" s="386"/>
      <c r="D117" s="386"/>
      <c r="E117" s="386"/>
      <c r="F117" s="386"/>
      <c r="G117" s="386"/>
      <c r="H117" s="387" t="s">
        <v>408</v>
      </c>
      <c r="I117" s="388"/>
      <c r="J117" s="315"/>
    </row>
    <row r="118" spans="2:10" x14ac:dyDescent="0.25">
      <c r="B118" s="385">
        <v>114</v>
      </c>
      <c r="C118" s="386"/>
      <c r="D118" s="386"/>
      <c r="E118" s="386"/>
      <c r="F118" s="386"/>
      <c r="G118" s="386"/>
      <c r="H118" s="387" t="s">
        <v>408</v>
      </c>
      <c r="I118" s="388"/>
      <c r="J118" s="315"/>
    </row>
    <row r="119" spans="2:10" x14ac:dyDescent="0.25">
      <c r="B119" s="385">
        <v>115</v>
      </c>
      <c r="C119" s="386"/>
      <c r="D119" s="386"/>
      <c r="E119" s="386"/>
      <c r="F119" s="386"/>
      <c r="G119" s="386"/>
      <c r="H119" s="387" t="s">
        <v>408</v>
      </c>
      <c r="I119" s="388"/>
      <c r="J119" s="315"/>
    </row>
    <row r="120" spans="2:10" x14ac:dyDescent="0.25">
      <c r="B120" s="385">
        <v>116</v>
      </c>
      <c r="C120" s="386"/>
      <c r="D120" s="386"/>
      <c r="E120" s="386"/>
      <c r="F120" s="386"/>
      <c r="G120" s="386"/>
      <c r="H120" s="387" t="s">
        <v>408</v>
      </c>
      <c r="I120" s="388"/>
      <c r="J120" s="315"/>
    </row>
    <row r="121" spans="2:10" x14ac:dyDescent="0.25">
      <c r="B121" s="385">
        <v>117</v>
      </c>
      <c r="C121" s="386"/>
      <c r="D121" s="386"/>
      <c r="E121" s="386"/>
      <c r="F121" s="386"/>
      <c r="G121" s="386"/>
      <c r="H121" s="387" t="s">
        <v>408</v>
      </c>
      <c r="I121" s="388"/>
      <c r="J121" s="315"/>
    </row>
    <row r="122" spans="2:10" x14ac:dyDescent="0.25">
      <c r="B122" s="385">
        <v>118</v>
      </c>
      <c r="C122" s="386"/>
      <c r="D122" s="386"/>
      <c r="E122" s="386"/>
      <c r="F122" s="386"/>
      <c r="G122" s="386"/>
      <c r="H122" s="387" t="s">
        <v>408</v>
      </c>
      <c r="I122" s="388"/>
      <c r="J122" s="315"/>
    </row>
    <row r="123" spans="2:10" x14ac:dyDescent="0.25">
      <c r="B123" s="385">
        <v>119</v>
      </c>
      <c r="C123" s="386"/>
      <c r="D123" s="386"/>
      <c r="E123" s="386"/>
      <c r="F123" s="386"/>
      <c r="G123" s="386"/>
      <c r="H123" s="387" t="s">
        <v>408</v>
      </c>
      <c r="I123" s="388"/>
      <c r="J123" s="315"/>
    </row>
    <row r="124" spans="2:10" x14ac:dyDescent="0.25">
      <c r="B124" s="385">
        <v>120</v>
      </c>
      <c r="C124" s="386"/>
      <c r="D124" s="386"/>
      <c r="E124" s="386"/>
      <c r="F124" s="386"/>
      <c r="G124" s="386"/>
      <c r="H124" s="387" t="s">
        <v>408</v>
      </c>
      <c r="I124" s="388"/>
      <c r="J124" s="315"/>
    </row>
    <row r="125" spans="2:10" x14ac:dyDescent="0.25">
      <c r="B125" s="385">
        <v>121</v>
      </c>
      <c r="C125" s="386"/>
      <c r="D125" s="386"/>
      <c r="E125" s="386"/>
      <c r="F125" s="386"/>
      <c r="G125" s="386"/>
      <c r="H125" s="387" t="s">
        <v>408</v>
      </c>
      <c r="I125" s="388"/>
      <c r="J125" s="315"/>
    </row>
    <row r="126" spans="2:10" x14ac:dyDescent="0.25">
      <c r="B126" s="385">
        <v>122</v>
      </c>
      <c r="C126" s="386"/>
      <c r="D126" s="386"/>
      <c r="E126" s="386"/>
      <c r="F126" s="386"/>
      <c r="G126" s="386"/>
      <c r="H126" s="387" t="s">
        <v>408</v>
      </c>
      <c r="I126" s="388"/>
      <c r="J126" s="315"/>
    </row>
    <row r="127" spans="2:10" x14ac:dyDescent="0.25">
      <c r="B127" s="385">
        <v>123</v>
      </c>
      <c r="C127" s="386"/>
      <c r="D127" s="386"/>
      <c r="E127" s="386"/>
      <c r="F127" s="386"/>
      <c r="G127" s="386"/>
      <c r="H127" s="387" t="s">
        <v>408</v>
      </c>
      <c r="I127" s="388"/>
      <c r="J127" s="315"/>
    </row>
    <row r="128" spans="2:10" x14ac:dyDescent="0.25">
      <c r="B128" s="385">
        <v>124</v>
      </c>
      <c r="C128" s="386"/>
      <c r="D128" s="386"/>
      <c r="E128" s="386"/>
      <c r="F128" s="386"/>
      <c r="G128" s="386"/>
      <c r="H128" s="387" t="s">
        <v>408</v>
      </c>
      <c r="I128" s="388"/>
      <c r="J128" s="315"/>
    </row>
    <row r="129" spans="2:10" x14ac:dyDescent="0.25">
      <c r="B129" s="385">
        <v>125</v>
      </c>
      <c r="C129" s="386"/>
      <c r="D129" s="386"/>
      <c r="E129" s="386"/>
      <c r="F129" s="386"/>
      <c r="G129" s="386"/>
      <c r="H129" s="387" t="s">
        <v>408</v>
      </c>
      <c r="I129" s="388"/>
      <c r="J129" s="315"/>
    </row>
    <row r="130" spans="2:10" x14ac:dyDescent="0.25">
      <c r="B130" s="385">
        <v>126</v>
      </c>
      <c r="C130" s="386"/>
      <c r="D130" s="386"/>
      <c r="E130" s="386"/>
      <c r="F130" s="386"/>
      <c r="G130" s="386"/>
      <c r="H130" s="387" t="s">
        <v>408</v>
      </c>
      <c r="I130" s="388"/>
      <c r="J130" s="315"/>
    </row>
    <row r="131" spans="2:10" x14ac:dyDescent="0.25">
      <c r="B131" s="385">
        <v>127</v>
      </c>
      <c r="C131" s="386"/>
      <c r="D131" s="386"/>
      <c r="E131" s="386"/>
      <c r="F131" s="386"/>
      <c r="G131" s="386"/>
      <c r="H131" s="387" t="s">
        <v>408</v>
      </c>
      <c r="I131" s="388"/>
      <c r="J131" s="315"/>
    </row>
    <row r="132" spans="2:10" x14ac:dyDescent="0.25">
      <c r="B132" s="385">
        <v>128</v>
      </c>
      <c r="C132" s="386"/>
      <c r="D132" s="386"/>
      <c r="E132" s="386"/>
      <c r="F132" s="386"/>
      <c r="G132" s="386"/>
      <c r="H132" s="387" t="s">
        <v>408</v>
      </c>
      <c r="I132" s="388"/>
      <c r="J132" s="315"/>
    </row>
    <row r="133" spans="2:10" x14ac:dyDescent="0.25">
      <c r="B133" s="385">
        <v>129</v>
      </c>
      <c r="C133" s="386"/>
      <c r="D133" s="386"/>
      <c r="E133" s="386"/>
      <c r="F133" s="386"/>
      <c r="G133" s="386"/>
      <c r="H133" s="387" t="s">
        <v>408</v>
      </c>
      <c r="I133" s="388"/>
      <c r="J133" s="315"/>
    </row>
    <row r="134" spans="2:10" x14ac:dyDescent="0.25">
      <c r="B134" s="385">
        <v>130</v>
      </c>
      <c r="C134" s="386"/>
      <c r="D134" s="386"/>
      <c r="E134" s="386"/>
      <c r="F134" s="386"/>
      <c r="G134" s="386"/>
      <c r="H134" s="387" t="s">
        <v>408</v>
      </c>
      <c r="I134" s="388"/>
      <c r="J134" s="315"/>
    </row>
    <row r="135" spans="2:10" x14ac:dyDescent="0.25">
      <c r="B135" s="385">
        <v>131</v>
      </c>
      <c r="C135" s="386"/>
      <c r="D135" s="386"/>
      <c r="E135" s="386"/>
      <c r="F135" s="386"/>
      <c r="G135" s="386"/>
      <c r="H135" s="387" t="s">
        <v>408</v>
      </c>
      <c r="I135" s="388"/>
      <c r="J135" s="315"/>
    </row>
    <row r="136" spans="2:10" x14ac:dyDescent="0.25">
      <c r="B136" s="385">
        <v>132</v>
      </c>
      <c r="C136" s="386"/>
      <c r="D136" s="386"/>
      <c r="E136" s="386"/>
      <c r="F136" s="386"/>
      <c r="G136" s="386"/>
      <c r="H136" s="387" t="s">
        <v>408</v>
      </c>
      <c r="I136" s="388"/>
      <c r="J136" s="315"/>
    </row>
    <row r="137" spans="2:10" x14ac:dyDescent="0.25">
      <c r="B137" s="385">
        <v>133</v>
      </c>
      <c r="C137" s="386"/>
      <c r="D137" s="386"/>
      <c r="E137" s="386"/>
      <c r="F137" s="386"/>
      <c r="G137" s="386"/>
      <c r="H137" s="387" t="s">
        <v>408</v>
      </c>
      <c r="I137" s="388"/>
      <c r="J137" s="315"/>
    </row>
    <row r="138" spans="2:10" x14ac:dyDescent="0.25">
      <c r="B138" s="385">
        <v>134</v>
      </c>
      <c r="C138" s="386"/>
      <c r="D138" s="386"/>
      <c r="E138" s="386"/>
      <c r="F138" s="386"/>
      <c r="G138" s="386"/>
      <c r="H138" s="387" t="s">
        <v>408</v>
      </c>
      <c r="I138" s="388"/>
      <c r="J138" s="315"/>
    </row>
    <row r="139" spans="2:10" x14ac:dyDescent="0.25">
      <c r="B139" s="385">
        <v>135</v>
      </c>
      <c r="C139" s="386"/>
      <c r="D139" s="386"/>
      <c r="E139" s="386"/>
      <c r="F139" s="386"/>
      <c r="G139" s="386"/>
      <c r="H139" s="387" t="s">
        <v>408</v>
      </c>
      <c r="I139" s="388"/>
      <c r="J139" s="315"/>
    </row>
    <row r="140" spans="2:10" x14ac:dyDescent="0.25">
      <c r="B140" s="385">
        <v>136</v>
      </c>
      <c r="C140" s="386"/>
      <c r="D140" s="386"/>
      <c r="E140" s="386"/>
      <c r="F140" s="386"/>
      <c r="G140" s="386"/>
      <c r="H140" s="387" t="s">
        <v>408</v>
      </c>
      <c r="I140" s="388"/>
      <c r="J140" s="315"/>
    </row>
    <row r="141" spans="2:10" x14ac:dyDescent="0.25">
      <c r="B141" s="385">
        <v>137</v>
      </c>
      <c r="C141" s="386"/>
      <c r="D141" s="386"/>
      <c r="E141" s="386"/>
      <c r="F141" s="386"/>
      <c r="G141" s="386"/>
      <c r="H141" s="387" t="s">
        <v>408</v>
      </c>
      <c r="I141" s="388"/>
      <c r="J141" s="315"/>
    </row>
    <row r="142" spans="2:10" x14ac:dyDescent="0.25">
      <c r="B142" s="385">
        <v>138</v>
      </c>
      <c r="C142" s="386"/>
      <c r="D142" s="386"/>
      <c r="E142" s="386"/>
      <c r="F142" s="386"/>
      <c r="G142" s="386"/>
      <c r="H142" s="387" t="s">
        <v>408</v>
      </c>
      <c r="I142" s="388"/>
      <c r="J142" s="315"/>
    </row>
    <row r="143" spans="2:10" x14ac:dyDescent="0.25">
      <c r="B143" s="385">
        <v>139</v>
      </c>
      <c r="C143" s="386"/>
      <c r="D143" s="386"/>
      <c r="E143" s="386"/>
      <c r="F143" s="386"/>
      <c r="G143" s="386"/>
      <c r="H143" s="387" t="s">
        <v>408</v>
      </c>
      <c r="I143" s="388"/>
      <c r="J143" s="315"/>
    </row>
    <row r="144" spans="2:10" x14ac:dyDescent="0.25">
      <c r="B144" s="385">
        <v>140</v>
      </c>
      <c r="C144" s="386"/>
      <c r="D144" s="386"/>
      <c r="E144" s="386"/>
      <c r="F144" s="386"/>
      <c r="G144" s="386"/>
      <c r="H144" s="387" t="s">
        <v>408</v>
      </c>
      <c r="I144" s="388"/>
      <c r="J144" s="315"/>
    </row>
    <row r="145" spans="2:10" x14ac:dyDescent="0.25">
      <c r="B145" s="385">
        <v>141</v>
      </c>
      <c r="C145" s="386"/>
      <c r="D145" s="386"/>
      <c r="E145" s="386"/>
      <c r="F145" s="386"/>
      <c r="G145" s="386"/>
      <c r="H145" s="387" t="s">
        <v>408</v>
      </c>
      <c r="I145" s="388"/>
      <c r="J145" s="315"/>
    </row>
    <row r="146" spans="2:10" x14ac:dyDescent="0.25">
      <c r="B146" s="385">
        <v>142</v>
      </c>
      <c r="C146" s="386"/>
      <c r="D146" s="386"/>
      <c r="E146" s="386"/>
      <c r="F146" s="386"/>
      <c r="G146" s="386"/>
      <c r="H146" s="387" t="s">
        <v>408</v>
      </c>
      <c r="I146" s="388"/>
      <c r="J146" s="315"/>
    </row>
    <row r="147" spans="2:10" x14ac:dyDescent="0.25">
      <c r="B147" s="385">
        <v>143</v>
      </c>
      <c r="C147" s="386"/>
      <c r="D147" s="386"/>
      <c r="E147" s="386"/>
      <c r="F147" s="386"/>
      <c r="G147" s="386"/>
      <c r="H147" s="387" t="s">
        <v>408</v>
      </c>
      <c r="I147" s="388"/>
      <c r="J147" s="315"/>
    </row>
    <row r="148" spans="2:10" x14ac:dyDescent="0.25">
      <c r="B148" s="385">
        <v>144</v>
      </c>
      <c r="C148" s="386"/>
      <c r="D148" s="386"/>
      <c r="E148" s="386"/>
      <c r="F148" s="386"/>
      <c r="G148" s="386"/>
      <c r="H148" s="387" t="s">
        <v>408</v>
      </c>
      <c r="I148" s="388"/>
      <c r="J148" s="315"/>
    </row>
    <row r="149" spans="2:10" x14ac:dyDescent="0.25">
      <c r="B149" s="385">
        <v>145</v>
      </c>
      <c r="C149" s="386"/>
      <c r="D149" s="386"/>
      <c r="E149" s="386"/>
      <c r="F149" s="386"/>
      <c r="G149" s="386"/>
      <c r="H149" s="387" t="s">
        <v>408</v>
      </c>
      <c r="I149" s="388"/>
      <c r="J149" s="315"/>
    </row>
    <row r="150" spans="2:10" x14ac:dyDescent="0.25">
      <c r="B150" s="385">
        <v>146</v>
      </c>
      <c r="C150" s="386"/>
      <c r="D150" s="386"/>
      <c r="E150" s="386"/>
      <c r="F150" s="386"/>
      <c r="G150" s="386"/>
      <c r="H150" s="387" t="s">
        <v>408</v>
      </c>
      <c r="I150" s="388"/>
      <c r="J150" s="315"/>
    </row>
    <row r="151" spans="2:10" x14ac:dyDescent="0.25">
      <c r="B151" s="385">
        <v>147</v>
      </c>
      <c r="C151" s="386"/>
      <c r="D151" s="386"/>
      <c r="E151" s="386"/>
      <c r="F151" s="386"/>
      <c r="G151" s="386"/>
      <c r="H151" s="387" t="s">
        <v>408</v>
      </c>
      <c r="I151" s="388"/>
      <c r="J151" s="315"/>
    </row>
    <row r="152" spans="2:10" x14ac:dyDescent="0.25">
      <c r="B152" s="385">
        <v>148</v>
      </c>
      <c r="C152" s="386"/>
      <c r="D152" s="386"/>
      <c r="E152" s="386"/>
      <c r="F152" s="386"/>
      <c r="G152" s="386"/>
      <c r="H152" s="387" t="s">
        <v>408</v>
      </c>
      <c r="I152" s="388"/>
      <c r="J152" s="315"/>
    </row>
    <row r="153" spans="2:10" x14ac:dyDescent="0.25">
      <c r="B153" s="385">
        <v>149</v>
      </c>
      <c r="C153" s="386"/>
      <c r="D153" s="386"/>
      <c r="E153" s="386"/>
      <c r="F153" s="386"/>
      <c r="G153" s="386"/>
      <c r="H153" s="387" t="s">
        <v>408</v>
      </c>
      <c r="I153" s="388"/>
      <c r="J153" s="315"/>
    </row>
    <row r="154" spans="2:10" x14ac:dyDescent="0.25">
      <c r="B154" s="385">
        <v>150</v>
      </c>
      <c r="C154" s="386"/>
      <c r="D154" s="386"/>
      <c r="E154" s="386"/>
      <c r="F154" s="386"/>
      <c r="G154" s="386"/>
      <c r="H154" s="387" t="s">
        <v>408</v>
      </c>
      <c r="I154" s="388"/>
      <c r="J154" s="315"/>
    </row>
    <row r="155" spans="2:10" x14ac:dyDescent="0.25">
      <c r="B155" s="385">
        <v>151</v>
      </c>
      <c r="C155" s="386"/>
      <c r="D155" s="386"/>
      <c r="E155" s="386"/>
      <c r="F155" s="386"/>
      <c r="G155" s="386"/>
      <c r="H155" s="387" t="s">
        <v>408</v>
      </c>
      <c r="I155" s="388"/>
      <c r="J155" s="315"/>
    </row>
    <row r="156" spans="2:10" x14ac:dyDescent="0.25">
      <c r="B156" s="385">
        <v>152</v>
      </c>
      <c r="C156" s="386"/>
      <c r="D156" s="386"/>
      <c r="E156" s="386"/>
      <c r="F156" s="386"/>
      <c r="G156" s="386"/>
      <c r="H156" s="387" t="s">
        <v>408</v>
      </c>
      <c r="I156" s="388"/>
      <c r="J156" s="315"/>
    </row>
    <row r="157" spans="2:10" x14ac:dyDescent="0.25">
      <c r="B157" s="385">
        <v>153</v>
      </c>
      <c r="C157" s="386"/>
      <c r="D157" s="386"/>
      <c r="E157" s="386"/>
      <c r="F157" s="386"/>
      <c r="G157" s="386"/>
      <c r="H157" s="387" t="s">
        <v>408</v>
      </c>
      <c r="I157" s="388"/>
      <c r="J157" s="315"/>
    </row>
    <row r="158" spans="2:10" x14ac:dyDescent="0.25">
      <c r="B158" s="385">
        <v>154</v>
      </c>
      <c r="C158" s="386"/>
      <c r="D158" s="386"/>
      <c r="E158" s="386"/>
      <c r="F158" s="386"/>
      <c r="G158" s="386"/>
      <c r="H158" s="387" t="s">
        <v>408</v>
      </c>
      <c r="I158" s="388"/>
      <c r="J158" s="315"/>
    </row>
    <row r="159" spans="2:10" x14ac:dyDescent="0.25">
      <c r="B159" s="385">
        <v>155</v>
      </c>
      <c r="C159" s="386"/>
      <c r="D159" s="386"/>
      <c r="E159" s="386"/>
      <c r="F159" s="386"/>
      <c r="G159" s="386"/>
      <c r="H159" s="387" t="s">
        <v>408</v>
      </c>
      <c r="I159" s="388"/>
      <c r="J159" s="315"/>
    </row>
    <row r="160" spans="2:10" x14ac:dyDescent="0.25">
      <c r="B160" s="385">
        <v>156</v>
      </c>
      <c r="C160" s="386"/>
      <c r="D160" s="386"/>
      <c r="E160" s="386"/>
      <c r="F160" s="386"/>
      <c r="G160" s="386"/>
      <c r="H160" s="387" t="s">
        <v>408</v>
      </c>
      <c r="I160" s="388"/>
      <c r="J160" s="315"/>
    </row>
    <row r="161" spans="2:10" x14ac:dyDescent="0.25">
      <c r="B161" s="385">
        <v>157</v>
      </c>
      <c r="C161" s="386"/>
      <c r="D161" s="386"/>
      <c r="E161" s="386"/>
      <c r="F161" s="386"/>
      <c r="G161" s="386"/>
      <c r="H161" s="387" t="s">
        <v>408</v>
      </c>
      <c r="I161" s="388"/>
      <c r="J161" s="315"/>
    </row>
    <row r="162" spans="2:10" x14ac:dyDescent="0.25">
      <c r="B162" s="385">
        <v>158</v>
      </c>
      <c r="C162" s="386"/>
      <c r="D162" s="386"/>
      <c r="E162" s="386"/>
      <c r="F162" s="386"/>
      <c r="G162" s="386"/>
      <c r="H162" s="387" t="s">
        <v>408</v>
      </c>
      <c r="I162" s="388"/>
      <c r="J162" s="315"/>
    </row>
    <row r="163" spans="2:10" x14ac:dyDescent="0.25">
      <c r="B163" s="385">
        <v>159</v>
      </c>
      <c r="C163" s="386"/>
      <c r="D163" s="386"/>
      <c r="E163" s="386"/>
      <c r="F163" s="386"/>
      <c r="G163" s="386"/>
      <c r="H163" s="387" t="s">
        <v>408</v>
      </c>
      <c r="I163" s="388"/>
      <c r="J163" s="315"/>
    </row>
    <row r="164" spans="2:10" x14ac:dyDescent="0.25">
      <c r="B164" s="385">
        <v>160</v>
      </c>
      <c r="C164" s="386"/>
      <c r="D164" s="386"/>
      <c r="E164" s="386"/>
      <c r="F164" s="386"/>
      <c r="G164" s="386"/>
      <c r="H164" s="387" t="s">
        <v>408</v>
      </c>
      <c r="I164" s="388"/>
      <c r="J164" s="315"/>
    </row>
    <row r="165" spans="2:10" x14ac:dyDescent="0.25">
      <c r="B165" s="385">
        <v>161</v>
      </c>
      <c r="C165" s="386"/>
      <c r="D165" s="386"/>
      <c r="E165" s="386"/>
      <c r="F165" s="386"/>
      <c r="G165" s="386"/>
      <c r="H165" s="387" t="s">
        <v>408</v>
      </c>
      <c r="I165" s="388"/>
      <c r="J165" s="315"/>
    </row>
    <row r="166" spans="2:10" x14ac:dyDescent="0.25">
      <c r="B166" s="385">
        <v>162</v>
      </c>
      <c r="C166" s="386"/>
      <c r="D166" s="386"/>
      <c r="E166" s="386"/>
      <c r="F166" s="386"/>
      <c r="G166" s="386"/>
      <c r="H166" s="387" t="s">
        <v>408</v>
      </c>
      <c r="I166" s="388"/>
      <c r="J166" s="315"/>
    </row>
    <row r="167" spans="2:10" x14ac:dyDescent="0.25">
      <c r="B167" s="385">
        <v>163</v>
      </c>
      <c r="C167" s="386"/>
      <c r="D167" s="386"/>
      <c r="E167" s="386"/>
      <c r="F167" s="386"/>
      <c r="G167" s="386"/>
      <c r="H167" s="387" t="s">
        <v>408</v>
      </c>
      <c r="I167" s="388"/>
      <c r="J167" s="315"/>
    </row>
    <row r="168" spans="2:10" x14ac:dyDescent="0.25">
      <c r="B168" s="385">
        <v>164</v>
      </c>
      <c r="C168" s="386"/>
      <c r="D168" s="386"/>
      <c r="E168" s="386"/>
      <c r="F168" s="386"/>
      <c r="G168" s="386"/>
      <c r="H168" s="387" t="s">
        <v>408</v>
      </c>
      <c r="I168" s="388"/>
      <c r="J168" s="315"/>
    </row>
    <row r="169" spans="2:10" x14ac:dyDescent="0.25">
      <c r="B169" s="385">
        <v>165</v>
      </c>
      <c r="C169" s="386"/>
      <c r="D169" s="386"/>
      <c r="E169" s="386"/>
      <c r="F169" s="386"/>
      <c r="G169" s="386"/>
      <c r="H169" s="387" t="s">
        <v>408</v>
      </c>
      <c r="I169" s="388"/>
      <c r="J169" s="315"/>
    </row>
    <row r="170" spans="2:10" x14ac:dyDescent="0.25">
      <c r="B170" s="385">
        <v>166</v>
      </c>
      <c r="C170" s="386"/>
      <c r="D170" s="386"/>
      <c r="E170" s="386"/>
      <c r="F170" s="386"/>
      <c r="G170" s="386"/>
      <c r="H170" s="387" t="s">
        <v>408</v>
      </c>
      <c r="I170" s="388"/>
      <c r="J170" s="315"/>
    </row>
    <row r="171" spans="2:10" x14ac:dyDescent="0.25">
      <c r="B171" s="385">
        <v>167</v>
      </c>
      <c r="C171" s="386"/>
      <c r="D171" s="386"/>
      <c r="E171" s="386"/>
      <c r="F171" s="386"/>
      <c r="G171" s="386"/>
      <c r="H171" s="387" t="s">
        <v>408</v>
      </c>
      <c r="I171" s="388"/>
      <c r="J171" s="315"/>
    </row>
    <row r="172" spans="2:10" x14ac:dyDescent="0.25">
      <c r="B172" s="385">
        <v>168</v>
      </c>
      <c r="C172" s="386"/>
      <c r="D172" s="386"/>
      <c r="E172" s="386"/>
      <c r="F172" s="386"/>
      <c r="G172" s="386"/>
      <c r="H172" s="387" t="s">
        <v>408</v>
      </c>
      <c r="I172" s="388"/>
      <c r="J172" s="315"/>
    </row>
    <row r="173" spans="2:10" x14ac:dyDescent="0.25">
      <c r="B173" s="385">
        <v>169</v>
      </c>
      <c r="C173" s="386"/>
      <c r="D173" s="386"/>
      <c r="E173" s="386"/>
      <c r="F173" s="386"/>
      <c r="G173" s="386"/>
      <c r="H173" s="387" t="s">
        <v>408</v>
      </c>
      <c r="I173" s="388"/>
      <c r="J173" s="315"/>
    </row>
    <row r="174" spans="2:10" x14ac:dyDescent="0.25">
      <c r="B174" s="385">
        <v>170</v>
      </c>
      <c r="C174" s="386"/>
      <c r="D174" s="386"/>
      <c r="E174" s="386"/>
      <c r="F174" s="386"/>
      <c r="G174" s="386"/>
      <c r="H174" s="387" t="s">
        <v>408</v>
      </c>
      <c r="I174" s="388"/>
      <c r="J174" s="315"/>
    </row>
    <row r="175" spans="2:10" x14ac:dyDescent="0.25">
      <c r="B175" s="385">
        <v>171</v>
      </c>
      <c r="C175" s="386"/>
      <c r="D175" s="386"/>
      <c r="E175" s="386"/>
      <c r="F175" s="386"/>
      <c r="G175" s="386"/>
      <c r="H175" s="387" t="s">
        <v>408</v>
      </c>
      <c r="I175" s="388"/>
      <c r="J175" s="315"/>
    </row>
    <row r="176" spans="2:10" x14ac:dyDescent="0.25">
      <c r="B176" s="385">
        <v>172</v>
      </c>
      <c r="C176" s="386"/>
      <c r="D176" s="386"/>
      <c r="E176" s="386"/>
      <c r="F176" s="386"/>
      <c r="G176" s="386"/>
      <c r="H176" s="387" t="s">
        <v>408</v>
      </c>
      <c r="I176" s="388"/>
      <c r="J176" s="315"/>
    </row>
    <row r="177" spans="2:10" x14ac:dyDescent="0.25">
      <c r="B177" s="385">
        <v>173</v>
      </c>
      <c r="C177" s="386"/>
      <c r="D177" s="386"/>
      <c r="E177" s="386"/>
      <c r="F177" s="386"/>
      <c r="G177" s="386"/>
      <c r="H177" s="387" t="s">
        <v>408</v>
      </c>
      <c r="I177" s="388"/>
      <c r="J177" s="315"/>
    </row>
    <row r="178" spans="2:10" x14ac:dyDescent="0.25">
      <c r="B178" s="385">
        <v>174</v>
      </c>
      <c r="C178" s="386"/>
      <c r="D178" s="386"/>
      <c r="E178" s="386"/>
      <c r="F178" s="386"/>
      <c r="G178" s="386"/>
      <c r="H178" s="387" t="s">
        <v>408</v>
      </c>
      <c r="I178" s="388"/>
      <c r="J178" s="315"/>
    </row>
    <row r="179" spans="2:10" x14ac:dyDescent="0.25">
      <c r="B179" s="385">
        <v>175</v>
      </c>
      <c r="C179" s="386"/>
      <c r="D179" s="386"/>
      <c r="E179" s="386"/>
      <c r="F179" s="386"/>
      <c r="G179" s="386"/>
      <c r="H179" s="387" t="s">
        <v>408</v>
      </c>
      <c r="I179" s="388"/>
      <c r="J179" s="315"/>
    </row>
    <row r="180" spans="2:10" x14ac:dyDescent="0.25">
      <c r="B180" s="385">
        <v>176</v>
      </c>
      <c r="C180" s="386"/>
      <c r="D180" s="386"/>
      <c r="E180" s="386"/>
      <c r="F180" s="386"/>
      <c r="G180" s="386"/>
      <c r="H180" s="387" t="s">
        <v>408</v>
      </c>
      <c r="I180" s="388"/>
      <c r="J180" s="315"/>
    </row>
    <row r="181" spans="2:10" x14ac:dyDescent="0.25">
      <c r="B181" s="385">
        <v>177</v>
      </c>
      <c r="C181" s="386"/>
      <c r="D181" s="386"/>
      <c r="E181" s="386"/>
      <c r="F181" s="386"/>
      <c r="G181" s="386"/>
      <c r="H181" s="387" t="s">
        <v>408</v>
      </c>
      <c r="I181" s="388"/>
      <c r="J181" s="315"/>
    </row>
    <row r="182" spans="2:10" x14ac:dyDescent="0.25">
      <c r="B182" s="385">
        <v>178</v>
      </c>
      <c r="C182" s="386"/>
      <c r="D182" s="386"/>
      <c r="E182" s="386"/>
      <c r="F182" s="386"/>
      <c r="G182" s="386"/>
      <c r="H182" s="387" t="s">
        <v>408</v>
      </c>
      <c r="I182" s="388"/>
      <c r="J182" s="315"/>
    </row>
    <row r="183" spans="2:10" x14ac:dyDescent="0.25">
      <c r="B183" s="385">
        <v>179</v>
      </c>
      <c r="C183" s="386"/>
      <c r="D183" s="386"/>
      <c r="E183" s="386"/>
      <c r="F183" s="386"/>
      <c r="G183" s="386"/>
      <c r="H183" s="387" t="s">
        <v>408</v>
      </c>
      <c r="I183" s="388"/>
      <c r="J183" s="315"/>
    </row>
    <row r="184" spans="2:10" x14ac:dyDescent="0.25">
      <c r="B184" s="385">
        <v>180</v>
      </c>
      <c r="C184" s="386"/>
      <c r="D184" s="386"/>
      <c r="E184" s="386"/>
      <c r="F184" s="386"/>
      <c r="G184" s="386"/>
      <c r="H184" s="387" t="s">
        <v>408</v>
      </c>
      <c r="I184" s="388"/>
      <c r="J184" s="315"/>
    </row>
    <row r="185" spans="2:10" x14ac:dyDescent="0.25">
      <c r="B185" s="385">
        <v>181</v>
      </c>
      <c r="C185" s="386"/>
      <c r="D185" s="386"/>
      <c r="E185" s="386"/>
      <c r="F185" s="386"/>
      <c r="G185" s="386"/>
      <c r="H185" s="387" t="s">
        <v>408</v>
      </c>
      <c r="I185" s="388"/>
      <c r="J185" s="315"/>
    </row>
    <row r="186" spans="2:10" x14ac:dyDescent="0.25">
      <c r="B186" s="385">
        <v>182</v>
      </c>
      <c r="C186" s="386"/>
      <c r="D186" s="386"/>
      <c r="E186" s="386"/>
      <c r="F186" s="386"/>
      <c r="G186" s="386"/>
      <c r="H186" s="387" t="s">
        <v>408</v>
      </c>
      <c r="I186" s="388"/>
      <c r="J186" s="315"/>
    </row>
    <row r="187" spans="2:10" x14ac:dyDescent="0.25">
      <c r="B187" s="385">
        <v>183</v>
      </c>
      <c r="C187" s="386"/>
      <c r="D187" s="386"/>
      <c r="E187" s="386"/>
      <c r="F187" s="386"/>
      <c r="G187" s="386"/>
      <c r="H187" s="387" t="s">
        <v>408</v>
      </c>
      <c r="I187" s="388"/>
      <c r="J187" s="315"/>
    </row>
    <row r="188" spans="2:10" x14ac:dyDescent="0.25">
      <c r="B188" s="385">
        <v>184</v>
      </c>
      <c r="C188" s="386"/>
      <c r="D188" s="386"/>
      <c r="E188" s="386"/>
      <c r="F188" s="386"/>
      <c r="G188" s="386"/>
      <c r="H188" s="387" t="s">
        <v>408</v>
      </c>
      <c r="I188" s="388"/>
      <c r="J188" s="315"/>
    </row>
    <row r="189" spans="2:10" x14ac:dyDescent="0.25">
      <c r="B189" s="385">
        <v>185</v>
      </c>
      <c r="C189" s="386"/>
      <c r="D189" s="386"/>
      <c r="E189" s="386"/>
      <c r="F189" s="386"/>
      <c r="G189" s="386"/>
      <c r="H189" s="387" t="s">
        <v>408</v>
      </c>
      <c r="I189" s="388"/>
      <c r="J189" s="315"/>
    </row>
    <row r="190" spans="2:10" x14ac:dyDescent="0.25">
      <c r="B190" s="385">
        <v>186</v>
      </c>
      <c r="C190" s="386"/>
      <c r="D190" s="386"/>
      <c r="E190" s="386"/>
      <c r="F190" s="386"/>
      <c r="G190" s="386"/>
      <c r="H190" s="387" t="s">
        <v>408</v>
      </c>
      <c r="I190" s="388"/>
      <c r="J190" s="315"/>
    </row>
    <row r="191" spans="2:10" x14ac:dyDescent="0.25">
      <c r="B191" s="385">
        <v>187</v>
      </c>
      <c r="C191" s="386"/>
      <c r="D191" s="386"/>
      <c r="E191" s="386"/>
      <c r="F191" s="386"/>
      <c r="G191" s="386"/>
      <c r="H191" s="387" t="s">
        <v>408</v>
      </c>
      <c r="I191" s="388"/>
      <c r="J191" s="315"/>
    </row>
    <row r="192" spans="2:10" x14ac:dyDescent="0.25">
      <c r="B192" s="385">
        <v>188</v>
      </c>
      <c r="C192" s="386"/>
      <c r="D192" s="386"/>
      <c r="E192" s="386"/>
      <c r="F192" s="386"/>
      <c r="G192" s="386"/>
      <c r="H192" s="387" t="s">
        <v>408</v>
      </c>
      <c r="I192" s="388"/>
      <c r="J192" s="315"/>
    </row>
    <row r="193" spans="2:10" x14ac:dyDescent="0.25">
      <c r="B193" s="385">
        <v>189</v>
      </c>
      <c r="C193" s="386"/>
      <c r="D193" s="386"/>
      <c r="E193" s="386"/>
      <c r="F193" s="386"/>
      <c r="G193" s="386"/>
      <c r="H193" s="387" t="s">
        <v>408</v>
      </c>
      <c r="I193" s="388"/>
      <c r="J193" s="315"/>
    </row>
    <row r="194" spans="2:10" x14ac:dyDescent="0.25">
      <c r="B194" s="385">
        <v>190</v>
      </c>
      <c r="C194" s="386"/>
      <c r="D194" s="386"/>
      <c r="E194" s="386"/>
      <c r="F194" s="386"/>
      <c r="G194" s="386"/>
      <c r="H194" s="387" t="s">
        <v>408</v>
      </c>
      <c r="I194" s="388"/>
      <c r="J194" s="315"/>
    </row>
    <row r="195" spans="2:10" x14ac:dyDescent="0.25">
      <c r="B195" s="385">
        <v>191</v>
      </c>
      <c r="C195" s="386"/>
      <c r="D195" s="386"/>
      <c r="E195" s="386"/>
      <c r="F195" s="386"/>
      <c r="G195" s="386"/>
      <c r="H195" s="387" t="s">
        <v>408</v>
      </c>
      <c r="I195" s="388"/>
      <c r="J195" s="315"/>
    </row>
    <row r="196" spans="2:10" x14ac:dyDescent="0.25">
      <c r="B196" s="385">
        <v>192</v>
      </c>
      <c r="C196" s="386"/>
      <c r="D196" s="386"/>
      <c r="E196" s="386"/>
      <c r="F196" s="386"/>
      <c r="G196" s="386"/>
      <c r="H196" s="387" t="s">
        <v>408</v>
      </c>
      <c r="I196" s="388"/>
      <c r="J196" s="315"/>
    </row>
    <row r="197" spans="2:10" x14ac:dyDescent="0.25">
      <c r="B197" s="385">
        <v>193</v>
      </c>
      <c r="C197" s="386"/>
      <c r="D197" s="386"/>
      <c r="E197" s="386"/>
      <c r="F197" s="386"/>
      <c r="G197" s="386"/>
      <c r="H197" s="387" t="s">
        <v>408</v>
      </c>
      <c r="I197" s="388"/>
      <c r="J197" s="315"/>
    </row>
    <row r="198" spans="2:10" x14ac:dyDescent="0.25">
      <c r="B198" s="385">
        <v>194</v>
      </c>
      <c r="C198" s="386"/>
      <c r="D198" s="386"/>
      <c r="E198" s="386"/>
      <c r="F198" s="386"/>
      <c r="G198" s="386"/>
      <c r="H198" s="387" t="s">
        <v>408</v>
      </c>
      <c r="I198" s="388"/>
      <c r="J198" s="315"/>
    </row>
    <row r="199" spans="2:10" x14ac:dyDescent="0.25">
      <c r="B199" s="385">
        <v>195</v>
      </c>
      <c r="C199" s="386"/>
      <c r="D199" s="386"/>
      <c r="E199" s="386"/>
      <c r="F199" s="386"/>
      <c r="G199" s="386"/>
      <c r="H199" s="387" t="s">
        <v>408</v>
      </c>
      <c r="I199" s="388"/>
      <c r="J199" s="315"/>
    </row>
    <row r="200" spans="2:10" x14ac:dyDescent="0.25">
      <c r="B200" s="385">
        <v>196</v>
      </c>
      <c r="C200" s="386"/>
      <c r="D200" s="386"/>
      <c r="E200" s="386"/>
      <c r="F200" s="386"/>
      <c r="G200" s="386"/>
      <c r="H200" s="387" t="s">
        <v>408</v>
      </c>
      <c r="I200" s="388"/>
      <c r="J200" s="315"/>
    </row>
    <row r="201" spans="2:10" x14ac:dyDescent="0.25">
      <c r="B201" s="385">
        <v>197</v>
      </c>
      <c r="C201" s="386"/>
      <c r="D201" s="386"/>
      <c r="E201" s="386"/>
      <c r="F201" s="386"/>
      <c r="G201" s="386"/>
      <c r="H201" s="387" t="s">
        <v>408</v>
      </c>
      <c r="I201" s="388"/>
      <c r="J201" s="315"/>
    </row>
    <row r="202" spans="2:10" x14ac:dyDescent="0.25">
      <c r="B202" s="385">
        <v>198</v>
      </c>
      <c r="C202" s="386"/>
      <c r="D202" s="386"/>
      <c r="E202" s="386"/>
      <c r="F202" s="386"/>
      <c r="G202" s="386"/>
      <c r="H202" s="387" t="s">
        <v>408</v>
      </c>
      <c r="I202" s="388"/>
      <c r="J202" s="315"/>
    </row>
    <row r="203" spans="2:10" x14ac:dyDescent="0.25">
      <c r="B203" s="385">
        <v>199</v>
      </c>
      <c r="C203" s="386"/>
      <c r="D203" s="386"/>
      <c r="E203" s="386"/>
      <c r="F203" s="386"/>
      <c r="G203" s="386"/>
      <c r="H203" s="387" t="s">
        <v>408</v>
      </c>
      <c r="I203" s="388"/>
      <c r="J203" s="315"/>
    </row>
    <row r="204" spans="2:10" x14ac:dyDescent="0.25">
      <c r="B204" s="385">
        <v>200</v>
      </c>
      <c r="C204" s="386"/>
      <c r="D204" s="386"/>
      <c r="E204" s="386"/>
      <c r="F204" s="386"/>
      <c r="G204" s="386"/>
      <c r="H204" s="387" t="s">
        <v>408</v>
      </c>
      <c r="I204" s="388"/>
      <c r="J204" s="315"/>
    </row>
    <row r="205" spans="2:10" x14ac:dyDescent="0.25">
      <c r="B205" s="385">
        <v>201</v>
      </c>
      <c r="C205" s="386"/>
      <c r="D205" s="386"/>
      <c r="E205" s="386"/>
      <c r="F205" s="386"/>
      <c r="G205" s="386"/>
      <c r="H205" s="387" t="s">
        <v>408</v>
      </c>
      <c r="I205" s="388"/>
      <c r="J205" s="315"/>
    </row>
    <row r="206" spans="2:10" x14ac:dyDescent="0.25">
      <c r="B206" s="385">
        <v>202</v>
      </c>
      <c r="C206" s="386"/>
      <c r="D206" s="386"/>
      <c r="E206" s="386"/>
      <c r="F206" s="386"/>
      <c r="G206" s="386"/>
      <c r="H206" s="387" t="s">
        <v>408</v>
      </c>
      <c r="I206" s="388"/>
      <c r="J206" s="315"/>
    </row>
    <row r="207" spans="2:10" x14ac:dyDescent="0.25">
      <c r="B207" s="385">
        <v>203</v>
      </c>
      <c r="C207" s="386"/>
      <c r="D207" s="386"/>
      <c r="E207" s="386"/>
      <c r="F207" s="386"/>
      <c r="G207" s="386"/>
      <c r="H207" s="387" t="s">
        <v>408</v>
      </c>
      <c r="I207" s="388"/>
      <c r="J207" s="315"/>
    </row>
    <row r="208" spans="2:10" x14ac:dyDescent="0.25">
      <c r="B208" s="385">
        <v>204</v>
      </c>
      <c r="C208" s="386"/>
      <c r="D208" s="386"/>
      <c r="E208" s="386"/>
      <c r="F208" s="386"/>
      <c r="G208" s="386"/>
      <c r="H208" s="387" t="s">
        <v>408</v>
      </c>
      <c r="I208" s="388"/>
      <c r="J208" s="315"/>
    </row>
    <row r="209" spans="2:10" x14ac:dyDescent="0.25">
      <c r="B209" s="385">
        <v>205</v>
      </c>
      <c r="C209" s="386"/>
      <c r="D209" s="386"/>
      <c r="E209" s="386"/>
      <c r="F209" s="386"/>
      <c r="G209" s="386"/>
      <c r="H209" s="387" t="s">
        <v>408</v>
      </c>
      <c r="I209" s="388"/>
      <c r="J209" s="315"/>
    </row>
    <row r="210" spans="2:10" x14ac:dyDescent="0.25">
      <c r="B210" s="385">
        <v>206</v>
      </c>
      <c r="C210" s="386"/>
      <c r="D210" s="386"/>
      <c r="E210" s="386"/>
      <c r="F210" s="386"/>
      <c r="G210" s="386"/>
      <c r="H210" s="387" t="s">
        <v>408</v>
      </c>
      <c r="I210" s="388"/>
      <c r="J210" s="315"/>
    </row>
    <row r="211" spans="2:10" x14ac:dyDescent="0.25">
      <c r="B211" s="385">
        <v>207</v>
      </c>
      <c r="C211" s="386"/>
      <c r="D211" s="386"/>
      <c r="E211" s="386"/>
      <c r="F211" s="386"/>
      <c r="G211" s="386"/>
      <c r="H211" s="387" t="s">
        <v>408</v>
      </c>
      <c r="I211" s="388"/>
      <c r="J211" s="315"/>
    </row>
    <row r="212" spans="2:10" x14ac:dyDescent="0.25">
      <c r="B212" s="385">
        <v>208</v>
      </c>
      <c r="C212" s="386"/>
      <c r="D212" s="386"/>
      <c r="E212" s="386"/>
      <c r="F212" s="386"/>
      <c r="G212" s="386"/>
      <c r="H212" s="387" t="s">
        <v>408</v>
      </c>
      <c r="I212" s="388"/>
      <c r="J212" s="315"/>
    </row>
    <row r="213" spans="2:10" x14ac:dyDescent="0.25">
      <c r="B213" s="385">
        <v>209</v>
      </c>
      <c r="C213" s="386"/>
      <c r="D213" s="386"/>
      <c r="E213" s="386"/>
      <c r="F213" s="386"/>
      <c r="G213" s="386"/>
      <c r="H213" s="387" t="s">
        <v>408</v>
      </c>
      <c r="I213" s="388"/>
      <c r="J213" s="315"/>
    </row>
    <row r="214" spans="2:10" x14ac:dyDescent="0.25">
      <c r="B214" s="385">
        <v>210</v>
      </c>
      <c r="C214" s="386"/>
      <c r="D214" s="386"/>
      <c r="E214" s="386"/>
      <c r="F214" s="386"/>
      <c r="G214" s="386"/>
      <c r="H214" s="387" t="s">
        <v>408</v>
      </c>
      <c r="I214" s="388"/>
      <c r="J214" s="315"/>
    </row>
    <row r="215" spans="2:10" x14ac:dyDescent="0.25">
      <c r="B215" s="385">
        <v>211</v>
      </c>
      <c r="C215" s="386"/>
      <c r="D215" s="386"/>
      <c r="E215" s="386"/>
      <c r="F215" s="386"/>
      <c r="G215" s="386"/>
      <c r="H215" s="387" t="s">
        <v>408</v>
      </c>
      <c r="I215" s="388"/>
      <c r="J215" s="315"/>
    </row>
    <row r="216" spans="2:10" x14ac:dyDescent="0.25">
      <c r="B216" s="385">
        <v>212</v>
      </c>
      <c r="C216" s="386"/>
      <c r="D216" s="386"/>
      <c r="E216" s="386"/>
      <c r="F216" s="386"/>
      <c r="G216" s="386"/>
      <c r="H216" s="387" t="s">
        <v>408</v>
      </c>
      <c r="I216" s="388"/>
      <c r="J216" s="315"/>
    </row>
    <row r="217" spans="2:10" x14ac:dyDescent="0.25">
      <c r="B217" s="385">
        <v>213</v>
      </c>
      <c r="C217" s="386"/>
      <c r="D217" s="386"/>
      <c r="E217" s="386"/>
      <c r="F217" s="386"/>
      <c r="G217" s="386"/>
      <c r="H217" s="387" t="s">
        <v>408</v>
      </c>
      <c r="I217" s="388"/>
      <c r="J217" s="315"/>
    </row>
    <row r="218" spans="2:10" x14ac:dyDescent="0.25">
      <c r="B218" s="385">
        <v>214</v>
      </c>
      <c r="C218" s="386"/>
      <c r="D218" s="386"/>
      <c r="E218" s="386"/>
      <c r="F218" s="386"/>
      <c r="G218" s="386"/>
      <c r="H218" s="387" t="s">
        <v>408</v>
      </c>
      <c r="I218" s="388"/>
      <c r="J218" s="315"/>
    </row>
    <row r="219" spans="2:10" x14ac:dyDescent="0.25">
      <c r="B219" s="385">
        <v>215</v>
      </c>
      <c r="C219" s="386"/>
      <c r="D219" s="386"/>
      <c r="E219" s="386"/>
      <c r="F219" s="386"/>
      <c r="G219" s="386"/>
      <c r="H219" s="387" t="s">
        <v>408</v>
      </c>
      <c r="I219" s="388"/>
      <c r="J219" s="315"/>
    </row>
    <row r="220" spans="2:10" x14ac:dyDescent="0.25">
      <c r="B220" s="385">
        <v>216</v>
      </c>
      <c r="C220" s="386"/>
      <c r="D220" s="386"/>
      <c r="E220" s="386"/>
      <c r="F220" s="386"/>
      <c r="G220" s="386"/>
      <c r="H220" s="387" t="s">
        <v>408</v>
      </c>
      <c r="I220" s="388"/>
      <c r="J220" s="315"/>
    </row>
    <row r="221" spans="2:10" x14ac:dyDescent="0.25">
      <c r="B221" s="385">
        <v>217</v>
      </c>
      <c r="C221" s="386"/>
      <c r="D221" s="386"/>
      <c r="E221" s="386"/>
      <c r="F221" s="386"/>
      <c r="G221" s="386"/>
      <c r="H221" s="387" t="s">
        <v>408</v>
      </c>
      <c r="I221" s="388"/>
      <c r="J221" s="315"/>
    </row>
    <row r="222" spans="2:10" x14ac:dyDescent="0.25">
      <c r="B222" s="385">
        <v>218</v>
      </c>
      <c r="C222" s="386"/>
      <c r="D222" s="386"/>
      <c r="E222" s="386"/>
      <c r="F222" s="386"/>
      <c r="G222" s="386"/>
      <c r="H222" s="387" t="s">
        <v>408</v>
      </c>
      <c r="I222" s="388"/>
      <c r="J222" s="315"/>
    </row>
    <row r="223" spans="2:10" x14ac:dyDescent="0.25">
      <c r="B223" s="385">
        <v>219</v>
      </c>
      <c r="C223" s="386"/>
      <c r="D223" s="386"/>
      <c r="E223" s="386"/>
      <c r="F223" s="386"/>
      <c r="G223" s="386"/>
      <c r="H223" s="387" t="s">
        <v>408</v>
      </c>
      <c r="I223" s="388"/>
      <c r="J223" s="315"/>
    </row>
    <row r="224" spans="2:10" x14ac:dyDescent="0.25">
      <c r="B224" s="385">
        <v>220</v>
      </c>
      <c r="C224" s="386"/>
      <c r="D224" s="386"/>
      <c r="E224" s="386"/>
      <c r="F224" s="386"/>
      <c r="G224" s="386"/>
      <c r="H224" s="387" t="s">
        <v>408</v>
      </c>
      <c r="I224" s="388"/>
      <c r="J224" s="315"/>
    </row>
    <row r="225" spans="2:10" x14ac:dyDescent="0.25">
      <c r="B225" s="385">
        <v>221</v>
      </c>
      <c r="C225" s="386"/>
      <c r="D225" s="386"/>
      <c r="E225" s="386"/>
      <c r="F225" s="386"/>
      <c r="G225" s="386"/>
      <c r="H225" s="387" t="s">
        <v>408</v>
      </c>
      <c r="I225" s="388"/>
      <c r="J225" s="315"/>
    </row>
    <row r="226" spans="2:10" x14ac:dyDescent="0.25">
      <c r="B226" s="385">
        <v>222</v>
      </c>
      <c r="C226" s="386"/>
      <c r="D226" s="386"/>
      <c r="E226" s="386"/>
      <c r="F226" s="386"/>
      <c r="G226" s="386"/>
      <c r="H226" s="387" t="s">
        <v>408</v>
      </c>
      <c r="I226" s="388"/>
      <c r="J226" s="315"/>
    </row>
    <row r="227" spans="2:10" x14ac:dyDescent="0.25">
      <c r="B227" s="385">
        <v>223</v>
      </c>
      <c r="C227" s="386"/>
      <c r="D227" s="386"/>
      <c r="E227" s="386"/>
      <c r="F227" s="386"/>
      <c r="G227" s="386"/>
      <c r="H227" s="387" t="s">
        <v>408</v>
      </c>
      <c r="I227" s="388"/>
      <c r="J227" s="315"/>
    </row>
    <row r="228" spans="2:10" x14ac:dyDescent="0.25">
      <c r="B228" s="385">
        <v>224</v>
      </c>
      <c r="C228" s="386"/>
      <c r="D228" s="386"/>
      <c r="E228" s="386"/>
      <c r="F228" s="386"/>
      <c r="G228" s="386"/>
      <c r="H228" s="387" t="s">
        <v>408</v>
      </c>
      <c r="I228" s="388"/>
      <c r="J228" s="315"/>
    </row>
    <row r="229" spans="2:10" x14ac:dyDescent="0.25">
      <c r="B229" s="385">
        <v>225</v>
      </c>
      <c r="C229" s="386"/>
      <c r="D229" s="386"/>
      <c r="E229" s="386"/>
      <c r="F229" s="386"/>
      <c r="G229" s="386"/>
      <c r="H229" s="387" t="s">
        <v>408</v>
      </c>
      <c r="I229" s="388"/>
      <c r="J229" s="315"/>
    </row>
    <row r="230" spans="2:10" x14ac:dyDescent="0.25">
      <c r="B230" s="385">
        <v>226</v>
      </c>
      <c r="C230" s="386"/>
      <c r="D230" s="386"/>
      <c r="E230" s="386"/>
      <c r="F230" s="386"/>
      <c r="G230" s="386"/>
      <c r="H230" s="387" t="s">
        <v>408</v>
      </c>
      <c r="I230" s="388"/>
      <c r="J230" s="315"/>
    </row>
    <row r="231" spans="2:10" x14ac:dyDescent="0.25">
      <c r="B231" s="385">
        <v>227</v>
      </c>
      <c r="C231" s="386"/>
      <c r="D231" s="386"/>
      <c r="E231" s="386"/>
      <c r="F231" s="386"/>
      <c r="G231" s="386"/>
      <c r="H231" s="387" t="s">
        <v>408</v>
      </c>
      <c r="I231" s="388"/>
      <c r="J231" s="315"/>
    </row>
    <row r="232" spans="2:10" x14ac:dyDescent="0.25">
      <c r="B232" s="385">
        <v>228</v>
      </c>
      <c r="C232" s="386"/>
      <c r="D232" s="386"/>
      <c r="E232" s="386"/>
      <c r="F232" s="386"/>
      <c r="G232" s="386"/>
      <c r="H232" s="387" t="s">
        <v>408</v>
      </c>
      <c r="I232" s="388"/>
      <c r="J232" s="315"/>
    </row>
    <row r="233" spans="2:10" x14ac:dyDescent="0.25">
      <c r="B233" s="385">
        <v>229</v>
      </c>
      <c r="C233" s="386"/>
      <c r="D233" s="386"/>
      <c r="E233" s="386"/>
      <c r="F233" s="386"/>
      <c r="G233" s="386"/>
      <c r="H233" s="387" t="s">
        <v>408</v>
      </c>
      <c r="I233" s="388"/>
      <c r="J233" s="315"/>
    </row>
    <row r="234" spans="2:10" x14ac:dyDescent="0.25">
      <c r="B234" s="385">
        <v>230</v>
      </c>
      <c r="C234" s="386"/>
      <c r="D234" s="386"/>
      <c r="E234" s="386"/>
      <c r="F234" s="386"/>
      <c r="G234" s="386"/>
      <c r="H234" s="387" t="s">
        <v>408</v>
      </c>
      <c r="I234" s="388"/>
      <c r="J234" s="315"/>
    </row>
    <row r="235" spans="2:10" x14ac:dyDescent="0.25">
      <c r="B235" s="385">
        <v>231</v>
      </c>
      <c r="C235" s="386"/>
      <c r="D235" s="386"/>
      <c r="E235" s="386"/>
      <c r="F235" s="386"/>
      <c r="G235" s="386"/>
      <c r="H235" s="387" t="s">
        <v>408</v>
      </c>
      <c r="I235" s="388"/>
      <c r="J235" s="315"/>
    </row>
    <row r="236" spans="2:10" x14ac:dyDescent="0.25">
      <c r="B236" s="385">
        <v>232</v>
      </c>
      <c r="C236" s="386"/>
      <c r="D236" s="386"/>
      <c r="E236" s="386"/>
      <c r="F236" s="386"/>
      <c r="G236" s="386"/>
      <c r="H236" s="387" t="s">
        <v>408</v>
      </c>
      <c r="I236" s="388"/>
      <c r="J236" s="315"/>
    </row>
    <row r="237" spans="2:10" x14ac:dyDescent="0.25">
      <c r="B237" s="385">
        <v>233</v>
      </c>
      <c r="C237" s="386"/>
      <c r="D237" s="386"/>
      <c r="E237" s="386"/>
      <c r="F237" s="386"/>
      <c r="G237" s="386"/>
      <c r="H237" s="387" t="s">
        <v>408</v>
      </c>
      <c r="I237" s="388"/>
      <c r="J237" s="315"/>
    </row>
    <row r="238" spans="2:10" x14ac:dyDescent="0.25">
      <c r="B238" s="385">
        <v>234</v>
      </c>
      <c r="C238" s="386"/>
      <c r="D238" s="386"/>
      <c r="E238" s="386"/>
      <c r="F238" s="386"/>
      <c r="G238" s="386"/>
      <c r="H238" s="387" t="s">
        <v>408</v>
      </c>
      <c r="I238" s="388"/>
      <c r="J238" s="315"/>
    </row>
    <row r="239" spans="2:10" x14ac:dyDescent="0.25">
      <c r="B239" s="385">
        <v>235</v>
      </c>
      <c r="C239" s="386"/>
      <c r="D239" s="386"/>
      <c r="E239" s="386"/>
      <c r="F239" s="386"/>
      <c r="G239" s="386"/>
      <c r="H239" s="387" t="s">
        <v>408</v>
      </c>
      <c r="I239" s="388"/>
      <c r="J239" s="315"/>
    </row>
    <row r="240" spans="2:10" x14ac:dyDescent="0.25">
      <c r="B240" s="385">
        <v>236</v>
      </c>
      <c r="C240" s="386"/>
      <c r="D240" s="386"/>
      <c r="E240" s="386"/>
      <c r="F240" s="386"/>
      <c r="G240" s="386"/>
      <c r="H240" s="387" t="s">
        <v>408</v>
      </c>
      <c r="I240" s="388"/>
      <c r="J240" s="315"/>
    </row>
    <row r="241" spans="2:10" x14ac:dyDescent="0.25">
      <c r="B241" s="385">
        <v>237</v>
      </c>
      <c r="C241" s="386"/>
      <c r="D241" s="386"/>
      <c r="E241" s="386"/>
      <c r="F241" s="386"/>
      <c r="G241" s="386"/>
      <c r="H241" s="387" t="s">
        <v>408</v>
      </c>
      <c r="I241" s="388"/>
      <c r="J241" s="315"/>
    </row>
    <row r="242" spans="2:10" x14ac:dyDescent="0.25">
      <c r="B242" s="385">
        <v>238</v>
      </c>
      <c r="C242" s="386"/>
      <c r="D242" s="386"/>
      <c r="E242" s="386"/>
      <c r="F242" s="386"/>
      <c r="G242" s="386"/>
      <c r="H242" s="387" t="s">
        <v>408</v>
      </c>
      <c r="I242" s="388"/>
      <c r="J242" s="315"/>
    </row>
    <row r="243" spans="2:10" x14ac:dyDescent="0.25">
      <c r="B243" s="385">
        <v>239</v>
      </c>
      <c r="C243" s="386"/>
      <c r="D243" s="386"/>
      <c r="E243" s="386"/>
      <c r="F243" s="386"/>
      <c r="G243" s="386"/>
      <c r="H243" s="387" t="s">
        <v>408</v>
      </c>
      <c r="I243" s="388"/>
      <c r="J243" s="315"/>
    </row>
    <row r="244" spans="2:10" x14ac:dyDescent="0.25">
      <c r="B244" s="385">
        <v>240</v>
      </c>
      <c r="C244" s="386"/>
      <c r="D244" s="386"/>
      <c r="E244" s="386"/>
      <c r="F244" s="386"/>
      <c r="G244" s="386"/>
      <c r="H244" s="387" t="s">
        <v>408</v>
      </c>
      <c r="I244" s="388"/>
      <c r="J244" s="315"/>
    </row>
    <row r="245" spans="2:10" x14ac:dyDescent="0.25">
      <c r="B245" s="385">
        <v>241</v>
      </c>
      <c r="C245" s="386"/>
      <c r="D245" s="386"/>
      <c r="E245" s="386"/>
      <c r="F245" s="386"/>
      <c r="G245" s="386"/>
      <c r="H245" s="387" t="s">
        <v>408</v>
      </c>
      <c r="I245" s="388"/>
      <c r="J245" s="315"/>
    </row>
    <row r="246" spans="2:10" x14ac:dyDescent="0.25">
      <c r="B246" s="385">
        <v>242</v>
      </c>
      <c r="C246" s="386"/>
      <c r="D246" s="386"/>
      <c r="E246" s="386"/>
      <c r="F246" s="386"/>
      <c r="G246" s="386"/>
      <c r="H246" s="387" t="s">
        <v>408</v>
      </c>
      <c r="I246" s="388"/>
      <c r="J246" s="315"/>
    </row>
    <row r="247" spans="2:10" x14ac:dyDescent="0.25">
      <c r="B247" s="385">
        <v>243</v>
      </c>
      <c r="C247" s="386"/>
      <c r="D247" s="386"/>
      <c r="E247" s="386"/>
      <c r="F247" s="386"/>
      <c r="G247" s="386"/>
      <c r="H247" s="387" t="s">
        <v>408</v>
      </c>
      <c r="I247" s="388"/>
      <c r="J247" s="315"/>
    </row>
    <row r="248" spans="2:10" x14ac:dyDescent="0.25">
      <c r="B248" s="385">
        <v>244</v>
      </c>
      <c r="C248" s="386"/>
      <c r="D248" s="386"/>
      <c r="E248" s="386"/>
      <c r="F248" s="386"/>
      <c r="G248" s="386"/>
      <c r="H248" s="387" t="s">
        <v>408</v>
      </c>
      <c r="I248" s="388"/>
      <c r="J248" s="315"/>
    </row>
    <row r="249" spans="2:10" x14ac:dyDescent="0.25">
      <c r="B249" s="385">
        <v>245</v>
      </c>
      <c r="C249" s="386"/>
      <c r="D249" s="386"/>
      <c r="E249" s="386"/>
      <c r="F249" s="386"/>
      <c r="G249" s="386"/>
      <c r="H249" s="387" t="s">
        <v>408</v>
      </c>
      <c r="I249" s="388"/>
      <c r="J249" s="315"/>
    </row>
    <row r="250" spans="2:10" x14ac:dyDescent="0.25">
      <c r="B250" s="385">
        <v>246</v>
      </c>
      <c r="C250" s="386"/>
      <c r="D250" s="386"/>
      <c r="E250" s="386"/>
      <c r="F250" s="386"/>
      <c r="G250" s="386"/>
      <c r="H250" s="387" t="s">
        <v>408</v>
      </c>
      <c r="I250" s="388"/>
      <c r="J250" s="315"/>
    </row>
    <row r="251" spans="2:10" x14ac:dyDescent="0.25">
      <c r="B251" s="385">
        <v>247</v>
      </c>
      <c r="C251" s="386"/>
      <c r="D251" s="386"/>
      <c r="E251" s="386"/>
      <c r="F251" s="386"/>
      <c r="G251" s="386"/>
      <c r="H251" s="387" t="s">
        <v>408</v>
      </c>
      <c r="I251" s="388"/>
      <c r="J251" s="315"/>
    </row>
    <row r="252" spans="2:10" x14ac:dyDescent="0.25">
      <c r="B252" s="385">
        <v>248</v>
      </c>
      <c r="C252" s="386"/>
      <c r="D252" s="386"/>
      <c r="E252" s="386"/>
      <c r="F252" s="386"/>
      <c r="G252" s="386"/>
      <c r="H252" s="387" t="s">
        <v>408</v>
      </c>
      <c r="I252" s="388"/>
      <c r="J252" s="315"/>
    </row>
    <row r="253" spans="2:10" x14ac:dyDescent="0.25">
      <c r="B253" s="385">
        <v>249</v>
      </c>
      <c r="C253" s="386"/>
      <c r="D253" s="386"/>
      <c r="E253" s="386"/>
      <c r="F253" s="386"/>
      <c r="G253" s="386"/>
      <c r="H253" s="387" t="s">
        <v>408</v>
      </c>
      <c r="I253" s="388"/>
      <c r="J253" s="315"/>
    </row>
    <row r="254" spans="2:10" x14ac:dyDescent="0.25">
      <c r="B254" s="385">
        <v>250</v>
      </c>
      <c r="C254" s="386"/>
      <c r="D254" s="386"/>
      <c r="E254" s="386"/>
      <c r="F254" s="386"/>
      <c r="G254" s="386"/>
      <c r="H254" s="387" t="s">
        <v>408</v>
      </c>
      <c r="I254" s="388"/>
      <c r="J254" s="315"/>
    </row>
    <row r="255" spans="2:10" x14ac:dyDescent="0.25">
      <c r="B255" s="385">
        <v>251</v>
      </c>
      <c r="C255" s="386"/>
      <c r="D255" s="386"/>
      <c r="E255" s="386"/>
      <c r="F255" s="386"/>
      <c r="G255" s="386"/>
      <c r="H255" s="387" t="s">
        <v>408</v>
      </c>
      <c r="I255" s="388"/>
      <c r="J255" s="315"/>
    </row>
    <row r="256" spans="2:10" x14ac:dyDescent="0.25">
      <c r="B256" s="385">
        <v>252</v>
      </c>
      <c r="C256" s="386"/>
      <c r="D256" s="386"/>
      <c r="E256" s="386"/>
      <c r="F256" s="386"/>
      <c r="G256" s="386"/>
      <c r="H256" s="387" t="s">
        <v>408</v>
      </c>
      <c r="I256" s="388"/>
      <c r="J256" s="315"/>
    </row>
    <row r="257" spans="2:10" x14ac:dyDescent="0.25">
      <c r="B257" s="385">
        <v>253</v>
      </c>
      <c r="C257" s="386"/>
      <c r="D257" s="386"/>
      <c r="E257" s="386"/>
      <c r="F257" s="386"/>
      <c r="G257" s="386"/>
      <c r="H257" s="387" t="s">
        <v>408</v>
      </c>
      <c r="I257" s="388"/>
      <c r="J257" s="315"/>
    </row>
    <row r="258" spans="2:10" x14ac:dyDescent="0.25">
      <c r="B258" s="385">
        <v>254</v>
      </c>
      <c r="C258" s="386"/>
      <c r="D258" s="386"/>
      <c r="E258" s="386"/>
      <c r="F258" s="386"/>
      <c r="G258" s="386"/>
      <c r="H258" s="387" t="s">
        <v>408</v>
      </c>
      <c r="I258" s="388"/>
      <c r="J258" s="315"/>
    </row>
    <row r="259" spans="2:10" x14ac:dyDescent="0.25">
      <c r="B259" s="385">
        <v>255</v>
      </c>
      <c r="C259" s="386"/>
      <c r="D259" s="386"/>
      <c r="E259" s="386"/>
      <c r="F259" s="386"/>
      <c r="G259" s="386"/>
      <c r="H259" s="387" t="s">
        <v>408</v>
      </c>
      <c r="I259" s="388"/>
      <c r="J259" s="315"/>
    </row>
    <row r="260" spans="2:10" x14ac:dyDescent="0.25">
      <c r="B260" s="385">
        <v>256</v>
      </c>
      <c r="C260" s="386"/>
      <c r="D260" s="386"/>
      <c r="E260" s="386"/>
      <c r="F260" s="386"/>
      <c r="G260" s="386"/>
      <c r="H260" s="387" t="s">
        <v>408</v>
      </c>
      <c r="I260" s="388"/>
      <c r="J260" s="315"/>
    </row>
    <row r="261" spans="2:10" x14ac:dyDescent="0.25">
      <c r="B261" s="385">
        <v>257</v>
      </c>
      <c r="C261" s="386"/>
      <c r="D261" s="386"/>
      <c r="E261" s="386"/>
      <c r="F261" s="386"/>
      <c r="G261" s="386"/>
      <c r="H261" s="387" t="s">
        <v>408</v>
      </c>
      <c r="I261" s="388"/>
      <c r="J261" s="315"/>
    </row>
    <row r="262" spans="2:10" x14ac:dyDescent="0.25">
      <c r="B262" s="385">
        <v>258</v>
      </c>
      <c r="C262" s="386"/>
      <c r="D262" s="386"/>
      <c r="E262" s="386"/>
      <c r="F262" s="386"/>
      <c r="G262" s="386"/>
      <c r="H262" s="387" t="s">
        <v>408</v>
      </c>
      <c r="I262" s="388"/>
      <c r="J262" s="315"/>
    </row>
    <row r="263" spans="2:10" x14ac:dyDescent="0.25">
      <c r="B263" s="385">
        <v>259</v>
      </c>
      <c r="C263" s="386"/>
      <c r="D263" s="386"/>
      <c r="E263" s="386"/>
      <c r="F263" s="386"/>
      <c r="G263" s="386"/>
      <c r="H263" s="387" t="s">
        <v>408</v>
      </c>
      <c r="I263" s="388"/>
      <c r="J263" s="315"/>
    </row>
    <row r="264" spans="2:10" x14ac:dyDescent="0.25">
      <c r="B264" s="385">
        <v>260</v>
      </c>
      <c r="C264" s="386"/>
      <c r="D264" s="386"/>
      <c r="E264" s="386"/>
      <c r="F264" s="386"/>
      <c r="G264" s="386"/>
      <c r="H264" s="387" t="s">
        <v>408</v>
      </c>
      <c r="I264" s="388"/>
      <c r="J264" s="315"/>
    </row>
    <row r="265" spans="2:10" x14ac:dyDescent="0.25">
      <c r="B265" s="385">
        <v>261</v>
      </c>
      <c r="C265" s="386"/>
      <c r="D265" s="386"/>
      <c r="E265" s="386"/>
      <c r="F265" s="386"/>
      <c r="G265" s="386"/>
      <c r="H265" s="387" t="s">
        <v>408</v>
      </c>
      <c r="I265" s="388"/>
      <c r="J265" s="315"/>
    </row>
    <row r="266" spans="2:10" x14ac:dyDescent="0.25">
      <c r="B266" s="385">
        <v>262</v>
      </c>
      <c r="C266" s="386"/>
      <c r="D266" s="386"/>
      <c r="E266" s="386"/>
      <c r="F266" s="386"/>
      <c r="G266" s="386"/>
      <c r="H266" s="387" t="s">
        <v>408</v>
      </c>
      <c r="I266" s="388"/>
      <c r="J266" s="315"/>
    </row>
    <row r="267" spans="2:10" x14ac:dyDescent="0.25">
      <c r="B267" s="385">
        <v>263</v>
      </c>
      <c r="C267" s="386"/>
      <c r="D267" s="386"/>
      <c r="E267" s="386"/>
      <c r="F267" s="386"/>
      <c r="G267" s="386"/>
      <c r="H267" s="387" t="s">
        <v>408</v>
      </c>
      <c r="I267" s="388"/>
      <c r="J267" s="315"/>
    </row>
    <row r="268" spans="2:10" x14ac:dyDescent="0.25">
      <c r="B268" s="385">
        <v>264</v>
      </c>
      <c r="C268" s="386"/>
      <c r="D268" s="386"/>
      <c r="E268" s="386"/>
      <c r="F268" s="386"/>
      <c r="G268" s="386"/>
      <c r="H268" s="387" t="s">
        <v>408</v>
      </c>
      <c r="I268" s="388"/>
      <c r="J268" s="315"/>
    </row>
    <row r="269" spans="2:10" x14ac:dyDescent="0.25">
      <c r="B269" s="385">
        <v>265</v>
      </c>
      <c r="C269" s="386"/>
      <c r="D269" s="386"/>
      <c r="E269" s="386"/>
      <c r="F269" s="386"/>
      <c r="G269" s="386"/>
      <c r="H269" s="387" t="s">
        <v>408</v>
      </c>
      <c r="I269" s="388"/>
      <c r="J269" s="315"/>
    </row>
    <row r="270" spans="2:10" x14ac:dyDescent="0.25">
      <c r="B270" s="385">
        <v>266</v>
      </c>
      <c r="C270" s="386"/>
      <c r="D270" s="386"/>
      <c r="E270" s="386"/>
      <c r="F270" s="386"/>
      <c r="G270" s="386"/>
      <c r="H270" s="387" t="s">
        <v>408</v>
      </c>
      <c r="I270" s="388"/>
      <c r="J270" s="315"/>
    </row>
    <row r="271" spans="2:10" x14ac:dyDescent="0.25">
      <c r="B271" s="385">
        <v>267</v>
      </c>
      <c r="C271" s="386"/>
      <c r="D271" s="386"/>
      <c r="E271" s="386"/>
      <c r="F271" s="386"/>
      <c r="G271" s="386"/>
      <c r="H271" s="387" t="s">
        <v>408</v>
      </c>
      <c r="I271" s="388"/>
      <c r="J271" s="315"/>
    </row>
    <row r="272" spans="2:10" x14ac:dyDescent="0.25">
      <c r="B272" s="385">
        <v>268</v>
      </c>
      <c r="C272" s="386"/>
      <c r="D272" s="386"/>
      <c r="E272" s="386"/>
      <c r="F272" s="386"/>
      <c r="G272" s="386"/>
      <c r="H272" s="387" t="s">
        <v>408</v>
      </c>
      <c r="I272" s="388"/>
      <c r="J272" s="315"/>
    </row>
    <row r="273" spans="2:10" x14ac:dyDescent="0.25">
      <c r="B273" s="385">
        <v>269</v>
      </c>
      <c r="C273" s="386"/>
      <c r="D273" s="386"/>
      <c r="E273" s="386"/>
      <c r="F273" s="386"/>
      <c r="G273" s="386"/>
      <c r="H273" s="387" t="s">
        <v>408</v>
      </c>
      <c r="I273" s="388"/>
      <c r="J273" s="315"/>
    </row>
    <row r="274" spans="2:10" x14ac:dyDescent="0.25">
      <c r="B274" s="385">
        <v>270</v>
      </c>
      <c r="C274" s="386"/>
      <c r="D274" s="386"/>
      <c r="E274" s="386"/>
      <c r="F274" s="386"/>
      <c r="G274" s="386"/>
      <c r="H274" s="387" t="s">
        <v>408</v>
      </c>
      <c r="I274" s="388"/>
      <c r="J274" s="315"/>
    </row>
    <row r="275" spans="2:10" x14ac:dyDescent="0.25">
      <c r="B275" s="385">
        <v>271</v>
      </c>
      <c r="C275" s="386"/>
      <c r="D275" s="386"/>
      <c r="E275" s="386"/>
      <c r="F275" s="386"/>
      <c r="G275" s="386"/>
      <c r="H275" s="387" t="s">
        <v>408</v>
      </c>
      <c r="I275" s="388"/>
      <c r="J275" s="315"/>
    </row>
    <row r="276" spans="2:10" x14ac:dyDescent="0.25">
      <c r="B276" s="385">
        <v>272</v>
      </c>
      <c r="C276" s="386"/>
      <c r="D276" s="386"/>
      <c r="E276" s="386"/>
      <c r="F276" s="386"/>
      <c r="G276" s="386"/>
      <c r="H276" s="387" t="s">
        <v>408</v>
      </c>
      <c r="I276" s="388"/>
      <c r="J276" s="315"/>
    </row>
    <row r="277" spans="2:10" x14ac:dyDescent="0.25">
      <c r="B277" s="385">
        <v>273</v>
      </c>
      <c r="C277" s="386"/>
      <c r="D277" s="386"/>
      <c r="E277" s="386"/>
      <c r="F277" s="386"/>
      <c r="G277" s="386"/>
      <c r="H277" s="387" t="s">
        <v>408</v>
      </c>
      <c r="I277" s="388"/>
      <c r="J277" s="315"/>
    </row>
    <row r="278" spans="2:10" x14ac:dyDescent="0.25">
      <c r="B278" s="385">
        <v>274</v>
      </c>
      <c r="C278" s="386"/>
      <c r="D278" s="386"/>
      <c r="E278" s="386"/>
      <c r="F278" s="386"/>
      <c r="G278" s="386"/>
      <c r="H278" s="387" t="s">
        <v>408</v>
      </c>
      <c r="I278" s="388"/>
      <c r="J278" s="315"/>
    </row>
    <row r="279" spans="2:10" x14ac:dyDescent="0.25">
      <c r="B279" s="385">
        <v>275</v>
      </c>
      <c r="C279" s="386"/>
      <c r="D279" s="386"/>
      <c r="E279" s="386"/>
      <c r="F279" s="386"/>
      <c r="G279" s="386"/>
      <c r="H279" s="387" t="s">
        <v>408</v>
      </c>
      <c r="I279" s="388"/>
      <c r="J279" s="315"/>
    </row>
    <row r="280" spans="2:10" x14ac:dyDescent="0.25">
      <c r="B280" s="385">
        <v>276</v>
      </c>
      <c r="C280" s="386"/>
      <c r="D280" s="386"/>
      <c r="E280" s="386"/>
      <c r="F280" s="386"/>
      <c r="G280" s="386"/>
      <c r="H280" s="387" t="s">
        <v>408</v>
      </c>
      <c r="I280" s="388"/>
      <c r="J280" s="315"/>
    </row>
    <row r="281" spans="2:10" x14ac:dyDescent="0.25">
      <c r="B281" s="385">
        <v>277</v>
      </c>
      <c r="C281" s="386"/>
      <c r="D281" s="386"/>
      <c r="E281" s="386"/>
      <c r="F281" s="386"/>
      <c r="G281" s="386"/>
      <c r="H281" s="387" t="s">
        <v>408</v>
      </c>
      <c r="I281" s="388"/>
      <c r="J281" s="315"/>
    </row>
    <row r="282" spans="2:10" x14ac:dyDescent="0.25">
      <c r="B282" s="385">
        <v>278</v>
      </c>
      <c r="C282" s="386"/>
      <c r="D282" s="386"/>
      <c r="E282" s="386"/>
      <c r="F282" s="386"/>
      <c r="G282" s="386"/>
      <c r="H282" s="387" t="s">
        <v>408</v>
      </c>
      <c r="I282" s="388"/>
      <c r="J282" s="315"/>
    </row>
    <row r="283" spans="2:10" x14ac:dyDescent="0.25">
      <c r="B283" s="385">
        <v>279</v>
      </c>
      <c r="C283" s="386"/>
      <c r="D283" s="386"/>
      <c r="E283" s="386"/>
      <c r="F283" s="386"/>
      <c r="G283" s="386"/>
      <c r="H283" s="387" t="s">
        <v>408</v>
      </c>
      <c r="I283" s="388"/>
      <c r="J283" s="315"/>
    </row>
    <row r="284" spans="2:10" x14ac:dyDescent="0.25">
      <c r="B284" s="385">
        <v>280</v>
      </c>
      <c r="C284" s="386"/>
      <c r="D284" s="386"/>
      <c r="E284" s="386"/>
      <c r="F284" s="386"/>
      <c r="G284" s="386"/>
      <c r="H284" s="387" t="s">
        <v>408</v>
      </c>
      <c r="I284" s="388"/>
      <c r="J284" s="315"/>
    </row>
    <row r="285" spans="2:10" x14ac:dyDescent="0.25">
      <c r="B285" s="385">
        <v>281</v>
      </c>
      <c r="C285" s="386"/>
      <c r="D285" s="386"/>
      <c r="E285" s="386"/>
      <c r="F285" s="386"/>
      <c r="G285" s="386"/>
      <c r="H285" s="387" t="s">
        <v>408</v>
      </c>
      <c r="I285" s="388"/>
      <c r="J285" s="315"/>
    </row>
    <row r="286" spans="2:10" x14ac:dyDescent="0.25">
      <c r="B286" s="385">
        <v>282</v>
      </c>
      <c r="C286" s="386"/>
      <c r="D286" s="386"/>
      <c r="E286" s="386"/>
      <c r="F286" s="386"/>
      <c r="G286" s="386"/>
      <c r="H286" s="387" t="s">
        <v>408</v>
      </c>
      <c r="I286" s="388"/>
      <c r="J286" s="315"/>
    </row>
    <row r="287" spans="2:10" x14ac:dyDescent="0.25">
      <c r="B287" s="385">
        <v>283</v>
      </c>
      <c r="C287" s="386"/>
      <c r="D287" s="386"/>
      <c r="E287" s="386"/>
      <c r="F287" s="386"/>
      <c r="G287" s="386"/>
      <c r="H287" s="387" t="s">
        <v>408</v>
      </c>
      <c r="I287" s="388"/>
      <c r="J287" s="315"/>
    </row>
    <row r="288" spans="2:10" x14ac:dyDescent="0.25">
      <c r="B288" s="385">
        <v>284</v>
      </c>
      <c r="C288" s="386"/>
      <c r="D288" s="386"/>
      <c r="E288" s="386"/>
      <c r="F288" s="386"/>
      <c r="G288" s="386"/>
      <c r="H288" s="387" t="s">
        <v>408</v>
      </c>
      <c r="I288" s="388"/>
      <c r="J288" s="315"/>
    </row>
    <row r="289" spans="2:10" x14ac:dyDescent="0.25">
      <c r="B289" s="385">
        <v>285</v>
      </c>
      <c r="C289" s="386"/>
      <c r="D289" s="386"/>
      <c r="E289" s="386"/>
      <c r="F289" s="386"/>
      <c r="G289" s="386"/>
      <c r="H289" s="387" t="s">
        <v>408</v>
      </c>
      <c r="I289" s="388"/>
      <c r="J289" s="315"/>
    </row>
    <row r="290" spans="2:10" x14ac:dyDescent="0.25">
      <c r="B290" s="385">
        <v>286</v>
      </c>
      <c r="C290" s="386"/>
      <c r="D290" s="386"/>
      <c r="E290" s="386"/>
      <c r="F290" s="386"/>
      <c r="G290" s="386"/>
      <c r="H290" s="387" t="s">
        <v>408</v>
      </c>
      <c r="I290" s="388"/>
      <c r="J290" s="315"/>
    </row>
    <row r="291" spans="2:10" x14ac:dyDescent="0.25">
      <c r="B291" s="385">
        <v>287</v>
      </c>
      <c r="C291" s="386"/>
      <c r="D291" s="386"/>
      <c r="E291" s="386"/>
      <c r="F291" s="386"/>
      <c r="G291" s="386"/>
      <c r="H291" s="387" t="s">
        <v>408</v>
      </c>
      <c r="I291" s="388"/>
      <c r="J291" s="315"/>
    </row>
    <row r="292" spans="2:10" x14ac:dyDescent="0.25">
      <c r="B292" s="385">
        <v>288</v>
      </c>
      <c r="C292" s="386"/>
      <c r="D292" s="386"/>
      <c r="E292" s="386"/>
      <c r="F292" s="386"/>
      <c r="G292" s="386"/>
      <c r="H292" s="387" t="s">
        <v>408</v>
      </c>
      <c r="I292" s="388"/>
      <c r="J292" s="315"/>
    </row>
    <row r="293" spans="2:10" x14ac:dyDescent="0.25">
      <c r="B293" s="385">
        <v>289</v>
      </c>
      <c r="C293" s="386"/>
      <c r="D293" s="386"/>
      <c r="E293" s="386"/>
      <c r="F293" s="386"/>
      <c r="G293" s="386"/>
      <c r="H293" s="387" t="s">
        <v>408</v>
      </c>
      <c r="I293" s="388"/>
      <c r="J293" s="315"/>
    </row>
    <row r="294" spans="2:10" x14ac:dyDescent="0.25">
      <c r="B294" s="385">
        <v>290</v>
      </c>
      <c r="C294" s="386"/>
      <c r="D294" s="386"/>
      <c r="E294" s="386"/>
      <c r="F294" s="386"/>
      <c r="G294" s="386"/>
      <c r="H294" s="387" t="s">
        <v>408</v>
      </c>
      <c r="I294" s="388"/>
      <c r="J294" s="315"/>
    </row>
    <row r="295" spans="2:10" x14ac:dyDescent="0.25">
      <c r="B295" s="385">
        <v>291</v>
      </c>
      <c r="C295" s="386"/>
      <c r="D295" s="386"/>
      <c r="E295" s="386"/>
      <c r="F295" s="386"/>
      <c r="G295" s="386"/>
      <c r="H295" s="387" t="s">
        <v>408</v>
      </c>
      <c r="I295" s="388"/>
      <c r="J295" s="315"/>
    </row>
    <row r="296" spans="2:10" x14ac:dyDescent="0.25">
      <c r="B296" s="385">
        <v>292</v>
      </c>
      <c r="C296" s="386"/>
      <c r="D296" s="386"/>
      <c r="E296" s="386"/>
      <c r="F296" s="386"/>
      <c r="G296" s="386"/>
      <c r="H296" s="387" t="s">
        <v>408</v>
      </c>
      <c r="I296" s="388"/>
      <c r="J296" s="315"/>
    </row>
    <row r="297" spans="2:10" x14ac:dyDescent="0.25">
      <c r="B297" s="385">
        <v>293</v>
      </c>
      <c r="C297" s="386"/>
      <c r="D297" s="386"/>
      <c r="E297" s="386"/>
      <c r="F297" s="386"/>
      <c r="G297" s="386"/>
      <c r="H297" s="387" t="s">
        <v>408</v>
      </c>
      <c r="I297" s="388"/>
      <c r="J297" s="315"/>
    </row>
    <row r="298" spans="2:10" x14ac:dyDescent="0.25">
      <c r="B298" s="385">
        <v>294</v>
      </c>
      <c r="C298" s="386"/>
      <c r="D298" s="386"/>
      <c r="E298" s="386"/>
      <c r="F298" s="386"/>
      <c r="G298" s="386"/>
      <c r="H298" s="387" t="s">
        <v>408</v>
      </c>
      <c r="I298" s="388"/>
      <c r="J298" s="315"/>
    </row>
    <row r="299" spans="2:10" x14ac:dyDescent="0.25">
      <c r="B299" s="385">
        <v>295</v>
      </c>
      <c r="C299" s="386"/>
      <c r="D299" s="386"/>
      <c r="E299" s="386"/>
      <c r="F299" s="386"/>
      <c r="G299" s="386"/>
      <c r="H299" s="387" t="s">
        <v>408</v>
      </c>
      <c r="I299" s="388"/>
      <c r="J299" s="315"/>
    </row>
    <row r="300" spans="2:10" x14ac:dyDescent="0.25">
      <c r="B300" s="385">
        <v>296</v>
      </c>
      <c r="C300" s="386"/>
      <c r="D300" s="386"/>
      <c r="E300" s="386"/>
      <c r="F300" s="386"/>
      <c r="G300" s="386"/>
      <c r="H300" s="387" t="s">
        <v>408</v>
      </c>
      <c r="I300" s="388"/>
      <c r="J300" s="315"/>
    </row>
    <row r="301" spans="2:10" x14ac:dyDescent="0.25">
      <c r="B301" s="385">
        <v>297</v>
      </c>
      <c r="C301" s="386"/>
      <c r="D301" s="386"/>
      <c r="E301" s="386"/>
      <c r="F301" s="386"/>
      <c r="G301" s="386"/>
      <c r="H301" s="387" t="s">
        <v>408</v>
      </c>
      <c r="I301" s="388"/>
      <c r="J301" s="315"/>
    </row>
    <row r="302" spans="2:10" x14ac:dyDescent="0.25">
      <c r="B302" s="385">
        <v>298</v>
      </c>
      <c r="C302" s="386"/>
      <c r="D302" s="386"/>
      <c r="E302" s="386"/>
      <c r="F302" s="386"/>
      <c r="G302" s="386"/>
      <c r="H302" s="387" t="s">
        <v>408</v>
      </c>
      <c r="I302" s="388"/>
      <c r="J302" s="315"/>
    </row>
    <row r="303" spans="2:10" x14ac:dyDescent="0.25">
      <c r="B303" s="385">
        <v>299</v>
      </c>
      <c r="C303" s="386"/>
      <c r="D303" s="386"/>
      <c r="E303" s="386"/>
      <c r="F303" s="386"/>
      <c r="G303" s="386"/>
      <c r="H303" s="387" t="s">
        <v>408</v>
      </c>
      <c r="I303" s="388"/>
      <c r="J303" s="315"/>
    </row>
    <row r="304" spans="2:10" x14ac:dyDescent="0.25">
      <c r="B304" s="385">
        <v>300</v>
      </c>
      <c r="C304" s="386"/>
      <c r="D304" s="386"/>
      <c r="E304" s="386"/>
      <c r="F304" s="386"/>
      <c r="G304" s="386"/>
      <c r="H304" s="387" t="s">
        <v>408</v>
      </c>
      <c r="I304" s="388"/>
      <c r="J304" s="315"/>
    </row>
    <row r="305" spans="2:10" x14ac:dyDescent="0.25">
      <c r="B305" s="385">
        <v>301</v>
      </c>
      <c r="C305" s="386"/>
      <c r="D305" s="386"/>
      <c r="E305" s="386"/>
      <c r="F305" s="386"/>
      <c r="G305" s="386"/>
      <c r="H305" s="387" t="s">
        <v>408</v>
      </c>
      <c r="I305" s="388"/>
      <c r="J305" s="315"/>
    </row>
    <row r="306" spans="2:10" x14ac:dyDescent="0.25">
      <c r="B306" s="385">
        <v>302</v>
      </c>
      <c r="C306" s="386"/>
      <c r="D306" s="386"/>
      <c r="E306" s="386"/>
      <c r="F306" s="386"/>
      <c r="G306" s="386"/>
      <c r="H306" s="387" t="s">
        <v>408</v>
      </c>
      <c r="I306" s="388"/>
      <c r="J306" s="315"/>
    </row>
    <row r="307" spans="2:10" x14ac:dyDescent="0.25">
      <c r="B307" s="385">
        <v>303</v>
      </c>
      <c r="C307" s="386"/>
      <c r="D307" s="386"/>
      <c r="E307" s="386"/>
      <c r="F307" s="386"/>
      <c r="G307" s="386"/>
      <c r="H307" s="387" t="s">
        <v>408</v>
      </c>
      <c r="I307" s="388"/>
      <c r="J307" s="315"/>
    </row>
    <row r="308" spans="2:10" x14ac:dyDescent="0.25">
      <c r="B308" s="385">
        <v>304</v>
      </c>
      <c r="C308" s="386"/>
      <c r="D308" s="386"/>
      <c r="E308" s="386"/>
      <c r="F308" s="386"/>
      <c r="G308" s="386"/>
      <c r="H308" s="387" t="s">
        <v>408</v>
      </c>
      <c r="I308" s="388"/>
      <c r="J308" s="315"/>
    </row>
    <row r="309" spans="2:10" x14ac:dyDescent="0.25">
      <c r="B309" s="385">
        <v>305</v>
      </c>
      <c r="C309" s="386"/>
      <c r="D309" s="386"/>
      <c r="E309" s="386"/>
      <c r="F309" s="386"/>
      <c r="G309" s="386"/>
      <c r="H309" s="387" t="s">
        <v>408</v>
      </c>
      <c r="I309" s="388"/>
      <c r="J309" s="315"/>
    </row>
    <row r="310" spans="2:10" x14ac:dyDescent="0.25">
      <c r="B310" s="385">
        <v>306</v>
      </c>
      <c r="C310" s="386"/>
      <c r="D310" s="386"/>
      <c r="E310" s="386"/>
      <c r="F310" s="386"/>
      <c r="G310" s="386"/>
      <c r="H310" s="387" t="s">
        <v>408</v>
      </c>
      <c r="I310" s="388"/>
      <c r="J310" s="315"/>
    </row>
    <row r="311" spans="2:10" x14ac:dyDescent="0.25">
      <c r="B311" s="385">
        <v>307</v>
      </c>
      <c r="C311" s="386"/>
      <c r="D311" s="386"/>
      <c r="E311" s="386"/>
      <c r="F311" s="386"/>
      <c r="G311" s="386"/>
      <c r="H311" s="387" t="s">
        <v>408</v>
      </c>
      <c r="I311" s="388"/>
      <c r="J311" s="315"/>
    </row>
    <row r="312" spans="2:10" x14ac:dyDescent="0.25">
      <c r="B312" s="385">
        <v>308</v>
      </c>
      <c r="C312" s="386"/>
      <c r="D312" s="386"/>
      <c r="E312" s="386"/>
      <c r="F312" s="386"/>
      <c r="G312" s="386"/>
      <c r="H312" s="387" t="s">
        <v>408</v>
      </c>
      <c r="I312" s="388"/>
      <c r="J312" s="315"/>
    </row>
    <row r="313" spans="2:10" x14ac:dyDescent="0.25">
      <c r="B313" s="385">
        <v>309</v>
      </c>
      <c r="C313" s="386"/>
      <c r="D313" s="386"/>
      <c r="E313" s="386"/>
      <c r="F313" s="386"/>
      <c r="G313" s="386"/>
      <c r="H313" s="387" t="s">
        <v>408</v>
      </c>
      <c r="I313" s="388"/>
      <c r="J313" s="315"/>
    </row>
    <row r="314" spans="2:10" x14ac:dyDescent="0.25">
      <c r="B314" s="385">
        <v>310</v>
      </c>
      <c r="C314" s="386"/>
      <c r="D314" s="386"/>
      <c r="E314" s="386"/>
      <c r="F314" s="386"/>
      <c r="G314" s="386"/>
      <c r="H314" s="387" t="s">
        <v>408</v>
      </c>
      <c r="I314" s="388"/>
      <c r="J314" s="315"/>
    </row>
    <row r="315" spans="2:10" x14ac:dyDescent="0.25">
      <c r="B315" s="385">
        <v>311</v>
      </c>
      <c r="C315" s="386"/>
      <c r="D315" s="386"/>
      <c r="E315" s="386"/>
      <c r="F315" s="386"/>
      <c r="G315" s="386"/>
      <c r="H315" s="387" t="s">
        <v>408</v>
      </c>
      <c r="I315" s="388"/>
      <c r="J315" s="315"/>
    </row>
    <row r="316" spans="2:10" x14ac:dyDescent="0.25">
      <c r="B316" s="385">
        <v>312</v>
      </c>
      <c r="C316" s="386"/>
      <c r="D316" s="386"/>
      <c r="E316" s="386"/>
      <c r="F316" s="386"/>
      <c r="G316" s="386"/>
      <c r="H316" s="387" t="s">
        <v>408</v>
      </c>
      <c r="I316" s="388"/>
      <c r="J316" s="315"/>
    </row>
    <row r="317" spans="2:10" x14ac:dyDescent="0.25">
      <c r="B317" s="385">
        <v>313</v>
      </c>
      <c r="C317" s="386"/>
      <c r="D317" s="386"/>
      <c r="E317" s="386"/>
      <c r="F317" s="386"/>
      <c r="G317" s="386"/>
      <c r="H317" s="387" t="s">
        <v>408</v>
      </c>
      <c r="I317" s="388"/>
      <c r="J317" s="315"/>
    </row>
    <row r="318" spans="2:10" x14ac:dyDescent="0.25">
      <c r="B318" s="385">
        <v>314</v>
      </c>
      <c r="C318" s="386"/>
      <c r="D318" s="386"/>
      <c r="E318" s="386"/>
      <c r="F318" s="386"/>
      <c r="G318" s="386"/>
      <c r="H318" s="387" t="s">
        <v>408</v>
      </c>
      <c r="I318" s="388"/>
      <c r="J318" s="315"/>
    </row>
    <row r="319" spans="2:10" x14ac:dyDescent="0.25">
      <c r="B319" s="385">
        <v>315</v>
      </c>
      <c r="C319" s="386"/>
      <c r="D319" s="386"/>
      <c r="E319" s="386"/>
      <c r="F319" s="386"/>
      <c r="G319" s="386"/>
      <c r="H319" s="387" t="s">
        <v>408</v>
      </c>
      <c r="I319" s="388"/>
      <c r="J319" s="315"/>
    </row>
    <row r="320" spans="2:10" x14ac:dyDescent="0.25">
      <c r="B320" s="385">
        <v>316</v>
      </c>
      <c r="C320" s="386"/>
      <c r="D320" s="386"/>
      <c r="E320" s="386"/>
      <c r="F320" s="386"/>
      <c r="G320" s="386"/>
      <c r="H320" s="387" t="s">
        <v>408</v>
      </c>
      <c r="I320" s="388"/>
      <c r="J320" s="315"/>
    </row>
    <row r="321" spans="2:10" x14ac:dyDescent="0.25">
      <c r="B321" s="385">
        <v>317</v>
      </c>
      <c r="C321" s="386"/>
      <c r="D321" s="386"/>
      <c r="E321" s="386"/>
      <c r="F321" s="386"/>
      <c r="G321" s="386"/>
      <c r="H321" s="387" t="s">
        <v>408</v>
      </c>
      <c r="I321" s="388"/>
      <c r="J321" s="315"/>
    </row>
    <row r="322" spans="2:10" x14ac:dyDescent="0.25">
      <c r="B322" s="385">
        <v>318</v>
      </c>
      <c r="C322" s="386"/>
      <c r="D322" s="386"/>
      <c r="E322" s="386"/>
      <c r="F322" s="386"/>
      <c r="G322" s="386"/>
      <c r="H322" s="387" t="s">
        <v>408</v>
      </c>
      <c r="I322" s="388"/>
      <c r="J322" s="315"/>
    </row>
    <row r="323" spans="2:10" x14ac:dyDescent="0.25">
      <c r="B323" s="385">
        <v>319</v>
      </c>
      <c r="C323" s="386"/>
      <c r="D323" s="386"/>
      <c r="E323" s="386"/>
      <c r="F323" s="386"/>
      <c r="G323" s="386"/>
      <c r="H323" s="387" t="s">
        <v>408</v>
      </c>
      <c r="I323" s="388"/>
      <c r="J323" s="315"/>
    </row>
    <row r="324" spans="2:10" x14ac:dyDescent="0.25">
      <c r="B324" s="385">
        <v>320</v>
      </c>
      <c r="C324" s="386"/>
      <c r="D324" s="386"/>
      <c r="E324" s="386"/>
      <c r="F324" s="386"/>
      <c r="G324" s="386"/>
      <c r="H324" s="387" t="s">
        <v>408</v>
      </c>
      <c r="I324" s="388"/>
      <c r="J324" s="315"/>
    </row>
    <row r="325" spans="2:10" x14ac:dyDescent="0.25">
      <c r="B325" s="385">
        <v>321</v>
      </c>
      <c r="C325" s="386"/>
      <c r="D325" s="386"/>
      <c r="E325" s="386"/>
      <c r="F325" s="386"/>
      <c r="G325" s="386"/>
      <c r="H325" s="387" t="s">
        <v>408</v>
      </c>
      <c r="I325" s="388"/>
      <c r="J325" s="315"/>
    </row>
    <row r="326" spans="2:10" x14ac:dyDescent="0.25">
      <c r="B326" s="385">
        <v>322</v>
      </c>
      <c r="C326" s="386"/>
      <c r="D326" s="386"/>
      <c r="E326" s="386"/>
      <c r="F326" s="386"/>
      <c r="G326" s="386"/>
      <c r="H326" s="387" t="s">
        <v>408</v>
      </c>
      <c r="I326" s="388"/>
      <c r="J326" s="315"/>
    </row>
    <row r="327" spans="2:10" x14ac:dyDescent="0.25">
      <c r="B327" s="385">
        <v>323</v>
      </c>
      <c r="C327" s="386"/>
      <c r="D327" s="386"/>
      <c r="E327" s="386"/>
      <c r="F327" s="386"/>
      <c r="G327" s="386"/>
      <c r="H327" s="387" t="s">
        <v>408</v>
      </c>
      <c r="I327" s="388"/>
      <c r="J327" s="315"/>
    </row>
    <row r="328" spans="2:10" x14ac:dyDescent="0.25">
      <c r="B328" s="385">
        <v>324</v>
      </c>
      <c r="C328" s="386"/>
      <c r="D328" s="386"/>
      <c r="E328" s="386"/>
      <c r="F328" s="386"/>
      <c r="G328" s="386"/>
      <c r="H328" s="387" t="s">
        <v>408</v>
      </c>
      <c r="I328" s="388"/>
      <c r="J328" s="315"/>
    </row>
    <row r="329" spans="2:10" x14ac:dyDescent="0.25">
      <c r="B329" s="385">
        <v>325</v>
      </c>
      <c r="C329" s="386"/>
      <c r="D329" s="386"/>
      <c r="E329" s="386"/>
      <c r="F329" s="386"/>
      <c r="G329" s="386"/>
      <c r="H329" s="387" t="s">
        <v>408</v>
      </c>
      <c r="I329" s="388"/>
      <c r="J329" s="315"/>
    </row>
    <row r="330" spans="2:10" x14ac:dyDescent="0.25">
      <c r="B330" s="385">
        <v>326</v>
      </c>
      <c r="C330" s="386"/>
      <c r="D330" s="386"/>
      <c r="E330" s="386"/>
      <c r="F330" s="386"/>
      <c r="G330" s="386"/>
      <c r="H330" s="387" t="s">
        <v>408</v>
      </c>
      <c r="I330" s="388"/>
      <c r="J330" s="315"/>
    </row>
    <row r="331" spans="2:10" x14ac:dyDescent="0.25">
      <c r="B331" s="385">
        <v>327</v>
      </c>
      <c r="C331" s="386"/>
      <c r="D331" s="386"/>
      <c r="E331" s="386"/>
      <c r="F331" s="386"/>
      <c r="G331" s="386"/>
      <c r="H331" s="387" t="s">
        <v>408</v>
      </c>
      <c r="I331" s="388"/>
      <c r="J331" s="315"/>
    </row>
    <row r="332" spans="2:10" x14ac:dyDescent="0.25">
      <c r="B332" s="385">
        <v>328</v>
      </c>
      <c r="C332" s="386"/>
      <c r="D332" s="386"/>
      <c r="E332" s="386"/>
      <c r="F332" s="386"/>
      <c r="G332" s="386"/>
      <c r="H332" s="387" t="s">
        <v>408</v>
      </c>
      <c r="I332" s="388"/>
      <c r="J332" s="315"/>
    </row>
    <row r="333" spans="2:10" x14ac:dyDescent="0.25">
      <c r="B333" s="385">
        <v>329</v>
      </c>
      <c r="C333" s="386"/>
      <c r="D333" s="386"/>
      <c r="E333" s="386"/>
      <c r="F333" s="386"/>
      <c r="G333" s="386"/>
      <c r="H333" s="387" t="s">
        <v>408</v>
      </c>
      <c r="I333" s="388"/>
      <c r="J333" s="315"/>
    </row>
    <row r="334" spans="2:10" x14ac:dyDescent="0.25">
      <c r="B334" s="385">
        <v>330</v>
      </c>
      <c r="C334" s="386"/>
      <c r="D334" s="386"/>
      <c r="E334" s="386"/>
      <c r="F334" s="386"/>
      <c r="G334" s="386"/>
      <c r="H334" s="387" t="s">
        <v>408</v>
      </c>
      <c r="I334" s="388"/>
      <c r="J334" s="315"/>
    </row>
    <row r="335" spans="2:10" x14ac:dyDescent="0.25">
      <c r="B335" s="385">
        <v>331</v>
      </c>
      <c r="C335" s="386"/>
      <c r="D335" s="386"/>
      <c r="E335" s="386"/>
      <c r="F335" s="386"/>
      <c r="G335" s="386"/>
      <c r="H335" s="387" t="s">
        <v>408</v>
      </c>
      <c r="I335" s="388"/>
      <c r="J335" s="315"/>
    </row>
    <row r="336" spans="2:10" x14ac:dyDescent="0.25">
      <c r="B336" s="385">
        <v>332</v>
      </c>
      <c r="C336" s="386"/>
      <c r="D336" s="386"/>
      <c r="E336" s="386"/>
      <c r="F336" s="386"/>
      <c r="G336" s="386"/>
      <c r="H336" s="387" t="s">
        <v>408</v>
      </c>
      <c r="I336" s="388"/>
      <c r="J336" s="315"/>
    </row>
    <row r="337" spans="2:10" x14ac:dyDescent="0.25">
      <c r="B337" s="385">
        <v>333</v>
      </c>
      <c r="C337" s="386"/>
      <c r="D337" s="386"/>
      <c r="E337" s="386"/>
      <c r="F337" s="386"/>
      <c r="G337" s="386"/>
      <c r="H337" s="387" t="s">
        <v>408</v>
      </c>
      <c r="I337" s="388"/>
      <c r="J337" s="315"/>
    </row>
    <row r="338" spans="2:10" x14ac:dyDescent="0.25">
      <c r="B338" s="385">
        <v>334</v>
      </c>
      <c r="C338" s="386"/>
      <c r="D338" s="386"/>
      <c r="E338" s="386"/>
      <c r="F338" s="386"/>
      <c r="G338" s="386"/>
      <c r="H338" s="387" t="s">
        <v>408</v>
      </c>
      <c r="I338" s="388"/>
      <c r="J338" s="315"/>
    </row>
    <row r="339" spans="2:10" x14ac:dyDescent="0.25">
      <c r="B339" s="385">
        <v>335</v>
      </c>
      <c r="C339" s="386"/>
      <c r="D339" s="386"/>
      <c r="E339" s="386"/>
      <c r="F339" s="386"/>
      <c r="G339" s="386"/>
      <c r="H339" s="387" t="s">
        <v>408</v>
      </c>
      <c r="I339" s="388"/>
      <c r="J339" s="315"/>
    </row>
    <row r="340" spans="2:10" x14ac:dyDescent="0.25">
      <c r="B340" s="385">
        <v>336</v>
      </c>
      <c r="C340" s="386"/>
      <c r="D340" s="386"/>
      <c r="E340" s="386"/>
      <c r="F340" s="386"/>
      <c r="G340" s="386"/>
      <c r="H340" s="387" t="s">
        <v>408</v>
      </c>
      <c r="I340" s="388"/>
      <c r="J340" s="315"/>
    </row>
    <row r="341" spans="2:10" x14ac:dyDescent="0.25">
      <c r="B341" s="385">
        <v>337</v>
      </c>
      <c r="C341" s="386"/>
      <c r="D341" s="386"/>
      <c r="E341" s="386"/>
      <c r="F341" s="386"/>
      <c r="G341" s="386"/>
      <c r="H341" s="387" t="s">
        <v>408</v>
      </c>
      <c r="I341" s="388"/>
      <c r="J341" s="315"/>
    </row>
    <row r="342" spans="2:10" x14ac:dyDescent="0.25">
      <c r="B342" s="385">
        <v>338</v>
      </c>
      <c r="C342" s="386"/>
      <c r="D342" s="386"/>
      <c r="E342" s="386"/>
      <c r="F342" s="386"/>
      <c r="G342" s="386"/>
      <c r="H342" s="387" t="s">
        <v>408</v>
      </c>
      <c r="I342" s="388"/>
      <c r="J342" s="315"/>
    </row>
    <row r="343" spans="2:10" x14ac:dyDescent="0.25">
      <c r="B343" s="385">
        <v>339</v>
      </c>
      <c r="C343" s="386"/>
      <c r="D343" s="386"/>
      <c r="E343" s="386"/>
      <c r="F343" s="386"/>
      <c r="G343" s="386"/>
      <c r="H343" s="387" t="s">
        <v>408</v>
      </c>
      <c r="I343" s="388"/>
      <c r="J343" s="315"/>
    </row>
    <row r="344" spans="2:10" x14ac:dyDescent="0.25">
      <c r="B344" s="385">
        <v>340</v>
      </c>
      <c r="C344" s="386"/>
      <c r="D344" s="386"/>
      <c r="E344" s="386"/>
      <c r="F344" s="386"/>
      <c r="G344" s="386"/>
      <c r="H344" s="387" t="s">
        <v>408</v>
      </c>
      <c r="I344" s="388"/>
      <c r="J344" s="315"/>
    </row>
    <row r="345" spans="2:10" x14ac:dyDescent="0.25">
      <c r="B345" s="385">
        <v>341</v>
      </c>
      <c r="C345" s="386"/>
      <c r="D345" s="386"/>
      <c r="E345" s="386"/>
      <c r="F345" s="386"/>
      <c r="G345" s="386"/>
      <c r="H345" s="387" t="s">
        <v>408</v>
      </c>
      <c r="I345" s="388"/>
      <c r="J345" s="315"/>
    </row>
    <row r="346" spans="2:10" x14ac:dyDescent="0.25">
      <c r="B346" s="385">
        <v>342</v>
      </c>
      <c r="C346" s="386"/>
      <c r="D346" s="386"/>
      <c r="E346" s="386"/>
      <c r="F346" s="386"/>
      <c r="G346" s="386"/>
      <c r="H346" s="387" t="s">
        <v>408</v>
      </c>
      <c r="I346" s="388"/>
      <c r="J346" s="315"/>
    </row>
    <row r="347" spans="2:10" x14ac:dyDescent="0.25">
      <c r="B347" s="385">
        <v>343</v>
      </c>
      <c r="C347" s="386"/>
      <c r="D347" s="386"/>
      <c r="E347" s="386"/>
      <c r="F347" s="386"/>
      <c r="G347" s="386"/>
      <c r="H347" s="387" t="s">
        <v>408</v>
      </c>
      <c r="I347" s="388"/>
      <c r="J347" s="315"/>
    </row>
    <row r="348" spans="2:10" x14ac:dyDescent="0.25">
      <c r="B348" s="385">
        <v>344</v>
      </c>
      <c r="C348" s="386"/>
      <c r="D348" s="386"/>
      <c r="E348" s="386"/>
      <c r="F348" s="386"/>
      <c r="G348" s="386"/>
      <c r="H348" s="387" t="s">
        <v>408</v>
      </c>
      <c r="I348" s="388"/>
      <c r="J348" s="315"/>
    </row>
    <row r="349" spans="2:10" x14ac:dyDescent="0.25">
      <c r="B349" s="385">
        <v>345</v>
      </c>
      <c r="C349" s="386"/>
      <c r="D349" s="386"/>
      <c r="E349" s="386"/>
      <c r="F349" s="386"/>
      <c r="G349" s="386"/>
      <c r="H349" s="387" t="s">
        <v>408</v>
      </c>
      <c r="I349" s="388"/>
      <c r="J349" s="315"/>
    </row>
    <row r="350" spans="2:10" x14ac:dyDescent="0.25">
      <c r="B350" s="385">
        <v>346</v>
      </c>
      <c r="C350" s="386"/>
      <c r="D350" s="386"/>
      <c r="E350" s="386"/>
      <c r="F350" s="386"/>
      <c r="G350" s="386"/>
      <c r="H350" s="387" t="s">
        <v>408</v>
      </c>
      <c r="I350" s="388"/>
      <c r="J350" s="315"/>
    </row>
    <row r="351" spans="2:10" x14ac:dyDescent="0.25">
      <c r="B351" s="385">
        <v>347</v>
      </c>
      <c r="C351" s="386"/>
      <c r="D351" s="386"/>
      <c r="E351" s="386"/>
      <c r="F351" s="386"/>
      <c r="G351" s="386"/>
      <c r="H351" s="387" t="s">
        <v>408</v>
      </c>
      <c r="I351" s="388"/>
      <c r="J351" s="315"/>
    </row>
    <row r="352" spans="2:10" x14ac:dyDescent="0.25">
      <c r="B352" s="385">
        <v>348</v>
      </c>
      <c r="C352" s="386"/>
      <c r="D352" s="386"/>
      <c r="E352" s="386"/>
      <c r="F352" s="386"/>
      <c r="G352" s="386"/>
      <c r="H352" s="387" t="s">
        <v>408</v>
      </c>
      <c r="I352" s="388"/>
      <c r="J352" s="315"/>
    </row>
    <row r="353" spans="2:10" x14ac:dyDescent="0.25">
      <c r="B353" s="385">
        <v>349</v>
      </c>
      <c r="C353" s="386"/>
      <c r="D353" s="386"/>
      <c r="E353" s="386"/>
      <c r="F353" s="386"/>
      <c r="G353" s="386"/>
      <c r="H353" s="387" t="s">
        <v>408</v>
      </c>
      <c r="I353" s="388"/>
      <c r="J353" s="315"/>
    </row>
    <row r="354" spans="2:10" x14ac:dyDescent="0.25">
      <c r="B354" s="385">
        <v>350</v>
      </c>
      <c r="C354" s="386"/>
      <c r="D354" s="386"/>
      <c r="E354" s="386"/>
      <c r="F354" s="386"/>
      <c r="G354" s="386"/>
      <c r="H354" s="387" t="s">
        <v>408</v>
      </c>
      <c r="I354" s="388"/>
      <c r="J354" s="315"/>
    </row>
    <row r="355" spans="2:10" x14ac:dyDescent="0.25">
      <c r="B355" s="385">
        <v>351</v>
      </c>
      <c r="C355" s="386"/>
      <c r="D355" s="386"/>
      <c r="E355" s="386"/>
      <c r="F355" s="386"/>
      <c r="G355" s="386"/>
      <c r="H355" s="387" t="s">
        <v>408</v>
      </c>
      <c r="I355" s="388"/>
      <c r="J355" s="315"/>
    </row>
    <row r="356" spans="2:10" x14ac:dyDescent="0.25">
      <c r="B356" s="385">
        <v>352</v>
      </c>
      <c r="C356" s="386"/>
      <c r="D356" s="386"/>
      <c r="E356" s="386"/>
      <c r="F356" s="386"/>
      <c r="G356" s="386"/>
      <c r="H356" s="387" t="s">
        <v>408</v>
      </c>
      <c r="I356" s="388"/>
      <c r="J356" s="315"/>
    </row>
    <row r="357" spans="2:10" x14ac:dyDescent="0.25">
      <c r="B357" s="385">
        <v>353</v>
      </c>
      <c r="C357" s="386"/>
      <c r="D357" s="386"/>
      <c r="E357" s="386"/>
      <c r="F357" s="386"/>
      <c r="G357" s="386"/>
      <c r="H357" s="387" t="s">
        <v>408</v>
      </c>
      <c r="I357" s="388"/>
      <c r="J357" s="315"/>
    </row>
    <row r="358" spans="2:10" x14ac:dyDescent="0.25">
      <c r="B358" s="385">
        <v>354</v>
      </c>
      <c r="C358" s="386"/>
      <c r="D358" s="386"/>
      <c r="E358" s="386"/>
      <c r="F358" s="386"/>
      <c r="G358" s="386"/>
      <c r="H358" s="387" t="s">
        <v>408</v>
      </c>
      <c r="I358" s="388"/>
      <c r="J358" s="315"/>
    </row>
    <row r="359" spans="2:10" x14ac:dyDescent="0.25">
      <c r="B359" s="385">
        <v>355</v>
      </c>
      <c r="C359" s="386"/>
      <c r="D359" s="386"/>
      <c r="E359" s="386"/>
      <c r="F359" s="386"/>
      <c r="G359" s="386"/>
      <c r="H359" s="387" t="s">
        <v>408</v>
      </c>
      <c r="I359" s="388"/>
      <c r="J359" s="315"/>
    </row>
    <row r="360" spans="2:10" x14ac:dyDescent="0.25">
      <c r="B360" s="385">
        <v>356</v>
      </c>
      <c r="C360" s="386"/>
      <c r="D360" s="386"/>
      <c r="E360" s="386"/>
      <c r="F360" s="386"/>
      <c r="G360" s="386"/>
      <c r="H360" s="387" t="s">
        <v>408</v>
      </c>
      <c r="I360" s="388"/>
      <c r="J360" s="315"/>
    </row>
    <row r="361" spans="2:10" x14ac:dyDescent="0.25">
      <c r="B361" s="385">
        <v>357</v>
      </c>
      <c r="C361" s="386"/>
      <c r="D361" s="386"/>
      <c r="E361" s="386"/>
      <c r="F361" s="386"/>
      <c r="G361" s="386"/>
      <c r="H361" s="387" t="s">
        <v>408</v>
      </c>
      <c r="I361" s="388"/>
      <c r="J361" s="315"/>
    </row>
    <row r="362" spans="2:10" x14ac:dyDescent="0.25">
      <c r="B362" s="385">
        <v>358</v>
      </c>
      <c r="C362" s="386"/>
      <c r="D362" s="386"/>
      <c r="E362" s="386"/>
      <c r="F362" s="386"/>
      <c r="G362" s="386"/>
      <c r="H362" s="387" t="s">
        <v>408</v>
      </c>
      <c r="I362" s="388"/>
      <c r="J362" s="315"/>
    </row>
    <row r="363" spans="2:10" x14ac:dyDescent="0.25">
      <c r="B363" s="385">
        <v>359</v>
      </c>
      <c r="C363" s="386"/>
      <c r="D363" s="386"/>
      <c r="E363" s="386"/>
      <c r="F363" s="386"/>
      <c r="G363" s="386"/>
      <c r="H363" s="387" t="s">
        <v>408</v>
      </c>
      <c r="I363" s="388"/>
      <c r="J363" s="315"/>
    </row>
    <row r="364" spans="2:10" x14ac:dyDescent="0.25">
      <c r="B364" s="385">
        <v>360</v>
      </c>
      <c r="C364" s="386"/>
      <c r="D364" s="386"/>
      <c r="E364" s="386"/>
      <c r="F364" s="386"/>
      <c r="G364" s="386"/>
      <c r="H364" s="387" t="s">
        <v>408</v>
      </c>
      <c r="I364" s="388"/>
      <c r="J364" s="315"/>
    </row>
    <row r="365" spans="2:10" x14ac:dyDescent="0.25">
      <c r="B365" s="385">
        <v>361</v>
      </c>
      <c r="C365" s="386"/>
      <c r="D365" s="386"/>
      <c r="E365" s="386"/>
      <c r="F365" s="386"/>
      <c r="G365" s="386"/>
      <c r="H365" s="387" t="s">
        <v>408</v>
      </c>
      <c r="I365" s="388"/>
      <c r="J365" s="315"/>
    </row>
    <row r="366" spans="2:10" x14ac:dyDescent="0.25">
      <c r="B366" s="385">
        <v>362</v>
      </c>
      <c r="C366" s="386"/>
      <c r="D366" s="386"/>
      <c r="E366" s="386"/>
      <c r="F366" s="386"/>
      <c r="G366" s="386"/>
      <c r="H366" s="387" t="s">
        <v>408</v>
      </c>
      <c r="I366" s="388"/>
      <c r="J366" s="315"/>
    </row>
    <row r="367" spans="2:10" x14ac:dyDescent="0.25">
      <c r="B367" s="385">
        <v>363</v>
      </c>
      <c r="C367" s="386"/>
      <c r="D367" s="386"/>
      <c r="E367" s="386"/>
      <c r="F367" s="386"/>
      <c r="G367" s="386"/>
      <c r="H367" s="387" t="s">
        <v>408</v>
      </c>
      <c r="I367" s="388"/>
      <c r="J367" s="315"/>
    </row>
    <row r="368" spans="2:10" x14ac:dyDescent="0.25">
      <c r="B368" s="385">
        <v>364</v>
      </c>
      <c r="C368" s="386"/>
      <c r="D368" s="386"/>
      <c r="E368" s="386"/>
      <c r="F368" s="386"/>
      <c r="G368" s="386"/>
      <c r="H368" s="387" t="s">
        <v>408</v>
      </c>
      <c r="I368" s="388"/>
      <c r="J368" s="315"/>
    </row>
    <row r="369" spans="2:10" x14ac:dyDescent="0.25">
      <c r="B369" s="385">
        <v>365</v>
      </c>
      <c r="C369" s="386"/>
      <c r="D369" s="386"/>
      <c r="E369" s="386"/>
      <c r="F369" s="386"/>
      <c r="G369" s="386"/>
      <c r="H369" s="387" t="s">
        <v>408</v>
      </c>
      <c r="I369" s="388"/>
      <c r="J369" s="315"/>
    </row>
    <row r="370" spans="2:10" x14ac:dyDescent="0.25">
      <c r="B370" s="385">
        <v>366</v>
      </c>
      <c r="C370" s="386"/>
      <c r="D370" s="386"/>
      <c r="E370" s="386"/>
      <c r="F370" s="386"/>
      <c r="G370" s="386"/>
      <c r="H370" s="387" t="s">
        <v>408</v>
      </c>
      <c r="I370" s="388"/>
      <c r="J370" s="315"/>
    </row>
    <row r="371" spans="2:10" x14ac:dyDescent="0.25">
      <c r="B371" s="385">
        <v>367</v>
      </c>
      <c r="C371" s="386"/>
      <c r="D371" s="386"/>
      <c r="E371" s="386"/>
      <c r="F371" s="386"/>
      <c r="G371" s="386"/>
      <c r="H371" s="387" t="s">
        <v>408</v>
      </c>
      <c r="I371" s="388"/>
      <c r="J371" s="315"/>
    </row>
    <row r="372" spans="2:10" x14ac:dyDescent="0.25">
      <c r="B372" s="385">
        <v>368</v>
      </c>
      <c r="C372" s="386"/>
      <c r="D372" s="386"/>
      <c r="E372" s="386"/>
      <c r="F372" s="386"/>
      <c r="G372" s="386"/>
      <c r="H372" s="387" t="s">
        <v>408</v>
      </c>
      <c r="I372" s="388"/>
      <c r="J372" s="315"/>
    </row>
    <row r="373" spans="2:10" x14ac:dyDescent="0.25">
      <c r="B373" s="385">
        <v>369</v>
      </c>
      <c r="C373" s="386"/>
      <c r="D373" s="386"/>
      <c r="E373" s="386"/>
      <c r="F373" s="386"/>
      <c r="G373" s="386"/>
      <c r="H373" s="387" t="s">
        <v>408</v>
      </c>
      <c r="I373" s="388"/>
      <c r="J373" s="315"/>
    </row>
    <row r="374" spans="2:10" x14ac:dyDescent="0.25">
      <c r="B374" s="385">
        <v>370</v>
      </c>
      <c r="C374" s="386"/>
      <c r="D374" s="386"/>
      <c r="E374" s="386"/>
      <c r="F374" s="386"/>
      <c r="G374" s="386"/>
      <c r="H374" s="387" t="s">
        <v>408</v>
      </c>
      <c r="I374" s="388"/>
      <c r="J374" s="315"/>
    </row>
    <row r="375" spans="2:10" x14ac:dyDescent="0.25">
      <c r="B375" s="385">
        <v>371</v>
      </c>
      <c r="C375" s="386"/>
      <c r="D375" s="386"/>
      <c r="E375" s="386"/>
      <c r="F375" s="386"/>
      <c r="G375" s="386"/>
      <c r="H375" s="387" t="s">
        <v>408</v>
      </c>
      <c r="I375" s="388"/>
      <c r="J375" s="315"/>
    </row>
    <row r="376" spans="2:10" x14ac:dyDescent="0.25">
      <c r="B376" s="385">
        <v>372</v>
      </c>
      <c r="C376" s="386"/>
      <c r="D376" s="386"/>
      <c r="E376" s="386"/>
      <c r="F376" s="386"/>
      <c r="G376" s="386"/>
      <c r="H376" s="387" t="s">
        <v>408</v>
      </c>
      <c r="I376" s="388"/>
      <c r="J376" s="315"/>
    </row>
    <row r="377" spans="2:10" x14ac:dyDescent="0.25">
      <c r="B377" s="385">
        <v>373</v>
      </c>
      <c r="C377" s="386"/>
      <c r="D377" s="386"/>
      <c r="E377" s="386"/>
      <c r="F377" s="386"/>
      <c r="G377" s="386"/>
      <c r="H377" s="387" t="s">
        <v>408</v>
      </c>
      <c r="I377" s="388"/>
      <c r="J377" s="315"/>
    </row>
    <row r="378" spans="2:10" x14ac:dyDescent="0.25">
      <c r="B378" s="385">
        <v>374</v>
      </c>
      <c r="C378" s="386"/>
      <c r="D378" s="386"/>
      <c r="E378" s="386"/>
      <c r="F378" s="386"/>
      <c r="G378" s="386"/>
      <c r="H378" s="387" t="s">
        <v>408</v>
      </c>
      <c r="I378" s="388"/>
      <c r="J378" s="315"/>
    </row>
    <row r="379" spans="2:10" x14ac:dyDescent="0.25">
      <c r="B379" s="385">
        <v>375</v>
      </c>
      <c r="C379" s="386"/>
      <c r="D379" s="386"/>
      <c r="E379" s="386"/>
      <c r="F379" s="386"/>
      <c r="G379" s="386"/>
      <c r="H379" s="387" t="s">
        <v>408</v>
      </c>
      <c r="I379" s="388"/>
      <c r="J379" s="315"/>
    </row>
    <row r="380" spans="2:10" x14ac:dyDescent="0.25">
      <c r="B380" s="385">
        <v>376</v>
      </c>
      <c r="C380" s="386"/>
      <c r="D380" s="386"/>
      <c r="E380" s="386"/>
      <c r="F380" s="386"/>
      <c r="G380" s="386"/>
      <c r="H380" s="387" t="s">
        <v>408</v>
      </c>
      <c r="I380" s="388"/>
      <c r="J380" s="315"/>
    </row>
    <row r="381" spans="2:10" x14ac:dyDescent="0.25">
      <c r="B381" s="385">
        <v>377</v>
      </c>
      <c r="C381" s="386"/>
      <c r="D381" s="386"/>
      <c r="E381" s="386"/>
      <c r="F381" s="386"/>
      <c r="G381" s="386"/>
      <c r="H381" s="387" t="s">
        <v>408</v>
      </c>
      <c r="I381" s="388"/>
      <c r="J381" s="315"/>
    </row>
    <row r="382" spans="2:10" x14ac:dyDescent="0.25">
      <c r="B382" s="385">
        <v>378</v>
      </c>
      <c r="C382" s="386"/>
      <c r="D382" s="386"/>
      <c r="E382" s="386"/>
      <c r="F382" s="386"/>
      <c r="G382" s="386"/>
      <c r="H382" s="387" t="s">
        <v>408</v>
      </c>
      <c r="I382" s="388"/>
      <c r="J382" s="315"/>
    </row>
    <row r="383" spans="2:10" x14ac:dyDescent="0.25">
      <c r="B383" s="385">
        <v>379</v>
      </c>
      <c r="C383" s="386"/>
      <c r="D383" s="386"/>
      <c r="E383" s="386"/>
      <c r="F383" s="386"/>
      <c r="G383" s="386"/>
      <c r="H383" s="387" t="s">
        <v>408</v>
      </c>
      <c r="I383" s="388"/>
      <c r="J383" s="315"/>
    </row>
    <row r="384" spans="2:10" x14ac:dyDescent="0.25">
      <c r="B384" s="385">
        <v>380</v>
      </c>
      <c r="C384" s="386"/>
      <c r="D384" s="386"/>
      <c r="E384" s="386"/>
      <c r="F384" s="386"/>
      <c r="G384" s="386"/>
      <c r="H384" s="387" t="s">
        <v>408</v>
      </c>
      <c r="I384" s="388"/>
      <c r="J384" s="315"/>
    </row>
    <row r="385" spans="2:10" x14ac:dyDescent="0.25">
      <c r="B385" s="385">
        <v>381</v>
      </c>
      <c r="C385" s="386"/>
      <c r="D385" s="386"/>
      <c r="E385" s="386"/>
      <c r="F385" s="386"/>
      <c r="G385" s="386"/>
      <c r="H385" s="387" t="s">
        <v>408</v>
      </c>
      <c r="I385" s="388"/>
      <c r="J385" s="315"/>
    </row>
    <row r="386" spans="2:10" x14ac:dyDescent="0.25">
      <c r="B386" s="385">
        <v>382</v>
      </c>
      <c r="C386" s="386"/>
      <c r="D386" s="386"/>
      <c r="E386" s="386"/>
      <c r="F386" s="386"/>
      <c r="G386" s="386"/>
      <c r="H386" s="387" t="s">
        <v>408</v>
      </c>
      <c r="I386" s="388"/>
      <c r="J386" s="315"/>
    </row>
    <row r="387" spans="2:10" x14ac:dyDescent="0.25">
      <c r="B387" s="385">
        <v>383</v>
      </c>
      <c r="C387" s="386"/>
      <c r="D387" s="386"/>
      <c r="E387" s="386"/>
      <c r="F387" s="386"/>
      <c r="G387" s="386"/>
      <c r="H387" s="387" t="s">
        <v>408</v>
      </c>
      <c r="I387" s="388"/>
      <c r="J387" s="315"/>
    </row>
    <row r="388" spans="2:10" x14ac:dyDescent="0.25">
      <c r="B388" s="385">
        <v>384</v>
      </c>
      <c r="C388" s="386"/>
      <c r="D388" s="386"/>
      <c r="E388" s="386"/>
      <c r="F388" s="386"/>
      <c r="G388" s="386"/>
      <c r="H388" s="387" t="s">
        <v>408</v>
      </c>
      <c r="I388" s="388"/>
      <c r="J388" s="315"/>
    </row>
    <row r="389" spans="2:10" x14ac:dyDescent="0.25">
      <c r="B389" s="385">
        <v>385</v>
      </c>
      <c r="C389" s="386"/>
      <c r="D389" s="386"/>
      <c r="E389" s="386"/>
      <c r="F389" s="386"/>
      <c r="G389" s="386"/>
      <c r="H389" s="387" t="s">
        <v>408</v>
      </c>
      <c r="I389" s="388"/>
      <c r="J389" s="315"/>
    </row>
    <row r="390" spans="2:10" x14ac:dyDescent="0.25">
      <c r="B390" s="385">
        <v>386</v>
      </c>
      <c r="C390" s="386"/>
      <c r="D390" s="386"/>
      <c r="E390" s="386"/>
      <c r="F390" s="386"/>
      <c r="G390" s="386"/>
      <c r="H390" s="387" t="s">
        <v>408</v>
      </c>
      <c r="I390" s="388"/>
      <c r="J390" s="315"/>
    </row>
    <row r="391" spans="2:10" x14ac:dyDescent="0.25">
      <c r="B391" s="385">
        <v>387</v>
      </c>
      <c r="C391" s="386"/>
      <c r="D391" s="386"/>
      <c r="E391" s="386"/>
      <c r="F391" s="386"/>
      <c r="G391" s="386"/>
      <c r="H391" s="387" t="s">
        <v>408</v>
      </c>
      <c r="I391" s="388"/>
      <c r="J391" s="315"/>
    </row>
    <row r="392" spans="2:10" x14ac:dyDescent="0.25">
      <c r="B392" s="385">
        <v>388</v>
      </c>
      <c r="C392" s="386"/>
      <c r="D392" s="386"/>
      <c r="E392" s="386"/>
      <c r="F392" s="386"/>
      <c r="G392" s="386"/>
      <c r="H392" s="387" t="s">
        <v>408</v>
      </c>
      <c r="I392" s="388"/>
      <c r="J392" s="315"/>
    </row>
    <row r="393" spans="2:10" x14ac:dyDescent="0.25">
      <c r="B393" s="385">
        <v>389</v>
      </c>
      <c r="C393" s="386"/>
      <c r="D393" s="386"/>
      <c r="E393" s="386"/>
      <c r="F393" s="386"/>
      <c r="G393" s="386"/>
      <c r="H393" s="387" t="s">
        <v>408</v>
      </c>
      <c r="I393" s="388"/>
      <c r="J393" s="315"/>
    </row>
    <row r="394" spans="2:10" x14ac:dyDescent="0.25">
      <c r="B394" s="385">
        <v>390</v>
      </c>
      <c r="C394" s="386"/>
      <c r="D394" s="386"/>
      <c r="E394" s="386"/>
      <c r="F394" s="386"/>
      <c r="G394" s="386"/>
      <c r="H394" s="387" t="s">
        <v>408</v>
      </c>
      <c r="I394" s="388"/>
      <c r="J394" s="315"/>
    </row>
    <row r="395" spans="2:10" x14ac:dyDescent="0.25">
      <c r="B395" s="385">
        <v>391</v>
      </c>
      <c r="C395" s="386"/>
      <c r="D395" s="386"/>
      <c r="E395" s="386"/>
      <c r="F395" s="386"/>
      <c r="G395" s="386"/>
      <c r="H395" s="387" t="s">
        <v>408</v>
      </c>
      <c r="I395" s="388"/>
      <c r="J395" s="315"/>
    </row>
    <row r="396" spans="2:10" x14ac:dyDescent="0.25">
      <c r="B396" s="385">
        <v>392</v>
      </c>
      <c r="C396" s="386"/>
      <c r="D396" s="386"/>
      <c r="E396" s="386"/>
      <c r="F396" s="386"/>
      <c r="G396" s="386"/>
      <c r="H396" s="387" t="s">
        <v>408</v>
      </c>
      <c r="I396" s="388"/>
      <c r="J396" s="315"/>
    </row>
    <row r="397" spans="2:10" x14ac:dyDescent="0.25">
      <c r="B397" s="385">
        <v>393</v>
      </c>
      <c r="C397" s="386"/>
      <c r="D397" s="386"/>
      <c r="E397" s="386"/>
      <c r="F397" s="386"/>
      <c r="G397" s="386"/>
      <c r="H397" s="387" t="s">
        <v>408</v>
      </c>
      <c r="I397" s="388"/>
      <c r="J397" s="315"/>
    </row>
    <row r="398" spans="2:10" x14ac:dyDescent="0.25">
      <c r="B398" s="385">
        <v>394</v>
      </c>
      <c r="C398" s="386"/>
      <c r="D398" s="386"/>
      <c r="E398" s="386"/>
      <c r="F398" s="386"/>
      <c r="G398" s="386"/>
      <c r="H398" s="387" t="s">
        <v>408</v>
      </c>
      <c r="I398" s="388"/>
      <c r="J398" s="315"/>
    </row>
    <row r="399" spans="2:10" x14ac:dyDescent="0.25">
      <c r="B399" s="385">
        <v>395</v>
      </c>
      <c r="C399" s="386"/>
      <c r="D399" s="386"/>
      <c r="E399" s="386"/>
      <c r="F399" s="386"/>
      <c r="G399" s="386"/>
      <c r="H399" s="387" t="s">
        <v>408</v>
      </c>
      <c r="I399" s="388"/>
      <c r="J399" s="315"/>
    </row>
    <row r="400" spans="2:10" x14ac:dyDescent="0.25">
      <c r="B400" s="385">
        <v>396</v>
      </c>
      <c r="C400" s="386"/>
      <c r="D400" s="386"/>
      <c r="E400" s="386"/>
      <c r="F400" s="386"/>
      <c r="G400" s="386"/>
      <c r="H400" s="387" t="s">
        <v>408</v>
      </c>
      <c r="I400" s="388"/>
      <c r="J400" s="315"/>
    </row>
    <row r="401" spans="2:10" x14ac:dyDescent="0.25">
      <c r="B401" s="385">
        <v>397</v>
      </c>
      <c r="C401" s="386"/>
      <c r="D401" s="386"/>
      <c r="E401" s="386"/>
      <c r="F401" s="386"/>
      <c r="G401" s="386"/>
      <c r="H401" s="387" t="s">
        <v>408</v>
      </c>
      <c r="I401" s="388"/>
      <c r="J401" s="315"/>
    </row>
    <row r="402" spans="2:10" x14ac:dyDescent="0.25">
      <c r="B402" s="385">
        <v>398</v>
      </c>
      <c r="C402" s="386"/>
      <c r="D402" s="386"/>
      <c r="E402" s="386"/>
      <c r="F402" s="386"/>
      <c r="G402" s="386"/>
      <c r="H402" s="387" t="s">
        <v>408</v>
      </c>
      <c r="I402" s="388"/>
      <c r="J402" s="315"/>
    </row>
    <row r="403" spans="2:10" x14ac:dyDescent="0.25">
      <c r="B403" s="385">
        <v>399</v>
      </c>
      <c r="C403" s="386"/>
      <c r="D403" s="386"/>
      <c r="E403" s="386"/>
      <c r="F403" s="386"/>
      <c r="G403" s="386"/>
      <c r="H403" s="387" t="s">
        <v>408</v>
      </c>
      <c r="I403" s="388"/>
      <c r="J403" s="315"/>
    </row>
    <row r="404" spans="2:10" x14ac:dyDescent="0.25">
      <c r="B404" s="385">
        <v>400</v>
      </c>
      <c r="C404" s="386"/>
      <c r="D404" s="386"/>
      <c r="E404" s="386"/>
      <c r="F404" s="386"/>
      <c r="G404" s="386"/>
      <c r="H404" s="387" t="s">
        <v>408</v>
      </c>
      <c r="I404" s="388"/>
      <c r="J404" s="315"/>
    </row>
    <row r="405" spans="2:10" x14ac:dyDescent="0.25">
      <c r="B405" s="385">
        <v>401</v>
      </c>
      <c r="C405" s="386"/>
      <c r="D405" s="386"/>
      <c r="E405" s="386"/>
      <c r="F405" s="386"/>
      <c r="G405" s="386"/>
      <c r="H405" s="387" t="s">
        <v>408</v>
      </c>
      <c r="I405" s="388"/>
      <c r="J405" s="315"/>
    </row>
    <row r="406" spans="2:10" x14ac:dyDescent="0.25">
      <c r="B406" s="385">
        <v>402</v>
      </c>
      <c r="C406" s="386"/>
      <c r="D406" s="386"/>
      <c r="E406" s="386"/>
      <c r="F406" s="386"/>
      <c r="G406" s="386"/>
      <c r="H406" s="387" t="s">
        <v>408</v>
      </c>
      <c r="I406" s="388"/>
      <c r="J406" s="315"/>
    </row>
    <row r="407" spans="2:10" x14ac:dyDescent="0.25">
      <c r="B407" s="385">
        <v>403</v>
      </c>
      <c r="C407" s="386"/>
      <c r="D407" s="386"/>
      <c r="E407" s="386"/>
      <c r="F407" s="386"/>
      <c r="G407" s="386"/>
      <c r="H407" s="387" t="s">
        <v>408</v>
      </c>
      <c r="I407" s="388"/>
      <c r="J407" s="315"/>
    </row>
    <row r="408" spans="2:10" x14ac:dyDescent="0.25">
      <c r="B408" s="385">
        <v>404</v>
      </c>
      <c r="C408" s="386"/>
      <c r="D408" s="386"/>
      <c r="E408" s="386"/>
      <c r="F408" s="386"/>
      <c r="G408" s="386"/>
      <c r="H408" s="387" t="s">
        <v>408</v>
      </c>
      <c r="I408" s="388"/>
      <c r="J408" s="315"/>
    </row>
    <row r="409" spans="2:10" x14ac:dyDescent="0.25">
      <c r="B409" s="385">
        <v>405</v>
      </c>
      <c r="C409" s="386"/>
      <c r="D409" s="386"/>
      <c r="E409" s="386"/>
      <c r="F409" s="386"/>
      <c r="G409" s="386"/>
      <c r="H409" s="387" t="s">
        <v>408</v>
      </c>
      <c r="I409" s="388"/>
      <c r="J409" s="315"/>
    </row>
    <row r="410" spans="2:10" x14ac:dyDescent="0.25">
      <c r="B410" s="385">
        <v>406</v>
      </c>
      <c r="C410" s="386"/>
      <c r="D410" s="386"/>
      <c r="E410" s="386"/>
      <c r="F410" s="386"/>
      <c r="G410" s="386"/>
      <c r="H410" s="387" t="s">
        <v>408</v>
      </c>
      <c r="I410" s="388"/>
      <c r="J410" s="315"/>
    </row>
    <row r="411" spans="2:10" x14ac:dyDescent="0.25">
      <c r="B411" s="385">
        <v>407</v>
      </c>
      <c r="C411" s="386"/>
      <c r="D411" s="386"/>
      <c r="E411" s="386"/>
      <c r="F411" s="386"/>
      <c r="G411" s="386"/>
      <c r="H411" s="387" t="s">
        <v>408</v>
      </c>
      <c r="I411" s="388"/>
      <c r="J411" s="315"/>
    </row>
    <row r="412" spans="2:10" x14ac:dyDescent="0.25">
      <c r="B412" s="385">
        <v>408</v>
      </c>
      <c r="C412" s="386"/>
      <c r="D412" s="386"/>
      <c r="E412" s="386"/>
      <c r="F412" s="386"/>
      <c r="G412" s="386"/>
      <c r="H412" s="387" t="s">
        <v>408</v>
      </c>
      <c r="I412" s="388"/>
      <c r="J412" s="315"/>
    </row>
    <row r="413" spans="2:10" x14ac:dyDescent="0.25">
      <c r="B413" s="385">
        <v>409</v>
      </c>
      <c r="C413" s="386"/>
      <c r="D413" s="386"/>
      <c r="E413" s="386"/>
      <c r="F413" s="386"/>
      <c r="G413" s="386"/>
      <c r="H413" s="387" t="s">
        <v>408</v>
      </c>
      <c r="I413" s="388"/>
      <c r="J413" s="315"/>
    </row>
    <row r="414" spans="2:10" x14ac:dyDescent="0.25">
      <c r="B414" s="385">
        <v>410</v>
      </c>
      <c r="C414" s="386"/>
      <c r="D414" s="386"/>
      <c r="E414" s="386"/>
      <c r="F414" s="386"/>
      <c r="G414" s="386"/>
      <c r="H414" s="387" t="s">
        <v>408</v>
      </c>
      <c r="I414" s="388"/>
      <c r="J414" s="315"/>
    </row>
    <row r="415" spans="2:10" x14ac:dyDescent="0.25">
      <c r="B415" s="385">
        <v>411</v>
      </c>
      <c r="C415" s="386"/>
      <c r="D415" s="386"/>
      <c r="E415" s="386"/>
      <c r="F415" s="386"/>
      <c r="G415" s="386"/>
      <c r="H415" s="387" t="s">
        <v>408</v>
      </c>
      <c r="I415" s="388"/>
      <c r="J415" s="315"/>
    </row>
    <row r="416" spans="2:10" x14ac:dyDescent="0.25">
      <c r="B416" s="385">
        <v>412</v>
      </c>
      <c r="C416" s="386"/>
      <c r="D416" s="386"/>
      <c r="E416" s="386"/>
      <c r="F416" s="386"/>
      <c r="G416" s="386"/>
      <c r="H416" s="387" t="s">
        <v>408</v>
      </c>
      <c r="I416" s="388"/>
      <c r="J416" s="315"/>
    </row>
    <row r="417" spans="2:10" x14ac:dyDescent="0.25">
      <c r="B417" s="385">
        <v>413</v>
      </c>
      <c r="C417" s="386"/>
      <c r="D417" s="386"/>
      <c r="E417" s="386"/>
      <c r="F417" s="386"/>
      <c r="G417" s="386"/>
      <c r="H417" s="387" t="s">
        <v>408</v>
      </c>
      <c r="I417" s="388"/>
      <c r="J417" s="315"/>
    </row>
    <row r="418" spans="2:10" x14ac:dyDescent="0.25">
      <c r="B418" s="385">
        <v>414</v>
      </c>
      <c r="C418" s="386"/>
      <c r="D418" s="386"/>
      <c r="E418" s="386"/>
      <c r="F418" s="386"/>
      <c r="G418" s="386"/>
      <c r="H418" s="387" t="s">
        <v>408</v>
      </c>
      <c r="I418" s="388"/>
      <c r="J418" s="315"/>
    </row>
    <row r="419" spans="2:10" x14ac:dyDescent="0.25">
      <c r="B419" s="385">
        <v>415</v>
      </c>
      <c r="C419" s="386"/>
      <c r="D419" s="386"/>
      <c r="E419" s="386"/>
      <c r="F419" s="386"/>
      <c r="G419" s="386"/>
      <c r="H419" s="387" t="s">
        <v>408</v>
      </c>
      <c r="I419" s="388"/>
      <c r="J419" s="315"/>
    </row>
    <row r="420" spans="2:10" x14ac:dyDescent="0.25">
      <c r="B420" s="385">
        <v>416</v>
      </c>
      <c r="C420" s="386"/>
      <c r="D420" s="386"/>
      <c r="E420" s="386"/>
      <c r="F420" s="386"/>
      <c r="G420" s="386"/>
      <c r="H420" s="387" t="s">
        <v>408</v>
      </c>
      <c r="I420" s="388"/>
      <c r="J420" s="315"/>
    </row>
    <row r="421" spans="2:10" x14ac:dyDescent="0.25">
      <c r="B421" s="385">
        <v>417</v>
      </c>
      <c r="C421" s="386"/>
      <c r="D421" s="386"/>
      <c r="E421" s="386"/>
      <c r="F421" s="386"/>
      <c r="G421" s="386"/>
      <c r="H421" s="387" t="s">
        <v>408</v>
      </c>
      <c r="I421" s="388"/>
      <c r="J421" s="315"/>
    </row>
    <row r="422" spans="2:10" x14ac:dyDescent="0.25">
      <c r="B422" s="385">
        <v>418</v>
      </c>
      <c r="C422" s="386"/>
      <c r="D422" s="386"/>
      <c r="E422" s="386"/>
      <c r="F422" s="386"/>
      <c r="G422" s="386"/>
      <c r="H422" s="387" t="s">
        <v>408</v>
      </c>
      <c r="I422" s="388"/>
      <c r="J422" s="315"/>
    </row>
    <row r="423" spans="2:10" x14ac:dyDescent="0.25">
      <c r="B423" s="385">
        <v>419</v>
      </c>
      <c r="C423" s="386"/>
      <c r="D423" s="386"/>
      <c r="E423" s="386"/>
      <c r="F423" s="386"/>
      <c r="G423" s="386"/>
      <c r="H423" s="387" t="s">
        <v>408</v>
      </c>
      <c r="I423" s="388"/>
      <c r="J423" s="315"/>
    </row>
    <row r="424" spans="2:10" x14ac:dyDescent="0.25">
      <c r="B424" s="385">
        <v>420</v>
      </c>
      <c r="C424" s="386"/>
      <c r="D424" s="386"/>
      <c r="E424" s="386"/>
      <c r="F424" s="386"/>
      <c r="G424" s="386"/>
      <c r="H424" s="387" t="s">
        <v>408</v>
      </c>
      <c r="I424" s="388"/>
      <c r="J424" s="315"/>
    </row>
    <row r="425" spans="2:10" x14ac:dyDescent="0.25">
      <c r="B425" s="385">
        <v>421</v>
      </c>
      <c r="C425" s="386"/>
      <c r="D425" s="386"/>
      <c r="E425" s="386"/>
      <c r="F425" s="386"/>
      <c r="G425" s="386"/>
      <c r="H425" s="387" t="s">
        <v>408</v>
      </c>
      <c r="I425" s="388"/>
      <c r="J425" s="315"/>
    </row>
    <row r="426" spans="2:10" x14ac:dyDescent="0.25">
      <c r="B426" s="385">
        <v>422</v>
      </c>
      <c r="C426" s="386"/>
      <c r="D426" s="386"/>
      <c r="E426" s="386"/>
      <c r="F426" s="386"/>
      <c r="G426" s="386"/>
      <c r="H426" s="387" t="s">
        <v>408</v>
      </c>
      <c r="I426" s="388"/>
      <c r="J426" s="315"/>
    </row>
    <row r="427" spans="2:10" x14ac:dyDescent="0.25">
      <c r="B427" s="385">
        <v>423</v>
      </c>
      <c r="C427" s="386"/>
      <c r="D427" s="386"/>
      <c r="E427" s="386"/>
      <c r="F427" s="386"/>
      <c r="G427" s="386"/>
      <c r="H427" s="387" t="s">
        <v>408</v>
      </c>
      <c r="I427" s="388"/>
      <c r="J427" s="315"/>
    </row>
    <row r="428" spans="2:10" x14ac:dyDescent="0.25">
      <c r="B428" s="385">
        <v>424</v>
      </c>
      <c r="C428" s="386"/>
      <c r="D428" s="386"/>
      <c r="E428" s="386"/>
      <c r="F428" s="386"/>
      <c r="G428" s="386"/>
      <c r="H428" s="387" t="s">
        <v>408</v>
      </c>
      <c r="I428" s="388"/>
      <c r="J428" s="315"/>
    </row>
    <row r="429" spans="2:10" x14ac:dyDescent="0.25">
      <c r="B429" s="385">
        <v>425</v>
      </c>
      <c r="C429" s="386"/>
      <c r="D429" s="386"/>
      <c r="E429" s="386"/>
      <c r="F429" s="386"/>
      <c r="G429" s="386"/>
      <c r="H429" s="387" t="s">
        <v>408</v>
      </c>
      <c r="I429" s="388"/>
      <c r="J429" s="315"/>
    </row>
    <row r="430" spans="2:10" x14ac:dyDescent="0.25">
      <c r="B430" s="385">
        <v>426</v>
      </c>
      <c r="C430" s="386"/>
      <c r="D430" s="386"/>
      <c r="E430" s="386"/>
      <c r="F430" s="386"/>
      <c r="G430" s="386"/>
      <c r="H430" s="387" t="s">
        <v>408</v>
      </c>
      <c r="I430" s="388"/>
      <c r="J430" s="315"/>
    </row>
    <row r="431" spans="2:10" x14ac:dyDescent="0.25">
      <c r="B431" s="385">
        <v>427</v>
      </c>
      <c r="C431" s="386"/>
      <c r="D431" s="386"/>
      <c r="E431" s="386"/>
      <c r="F431" s="386"/>
      <c r="G431" s="386"/>
      <c r="H431" s="387" t="s">
        <v>408</v>
      </c>
      <c r="I431" s="388"/>
      <c r="J431" s="315"/>
    </row>
    <row r="432" spans="2:10" x14ac:dyDescent="0.25">
      <c r="B432" s="385">
        <v>428</v>
      </c>
      <c r="C432" s="386"/>
      <c r="D432" s="386"/>
      <c r="E432" s="386"/>
      <c r="F432" s="386"/>
      <c r="G432" s="386"/>
      <c r="H432" s="387" t="s">
        <v>408</v>
      </c>
      <c r="I432" s="388"/>
      <c r="J432" s="315"/>
    </row>
    <row r="433" spans="2:10" x14ac:dyDescent="0.25">
      <c r="B433" s="385">
        <v>429</v>
      </c>
      <c r="C433" s="386"/>
      <c r="D433" s="386"/>
      <c r="E433" s="386"/>
      <c r="F433" s="386"/>
      <c r="G433" s="386"/>
      <c r="H433" s="387" t="s">
        <v>408</v>
      </c>
      <c r="I433" s="388"/>
      <c r="J433" s="315"/>
    </row>
    <row r="434" spans="2:10" x14ac:dyDescent="0.25">
      <c r="B434" s="385">
        <v>430</v>
      </c>
      <c r="C434" s="386"/>
      <c r="D434" s="386"/>
      <c r="E434" s="386"/>
      <c r="F434" s="386"/>
      <c r="G434" s="386"/>
      <c r="H434" s="387" t="s">
        <v>408</v>
      </c>
      <c r="I434" s="388"/>
      <c r="J434" s="315"/>
    </row>
    <row r="435" spans="2:10" x14ac:dyDescent="0.25">
      <c r="B435" s="385">
        <v>431</v>
      </c>
      <c r="C435" s="386"/>
      <c r="D435" s="386"/>
      <c r="E435" s="386"/>
      <c r="F435" s="386"/>
      <c r="G435" s="386"/>
      <c r="H435" s="387" t="s">
        <v>408</v>
      </c>
      <c r="I435" s="388"/>
      <c r="J435" s="315"/>
    </row>
    <row r="436" spans="2:10" x14ac:dyDescent="0.25">
      <c r="B436" s="385">
        <v>432</v>
      </c>
      <c r="C436" s="386"/>
      <c r="D436" s="386"/>
      <c r="E436" s="386"/>
      <c r="F436" s="386"/>
      <c r="G436" s="386"/>
      <c r="H436" s="387" t="s">
        <v>408</v>
      </c>
      <c r="I436" s="388"/>
      <c r="J436" s="315"/>
    </row>
    <row r="437" spans="2:10" x14ac:dyDescent="0.25">
      <c r="B437" s="385">
        <v>433</v>
      </c>
      <c r="C437" s="386"/>
      <c r="D437" s="386"/>
      <c r="E437" s="386"/>
      <c r="F437" s="386"/>
      <c r="G437" s="386"/>
      <c r="H437" s="387" t="s">
        <v>408</v>
      </c>
      <c r="I437" s="388"/>
      <c r="J437" s="315"/>
    </row>
    <row r="438" spans="2:10" x14ac:dyDescent="0.25">
      <c r="B438" s="385">
        <v>434</v>
      </c>
      <c r="C438" s="386"/>
      <c r="D438" s="386"/>
      <c r="E438" s="386"/>
      <c r="F438" s="386"/>
      <c r="G438" s="386"/>
      <c r="H438" s="387" t="s">
        <v>408</v>
      </c>
      <c r="I438" s="388"/>
      <c r="J438" s="315"/>
    </row>
    <row r="439" spans="2:10" x14ac:dyDescent="0.25">
      <c r="B439" s="385">
        <v>435</v>
      </c>
      <c r="C439" s="386"/>
      <c r="D439" s="386"/>
      <c r="E439" s="386"/>
      <c r="F439" s="386"/>
      <c r="G439" s="386"/>
      <c r="H439" s="387" t="s">
        <v>408</v>
      </c>
      <c r="I439" s="388"/>
      <c r="J439" s="315"/>
    </row>
    <row r="440" spans="2:10" x14ac:dyDescent="0.25">
      <c r="B440" s="385">
        <v>436</v>
      </c>
      <c r="C440" s="386"/>
      <c r="D440" s="386"/>
      <c r="E440" s="386"/>
      <c r="F440" s="386"/>
      <c r="G440" s="386"/>
      <c r="H440" s="387" t="s">
        <v>408</v>
      </c>
      <c r="I440" s="388"/>
      <c r="J440" s="315"/>
    </row>
    <row r="441" spans="2:10" x14ac:dyDescent="0.25">
      <c r="B441" s="385">
        <v>437</v>
      </c>
      <c r="C441" s="386"/>
      <c r="D441" s="386"/>
      <c r="E441" s="386"/>
      <c r="F441" s="386"/>
      <c r="G441" s="386"/>
      <c r="H441" s="387" t="s">
        <v>408</v>
      </c>
      <c r="I441" s="388"/>
      <c r="J441" s="315"/>
    </row>
    <row r="442" spans="2:10" x14ac:dyDescent="0.25">
      <c r="B442" s="385">
        <v>438</v>
      </c>
      <c r="C442" s="386"/>
      <c r="D442" s="386"/>
      <c r="E442" s="386"/>
      <c r="F442" s="386"/>
      <c r="G442" s="386"/>
      <c r="H442" s="387" t="s">
        <v>408</v>
      </c>
      <c r="I442" s="388"/>
      <c r="J442" s="315"/>
    </row>
    <row r="443" spans="2:10" x14ac:dyDescent="0.25">
      <c r="B443" s="385">
        <v>439</v>
      </c>
      <c r="C443" s="386"/>
      <c r="D443" s="386"/>
      <c r="E443" s="386"/>
      <c r="F443" s="386"/>
      <c r="G443" s="386"/>
      <c r="H443" s="387" t="s">
        <v>408</v>
      </c>
      <c r="I443" s="388"/>
      <c r="J443" s="315"/>
    </row>
    <row r="444" spans="2:10" x14ac:dyDescent="0.25">
      <c r="B444" s="385">
        <v>440</v>
      </c>
      <c r="C444" s="386"/>
      <c r="D444" s="386"/>
      <c r="E444" s="386"/>
      <c r="F444" s="386"/>
      <c r="G444" s="386"/>
      <c r="H444" s="387" t="s">
        <v>408</v>
      </c>
      <c r="I444" s="388"/>
      <c r="J444" s="315"/>
    </row>
    <row r="445" spans="2:10" x14ac:dyDescent="0.25">
      <c r="B445" s="385">
        <v>441</v>
      </c>
      <c r="C445" s="386"/>
      <c r="D445" s="386"/>
      <c r="E445" s="386"/>
      <c r="F445" s="386"/>
      <c r="G445" s="386"/>
      <c r="H445" s="387" t="s">
        <v>408</v>
      </c>
      <c r="I445" s="388"/>
      <c r="J445" s="315"/>
    </row>
    <row r="446" spans="2:10" x14ac:dyDescent="0.25">
      <c r="B446" s="385">
        <v>442</v>
      </c>
      <c r="C446" s="386"/>
      <c r="D446" s="386"/>
      <c r="E446" s="386"/>
      <c r="F446" s="386"/>
      <c r="G446" s="386"/>
      <c r="H446" s="387" t="s">
        <v>408</v>
      </c>
      <c r="I446" s="388"/>
      <c r="J446" s="315"/>
    </row>
    <row r="447" spans="2:10" x14ac:dyDescent="0.25">
      <c r="B447" s="385">
        <v>443</v>
      </c>
      <c r="C447" s="386"/>
      <c r="D447" s="386"/>
      <c r="E447" s="386"/>
      <c r="F447" s="386"/>
      <c r="G447" s="386"/>
      <c r="H447" s="387" t="s">
        <v>408</v>
      </c>
      <c r="I447" s="388"/>
      <c r="J447" s="315"/>
    </row>
    <row r="448" spans="2:10" x14ac:dyDescent="0.25">
      <c r="B448" s="385">
        <v>444</v>
      </c>
      <c r="C448" s="386"/>
      <c r="D448" s="386"/>
      <c r="E448" s="386"/>
      <c r="F448" s="386"/>
      <c r="G448" s="386"/>
      <c r="H448" s="387" t="s">
        <v>408</v>
      </c>
      <c r="I448" s="388"/>
      <c r="J448" s="315"/>
    </row>
    <row r="449" spans="2:10" x14ac:dyDescent="0.25">
      <c r="B449" s="385">
        <v>445</v>
      </c>
      <c r="C449" s="386"/>
      <c r="D449" s="386"/>
      <c r="E449" s="386"/>
      <c r="F449" s="386"/>
      <c r="G449" s="386"/>
      <c r="H449" s="387" t="s">
        <v>408</v>
      </c>
      <c r="I449" s="388"/>
      <c r="J449" s="315"/>
    </row>
    <row r="450" spans="2:10" x14ac:dyDescent="0.25">
      <c r="B450" s="385">
        <v>446</v>
      </c>
      <c r="C450" s="386"/>
      <c r="D450" s="386"/>
      <c r="E450" s="386"/>
      <c r="F450" s="386"/>
      <c r="G450" s="386"/>
      <c r="H450" s="387" t="s">
        <v>408</v>
      </c>
      <c r="I450" s="388"/>
      <c r="J450" s="315"/>
    </row>
    <row r="451" spans="2:10" x14ac:dyDescent="0.25">
      <c r="B451" s="385">
        <v>447</v>
      </c>
      <c r="C451" s="386"/>
      <c r="D451" s="386"/>
      <c r="E451" s="386"/>
      <c r="F451" s="386"/>
      <c r="G451" s="386"/>
      <c r="H451" s="387" t="s">
        <v>408</v>
      </c>
      <c r="I451" s="388"/>
      <c r="J451" s="315"/>
    </row>
    <row r="452" spans="2:10" x14ac:dyDescent="0.25">
      <c r="B452" s="385">
        <v>448</v>
      </c>
      <c r="C452" s="386"/>
      <c r="D452" s="386"/>
      <c r="E452" s="386"/>
      <c r="F452" s="386"/>
      <c r="G452" s="386"/>
      <c r="H452" s="387" t="s">
        <v>408</v>
      </c>
      <c r="I452" s="388"/>
      <c r="J452" s="315"/>
    </row>
    <row r="453" spans="2:10" x14ac:dyDescent="0.25">
      <c r="B453" s="385">
        <v>449</v>
      </c>
      <c r="C453" s="386"/>
      <c r="D453" s="386"/>
      <c r="E453" s="386"/>
      <c r="F453" s="386"/>
      <c r="G453" s="386"/>
      <c r="H453" s="387" t="s">
        <v>408</v>
      </c>
      <c r="I453" s="388"/>
      <c r="J453" s="315"/>
    </row>
    <row r="454" spans="2:10" x14ac:dyDescent="0.25">
      <c r="B454" s="385">
        <v>450</v>
      </c>
      <c r="C454" s="386"/>
      <c r="D454" s="386"/>
      <c r="E454" s="386"/>
      <c r="F454" s="386"/>
      <c r="G454" s="386"/>
      <c r="H454" s="387" t="s">
        <v>408</v>
      </c>
      <c r="I454" s="388"/>
      <c r="J454" s="315"/>
    </row>
    <row r="455" spans="2:10" x14ac:dyDescent="0.25">
      <c r="B455" s="385">
        <v>451</v>
      </c>
      <c r="C455" s="386"/>
      <c r="D455" s="386"/>
      <c r="E455" s="386"/>
      <c r="F455" s="386"/>
      <c r="G455" s="386"/>
      <c r="H455" s="387" t="s">
        <v>408</v>
      </c>
      <c r="I455" s="388"/>
      <c r="J455" s="315"/>
    </row>
    <row r="456" spans="2:10" x14ac:dyDescent="0.25">
      <c r="B456" s="385">
        <v>452</v>
      </c>
      <c r="C456" s="386"/>
      <c r="D456" s="386"/>
      <c r="E456" s="386"/>
      <c r="F456" s="386"/>
      <c r="G456" s="386"/>
      <c r="H456" s="387" t="s">
        <v>408</v>
      </c>
      <c r="I456" s="388"/>
      <c r="J456" s="315"/>
    </row>
    <row r="457" spans="2:10" x14ac:dyDescent="0.25">
      <c r="B457" s="385">
        <v>453</v>
      </c>
      <c r="C457" s="386"/>
      <c r="D457" s="386"/>
      <c r="E457" s="386"/>
      <c r="F457" s="386"/>
      <c r="G457" s="386"/>
      <c r="H457" s="387" t="s">
        <v>408</v>
      </c>
      <c r="I457" s="388"/>
      <c r="J457" s="315"/>
    </row>
    <row r="458" spans="2:10" x14ac:dyDescent="0.25">
      <c r="B458" s="385">
        <v>454</v>
      </c>
      <c r="C458" s="386"/>
      <c r="D458" s="386"/>
      <c r="E458" s="386"/>
      <c r="F458" s="386"/>
      <c r="G458" s="386"/>
      <c r="H458" s="387" t="s">
        <v>408</v>
      </c>
      <c r="I458" s="388"/>
      <c r="J458" s="315"/>
    </row>
    <row r="459" spans="2:10" x14ac:dyDescent="0.25">
      <c r="B459" s="385">
        <v>455</v>
      </c>
      <c r="C459" s="386"/>
      <c r="D459" s="386"/>
      <c r="E459" s="386"/>
      <c r="F459" s="386"/>
      <c r="G459" s="386"/>
      <c r="H459" s="387" t="s">
        <v>408</v>
      </c>
      <c r="I459" s="388"/>
      <c r="J459" s="315"/>
    </row>
    <row r="460" spans="2:10" x14ac:dyDescent="0.25">
      <c r="B460" s="385">
        <v>456</v>
      </c>
      <c r="C460" s="386"/>
      <c r="D460" s="386"/>
      <c r="E460" s="386"/>
      <c r="F460" s="386"/>
      <c r="G460" s="386"/>
      <c r="H460" s="387" t="s">
        <v>408</v>
      </c>
      <c r="I460" s="388"/>
      <c r="J460" s="315"/>
    </row>
    <row r="461" spans="2:10" x14ac:dyDescent="0.25">
      <c r="B461" s="385">
        <v>457</v>
      </c>
      <c r="C461" s="386"/>
      <c r="D461" s="386"/>
      <c r="E461" s="386"/>
      <c r="F461" s="386"/>
      <c r="G461" s="386"/>
      <c r="H461" s="387" t="s">
        <v>408</v>
      </c>
      <c r="I461" s="388"/>
      <c r="J461" s="315"/>
    </row>
    <row r="462" spans="2:10" x14ac:dyDescent="0.25">
      <c r="B462" s="385">
        <v>458</v>
      </c>
      <c r="C462" s="386"/>
      <c r="D462" s="386"/>
      <c r="E462" s="386"/>
      <c r="F462" s="386"/>
      <c r="G462" s="386"/>
      <c r="H462" s="387" t="s">
        <v>408</v>
      </c>
      <c r="I462" s="388"/>
      <c r="J462" s="315"/>
    </row>
    <row r="463" spans="2:10" x14ac:dyDescent="0.25">
      <c r="B463" s="385">
        <v>459</v>
      </c>
      <c r="C463" s="386"/>
      <c r="D463" s="386"/>
      <c r="E463" s="386"/>
      <c r="F463" s="386"/>
      <c r="G463" s="386"/>
      <c r="H463" s="387" t="s">
        <v>408</v>
      </c>
      <c r="I463" s="388"/>
      <c r="J463" s="315"/>
    </row>
    <row r="464" spans="2:10" x14ac:dyDescent="0.25">
      <c r="B464" s="385">
        <v>460</v>
      </c>
      <c r="C464" s="386"/>
      <c r="D464" s="386"/>
      <c r="E464" s="386"/>
      <c r="F464" s="386"/>
      <c r="G464" s="386"/>
      <c r="H464" s="387" t="s">
        <v>408</v>
      </c>
      <c r="I464" s="388"/>
      <c r="J464" s="315"/>
    </row>
    <row r="465" spans="2:10" x14ac:dyDescent="0.25">
      <c r="B465" s="385">
        <v>461</v>
      </c>
      <c r="C465" s="386"/>
      <c r="D465" s="386"/>
      <c r="E465" s="386"/>
      <c r="F465" s="386"/>
      <c r="G465" s="386"/>
      <c r="H465" s="387" t="s">
        <v>408</v>
      </c>
      <c r="I465" s="388"/>
      <c r="J465" s="315"/>
    </row>
    <row r="466" spans="2:10" x14ac:dyDescent="0.25">
      <c r="B466" s="385">
        <v>462</v>
      </c>
      <c r="C466" s="386"/>
      <c r="D466" s="386"/>
      <c r="E466" s="386"/>
      <c r="F466" s="386"/>
      <c r="G466" s="386"/>
      <c r="H466" s="387" t="s">
        <v>408</v>
      </c>
      <c r="I466" s="388"/>
      <c r="J466" s="315"/>
    </row>
    <row r="467" spans="2:10" x14ac:dyDescent="0.25">
      <c r="B467" s="385">
        <v>463</v>
      </c>
      <c r="C467" s="386"/>
      <c r="D467" s="386"/>
      <c r="E467" s="386"/>
      <c r="F467" s="386"/>
      <c r="G467" s="386"/>
      <c r="H467" s="387" t="s">
        <v>408</v>
      </c>
      <c r="I467" s="388"/>
      <c r="J467" s="315"/>
    </row>
    <row r="468" spans="2:10" x14ac:dyDescent="0.25">
      <c r="B468" s="385">
        <v>464</v>
      </c>
      <c r="C468" s="386"/>
      <c r="D468" s="386"/>
      <c r="E468" s="386"/>
      <c r="F468" s="386"/>
      <c r="G468" s="386"/>
      <c r="H468" s="387" t="s">
        <v>408</v>
      </c>
      <c r="I468" s="388"/>
      <c r="J468" s="315"/>
    </row>
    <row r="469" spans="2:10" x14ac:dyDescent="0.25">
      <c r="B469" s="385">
        <v>465</v>
      </c>
      <c r="C469" s="386"/>
      <c r="D469" s="386"/>
      <c r="E469" s="386"/>
      <c r="F469" s="386"/>
      <c r="G469" s="386"/>
      <c r="H469" s="387" t="s">
        <v>408</v>
      </c>
      <c r="I469" s="388"/>
      <c r="J469" s="315"/>
    </row>
    <row r="470" spans="2:10" x14ac:dyDescent="0.25">
      <c r="B470" s="385">
        <v>466</v>
      </c>
      <c r="C470" s="386"/>
      <c r="D470" s="386"/>
      <c r="E470" s="386"/>
      <c r="F470" s="386"/>
      <c r="G470" s="386"/>
      <c r="H470" s="387" t="s">
        <v>408</v>
      </c>
      <c r="I470" s="388"/>
      <c r="J470" s="315"/>
    </row>
    <row r="471" spans="2:10" x14ac:dyDescent="0.25">
      <c r="B471" s="385">
        <v>467</v>
      </c>
      <c r="C471" s="386"/>
      <c r="D471" s="386"/>
      <c r="E471" s="386"/>
      <c r="F471" s="386"/>
      <c r="G471" s="386"/>
      <c r="H471" s="387" t="s">
        <v>408</v>
      </c>
      <c r="I471" s="388"/>
      <c r="J471" s="315"/>
    </row>
    <row r="472" spans="2:10" x14ac:dyDescent="0.25">
      <c r="B472" s="385">
        <v>468</v>
      </c>
      <c r="C472" s="386"/>
      <c r="D472" s="386"/>
      <c r="E472" s="386"/>
      <c r="F472" s="386"/>
      <c r="G472" s="386"/>
      <c r="H472" s="387" t="s">
        <v>408</v>
      </c>
      <c r="I472" s="388"/>
      <c r="J472" s="315"/>
    </row>
    <row r="473" spans="2:10" x14ac:dyDescent="0.25">
      <c r="B473" s="385">
        <v>469</v>
      </c>
      <c r="C473" s="386"/>
      <c r="D473" s="386"/>
      <c r="E473" s="386"/>
      <c r="F473" s="386"/>
      <c r="G473" s="386"/>
      <c r="H473" s="387" t="s">
        <v>408</v>
      </c>
      <c r="I473" s="388"/>
      <c r="J473" s="315"/>
    </row>
    <row r="474" spans="2:10" x14ac:dyDescent="0.25">
      <c r="B474" s="385">
        <v>470</v>
      </c>
      <c r="C474" s="386"/>
      <c r="D474" s="386"/>
      <c r="E474" s="386"/>
      <c r="F474" s="386"/>
      <c r="G474" s="386"/>
      <c r="H474" s="387" t="s">
        <v>408</v>
      </c>
      <c r="I474" s="388"/>
      <c r="J474" s="315"/>
    </row>
    <row r="475" spans="2:10" x14ac:dyDescent="0.25">
      <c r="B475" s="385">
        <v>471</v>
      </c>
      <c r="C475" s="386"/>
      <c r="D475" s="386"/>
      <c r="E475" s="386"/>
      <c r="F475" s="386"/>
      <c r="G475" s="386"/>
      <c r="H475" s="387" t="s">
        <v>408</v>
      </c>
      <c r="I475" s="388"/>
      <c r="J475" s="315"/>
    </row>
    <row r="476" spans="2:10" x14ac:dyDescent="0.25">
      <c r="B476" s="385">
        <v>472</v>
      </c>
      <c r="C476" s="386"/>
      <c r="D476" s="386"/>
      <c r="E476" s="386"/>
      <c r="F476" s="386"/>
      <c r="G476" s="386"/>
      <c r="H476" s="387" t="s">
        <v>408</v>
      </c>
      <c r="I476" s="388"/>
      <c r="J476" s="315"/>
    </row>
    <row r="477" spans="2:10" x14ac:dyDescent="0.25">
      <c r="B477" s="385">
        <v>473</v>
      </c>
      <c r="C477" s="386"/>
      <c r="D477" s="386"/>
      <c r="E477" s="386"/>
      <c r="F477" s="386"/>
      <c r="G477" s="386"/>
      <c r="H477" s="387" t="s">
        <v>408</v>
      </c>
      <c r="I477" s="388"/>
      <c r="J477" s="315"/>
    </row>
    <row r="478" spans="2:10" x14ac:dyDescent="0.25">
      <c r="B478" s="385">
        <v>474</v>
      </c>
      <c r="C478" s="386"/>
      <c r="D478" s="386"/>
      <c r="E478" s="386"/>
      <c r="F478" s="386"/>
      <c r="G478" s="386"/>
      <c r="H478" s="387" t="s">
        <v>408</v>
      </c>
      <c r="I478" s="388"/>
      <c r="J478" s="315"/>
    </row>
    <row r="479" spans="2:10" x14ac:dyDescent="0.25">
      <c r="B479" s="385">
        <v>475</v>
      </c>
      <c r="C479" s="386"/>
      <c r="D479" s="386"/>
      <c r="E479" s="386"/>
      <c r="F479" s="386"/>
      <c r="G479" s="386"/>
      <c r="H479" s="387" t="s">
        <v>408</v>
      </c>
      <c r="I479" s="388"/>
      <c r="J479" s="315"/>
    </row>
    <row r="480" spans="2:10" x14ac:dyDescent="0.25">
      <c r="B480" s="385">
        <v>476</v>
      </c>
      <c r="C480" s="386"/>
      <c r="D480" s="386"/>
      <c r="E480" s="386"/>
      <c r="F480" s="386"/>
      <c r="G480" s="386"/>
      <c r="H480" s="387" t="s">
        <v>408</v>
      </c>
      <c r="I480" s="388"/>
      <c r="J480" s="315"/>
    </row>
    <row r="481" spans="2:10" x14ac:dyDescent="0.25">
      <c r="B481" s="385">
        <v>477</v>
      </c>
      <c r="C481" s="386"/>
      <c r="D481" s="386"/>
      <c r="E481" s="386"/>
      <c r="F481" s="386"/>
      <c r="G481" s="386"/>
      <c r="H481" s="387" t="s">
        <v>408</v>
      </c>
      <c r="I481" s="388"/>
      <c r="J481" s="315"/>
    </row>
    <row r="482" spans="2:10" x14ac:dyDescent="0.25">
      <c r="B482" s="385">
        <v>478</v>
      </c>
      <c r="C482" s="386"/>
      <c r="D482" s="386"/>
      <c r="E482" s="386"/>
      <c r="F482" s="386"/>
      <c r="G482" s="386"/>
      <c r="H482" s="387" t="s">
        <v>408</v>
      </c>
      <c r="I482" s="388"/>
      <c r="J482" s="315"/>
    </row>
    <row r="483" spans="2:10" x14ac:dyDescent="0.25">
      <c r="B483" s="385">
        <v>479</v>
      </c>
      <c r="C483" s="386"/>
      <c r="D483" s="386"/>
      <c r="E483" s="386"/>
      <c r="F483" s="386"/>
      <c r="G483" s="386"/>
      <c r="H483" s="387" t="s">
        <v>408</v>
      </c>
      <c r="I483" s="388"/>
      <c r="J483" s="315"/>
    </row>
    <row r="484" spans="2:10" x14ac:dyDescent="0.25">
      <c r="B484" s="385">
        <v>480</v>
      </c>
      <c r="C484" s="386"/>
      <c r="D484" s="386"/>
      <c r="E484" s="386"/>
      <c r="F484" s="386"/>
      <c r="G484" s="386"/>
      <c r="H484" s="387" t="s">
        <v>408</v>
      </c>
      <c r="I484" s="388"/>
      <c r="J484" s="315"/>
    </row>
    <row r="485" spans="2:10" x14ac:dyDescent="0.25">
      <c r="B485" s="385">
        <v>481</v>
      </c>
      <c r="C485" s="386"/>
      <c r="D485" s="386"/>
      <c r="E485" s="386"/>
      <c r="F485" s="386"/>
      <c r="G485" s="386"/>
      <c r="H485" s="387" t="s">
        <v>408</v>
      </c>
      <c r="I485" s="388"/>
      <c r="J485" s="315"/>
    </row>
    <row r="486" spans="2:10" x14ac:dyDescent="0.25">
      <c r="B486" s="385">
        <v>482</v>
      </c>
      <c r="C486" s="386"/>
      <c r="D486" s="386"/>
      <c r="E486" s="386"/>
      <c r="F486" s="386"/>
      <c r="G486" s="386"/>
      <c r="H486" s="387" t="s">
        <v>408</v>
      </c>
      <c r="I486" s="388"/>
      <c r="J486" s="315"/>
    </row>
    <row r="487" spans="2:10" x14ac:dyDescent="0.25">
      <c r="B487" s="385">
        <v>483</v>
      </c>
      <c r="C487" s="386"/>
      <c r="D487" s="386"/>
      <c r="E487" s="386"/>
      <c r="F487" s="386"/>
      <c r="G487" s="386"/>
      <c r="H487" s="387" t="s">
        <v>408</v>
      </c>
      <c r="I487" s="388"/>
      <c r="J487" s="315"/>
    </row>
    <row r="488" spans="2:10" x14ac:dyDescent="0.25">
      <c r="B488" s="385">
        <v>484</v>
      </c>
      <c r="C488" s="386"/>
      <c r="D488" s="386"/>
      <c r="E488" s="386"/>
      <c r="F488" s="386"/>
      <c r="G488" s="386"/>
      <c r="H488" s="387" t="s">
        <v>408</v>
      </c>
      <c r="I488" s="388"/>
      <c r="J488" s="315"/>
    </row>
    <row r="489" spans="2:10" x14ac:dyDescent="0.25">
      <c r="B489" s="385">
        <v>485</v>
      </c>
      <c r="C489" s="386"/>
      <c r="D489" s="386"/>
      <c r="E489" s="386"/>
      <c r="F489" s="386"/>
      <c r="G489" s="386"/>
      <c r="H489" s="387" t="s">
        <v>408</v>
      </c>
      <c r="I489" s="388"/>
      <c r="J489" s="315"/>
    </row>
    <row r="490" spans="2:10" x14ac:dyDescent="0.25">
      <c r="B490" s="385">
        <v>486</v>
      </c>
      <c r="C490" s="386"/>
      <c r="D490" s="386"/>
      <c r="E490" s="386"/>
      <c r="F490" s="386"/>
      <c r="G490" s="386"/>
      <c r="H490" s="387" t="s">
        <v>408</v>
      </c>
      <c r="I490" s="388"/>
      <c r="J490" s="315"/>
    </row>
    <row r="491" spans="2:10" x14ac:dyDescent="0.25">
      <c r="B491" s="385">
        <v>487</v>
      </c>
      <c r="C491" s="386"/>
      <c r="D491" s="386"/>
      <c r="E491" s="386"/>
      <c r="F491" s="386"/>
      <c r="G491" s="386"/>
      <c r="H491" s="387" t="s">
        <v>408</v>
      </c>
      <c r="I491" s="388"/>
      <c r="J491" s="315"/>
    </row>
    <row r="492" spans="2:10" x14ac:dyDescent="0.25">
      <c r="B492" s="385">
        <v>488</v>
      </c>
      <c r="C492" s="386"/>
      <c r="D492" s="386"/>
      <c r="E492" s="386"/>
      <c r="F492" s="386"/>
      <c r="G492" s="386"/>
      <c r="H492" s="387" t="s">
        <v>408</v>
      </c>
      <c r="I492" s="388"/>
      <c r="J492" s="315"/>
    </row>
    <row r="493" spans="2:10" x14ac:dyDescent="0.25">
      <c r="B493" s="385">
        <v>489</v>
      </c>
      <c r="C493" s="386"/>
      <c r="D493" s="386"/>
      <c r="E493" s="386"/>
      <c r="F493" s="386"/>
      <c r="G493" s="386"/>
      <c r="H493" s="387" t="s">
        <v>408</v>
      </c>
      <c r="I493" s="388"/>
      <c r="J493" s="315"/>
    </row>
    <row r="494" spans="2:10" x14ac:dyDescent="0.25">
      <c r="B494" s="385">
        <v>490</v>
      </c>
      <c r="C494" s="386"/>
      <c r="D494" s="386"/>
      <c r="E494" s="386"/>
      <c r="F494" s="386"/>
      <c r="G494" s="386"/>
      <c r="H494" s="387" t="s">
        <v>408</v>
      </c>
      <c r="I494" s="388"/>
      <c r="J494" s="315"/>
    </row>
    <row r="495" spans="2:10" x14ac:dyDescent="0.25">
      <c r="B495" s="385">
        <v>491</v>
      </c>
      <c r="C495" s="386"/>
      <c r="D495" s="386"/>
      <c r="E495" s="386"/>
      <c r="F495" s="386"/>
      <c r="G495" s="386"/>
      <c r="H495" s="387" t="s">
        <v>408</v>
      </c>
      <c r="I495" s="388"/>
      <c r="J495" s="315"/>
    </row>
    <row r="496" spans="2:10" x14ac:dyDescent="0.25">
      <c r="B496" s="385">
        <v>492</v>
      </c>
      <c r="C496" s="386"/>
      <c r="D496" s="386"/>
      <c r="E496" s="386"/>
      <c r="F496" s="386"/>
      <c r="G496" s="386"/>
      <c r="H496" s="387" t="s">
        <v>408</v>
      </c>
      <c r="I496" s="388"/>
      <c r="J496" s="315"/>
    </row>
    <row r="497" spans="2:10" x14ac:dyDescent="0.25">
      <c r="B497" s="385">
        <v>493</v>
      </c>
      <c r="C497" s="386"/>
      <c r="D497" s="386"/>
      <c r="E497" s="386"/>
      <c r="F497" s="386"/>
      <c r="G497" s="386"/>
      <c r="H497" s="387" t="s">
        <v>408</v>
      </c>
      <c r="I497" s="388"/>
      <c r="J497" s="315"/>
    </row>
    <row r="498" spans="2:10" x14ac:dyDescent="0.25">
      <c r="B498" s="385">
        <v>494</v>
      </c>
      <c r="C498" s="386"/>
      <c r="D498" s="386"/>
      <c r="E498" s="386"/>
      <c r="F498" s="386"/>
      <c r="G498" s="386"/>
      <c r="H498" s="387" t="s">
        <v>408</v>
      </c>
      <c r="I498" s="388"/>
      <c r="J498" s="315"/>
    </row>
    <row r="499" spans="2:10" x14ac:dyDescent="0.25">
      <c r="B499" s="385">
        <v>495</v>
      </c>
      <c r="C499" s="386"/>
      <c r="D499" s="386"/>
      <c r="E499" s="386"/>
      <c r="F499" s="386"/>
      <c r="G499" s="386"/>
      <c r="H499" s="387" t="s">
        <v>408</v>
      </c>
      <c r="I499" s="388"/>
      <c r="J499" s="315"/>
    </row>
    <row r="500" spans="2:10" x14ac:dyDescent="0.25">
      <c r="B500" s="385">
        <v>496</v>
      </c>
      <c r="C500" s="386"/>
      <c r="D500" s="386"/>
      <c r="E500" s="386"/>
      <c r="F500" s="386"/>
      <c r="G500" s="386"/>
      <c r="H500" s="387" t="s">
        <v>408</v>
      </c>
      <c r="I500" s="388"/>
      <c r="J500" s="315"/>
    </row>
  </sheetData>
  <mergeCells count="5">
    <mergeCell ref="B3:B4"/>
    <mergeCell ref="H3:H4"/>
    <mergeCell ref="J3:J4"/>
    <mergeCell ref="L6:M7"/>
    <mergeCell ref="L8:M9"/>
  </mergeCells>
  <conditionalFormatting sqref="L8:M9">
    <cfRule type="expression" dxfId="4" priority="1">
      <formula>AND(L8="Calculando...",L8="Calculando...")</formula>
    </cfRule>
    <cfRule type="expression" dxfId="3" priority="2">
      <formula>AND(L8="Carregando script...",L8="Carregando script...")</formula>
    </cfRule>
    <cfRule type="cellIs" dxfId="2" priority="3" operator="equal">
      <formula>"Carregando bibliotecas..."</formula>
    </cfRule>
    <cfRule type="cellIs" dxfId="1" priority="4" operator="equal">
      <formula>"ERRO!"</formula>
    </cfRule>
    <cfRule type="expression" dxfId="0" priority="5">
      <formula>AND(L8="Calculado",L8="Calculado")</formula>
    </cfRule>
  </conditionalFormatting>
  <dataValidations count="3">
    <dataValidation type="list" allowBlank="1" showInputMessage="1" showErrorMessage="1" sqref="H5:H500" xr:uid="{6A332BEE-FBA2-4FF2-ADFC-CC6696C978C7}">
      <formula1>"flange,corner,D D/2"</formula1>
    </dataValidation>
    <dataValidation type="list" allowBlank="1" showInputMessage="1" showErrorMessage="1" sqref="E4 G4" xr:uid="{36F1B74B-187D-4CA7-AC86-9AD7639D7C85}">
      <formula1>Pressão_descarga_abs</formula1>
    </dataValidation>
    <dataValidation type="list" allowBlank="1" showInputMessage="1" showErrorMessage="1" sqref="I4" xr:uid="{2C13FF02-181A-449F-8792-8C3D526A172F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lanilha6.Calcular_CalcFlow">
                <anchor moveWithCells="1" sizeWithCells="1">
                  <from>
                    <xdr:col>10</xdr:col>
                    <xdr:colOff>619125</xdr:colOff>
                    <xdr:row>2</xdr:row>
                    <xdr:rowOff>28575</xdr:rowOff>
                  </from>
                  <to>
                    <xdr:col>13</xdr:col>
                    <xdr:colOff>57150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CDA52-DADF-451D-B193-04E932C3FA16}">
          <x14:formula1>
            <xm:f>auxiliar!$J$3:$J$7</xm:f>
          </x14:formula1>
          <xm:sqref>C4:D4</xm:sqref>
        </x14:dataValidation>
        <x14:dataValidation type="list" allowBlank="1" showInputMessage="1" showErrorMessage="1" xr:uid="{DF3280B8-CE49-4D7E-ADBB-1233E852142F}">
          <x14:formula1>
            <xm:f>auxiliar!$I$3:$I$5</xm:f>
          </x14:formula1>
          <xm:sqref>F4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M56"/>
  <sheetViews>
    <sheetView workbookViewId="0">
      <selection activeCell="M13" sqref="M12:M13"/>
    </sheetView>
  </sheetViews>
  <sheetFormatPr defaultRowHeight="15" x14ac:dyDescent="0.25"/>
  <sheetData>
    <row r="1" spans="1:13" x14ac:dyDescent="0.25">
      <c r="A1" s="743" t="s">
        <v>322</v>
      </c>
      <c r="B1" s="743"/>
      <c r="C1" s="743"/>
      <c r="D1" s="743"/>
      <c r="E1" s="231"/>
      <c r="F1" s="231"/>
      <c r="G1" s="743" t="s">
        <v>323</v>
      </c>
      <c r="H1" s="743"/>
      <c r="I1" s="743"/>
    </row>
    <row r="2" spans="1:13" x14ac:dyDescent="0.25">
      <c r="A2" s="231"/>
      <c r="B2" s="231"/>
      <c r="C2" s="231" t="s">
        <v>324</v>
      </c>
      <c r="D2" s="231" t="s">
        <v>325</v>
      </c>
      <c r="E2" s="231"/>
      <c r="F2" s="231"/>
      <c r="G2" s="231"/>
      <c r="H2" s="231" t="s">
        <v>324</v>
      </c>
      <c r="I2" s="231" t="s">
        <v>325</v>
      </c>
    </row>
    <row r="3" spans="1:13" x14ac:dyDescent="0.25">
      <c r="A3" s="231">
        <v>1</v>
      </c>
      <c r="B3" s="231"/>
      <c r="C3" s="231"/>
      <c r="D3" s="231"/>
      <c r="E3" s="231"/>
      <c r="F3" s="231"/>
      <c r="G3" s="231">
        <v>0</v>
      </c>
      <c r="H3" s="231">
        <f>-G3</f>
        <v>0</v>
      </c>
      <c r="I3" s="231">
        <f>-0.25*G3+0.286</f>
        <v>0.28599999999999998</v>
      </c>
    </row>
    <row r="4" spans="1:13" x14ac:dyDescent="0.25">
      <c r="A4" s="231">
        <v>2</v>
      </c>
      <c r="B4" s="231"/>
      <c r="C4" s="231"/>
      <c r="D4" s="231"/>
      <c r="E4" s="231"/>
      <c r="F4" s="231"/>
      <c r="G4" s="231">
        <v>0.1</v>
      </c>
      <c r="H4" s="231">
        <f>-G4</f>
        <v>-0.1</v>
      </c>
      <c r="I4" s="231">
        <f>-0.25*G4+0.286</f>
        <v>0.26099999999999995</v>
      </c>
      <c r="M4">
        <v>1</v>
      </c>
    </row>
    <row r="5" spans="1:13" x14ac:dyDescent="0.25">
      <c r="A5" s="231">
        <v>3</v>
      </c>
      <c r="B5" s="231"/>
      <c r="C5" s="231"/>
      <c r="D5" s="231"/>
      <c r="E5" s="231"/>
      <c r="F5" s="231"/>
      <c r="G5" s="231">
        <v>0.2</v>
      </c>
      <c r="H5" s="231">
        <f>-G5</f>
        <v>-0.2</v>
      </c>
      <c r="I5" s="231">
        <f t="shared" ref="I5:I14" si="0">-0.25*G5+0.286</f>
        <v>0.23599999999999999</v>
      </c>
      <c r="M5">
        <v>2</v>
      </c>
    </row>
    <row r="6" spans="1:13" x14ac:dyDescent="0.25">
      <c r="A6" s="231">
        <v>4</v>
      </c>
      <c r="B6" s="231"/>
      <c r="C6" s="231"/>
      <c r="D6" s="231"/>
      <c r="E6" s="231"/>
      <c r="F6" s="231"/>
      <c r="G6" s="231">
        <v>0.214</v>
      </c>
      <c r="H6" s="231">
        <f>-G6</f>
        <v>-0.214</v>
      </c>
      <c r="I6" s="231">
        <f t="shared" si="0"/>
        <v>0.23249999999999998</v>
      </c>
      <c r="M6">
        <v>3</v>
      </c>
    </row>
    <row r="7" spans="1:13" x14ac:dyDescent="0.25">
      <c r="A7" s="231">
        <v>5</v>
      </c>
      <c r="B7" s="231"/>
      <c r="C7" s="231"/>
      <c r="D7" s="231"/>
      <c r="E7" s="231"/>
      <c r="F7" s="231"/>
      <c r="G7" s="231">
        <v>0.215</v>
      </c>
      <c r="H7" s="231">
        <f>0.266*G7-0.271</f>
        <v>-0.21381</v>
      </c>
      <c r="I7" s="231">
        <f t="shared" si="0"/>
        <v>0.23224999999999998</v>
      </c>
      <c r="M7">
        <v>4</v>
      </c>
    </row>
    <row r="8" spans="1:13" x14ac:dyDescent="0.25">
      <c r="A8" s="231">
        <v>6</v>
      </c>
      <c r="B8" s="231"/>
      <c r="C8" s="231"/>
      <c r="D8" s="231"/>
      <c r="E8" s="231"/>
      <c r="F8" s="231"/>
      <c r="G8" s="231">
        <v>0.3</v>
      </c>
      <c r="H8" s="231">
        <f t="shared" ref="H8:H14" si="1">0.266*G8-0.271</f>
        <v>-0.19120000000000004</v>
      </c>
      <c r="I8" s="231">
        <f t="shared" si="0"/>
        <v>0.21099999999999997</v>
      </c>
      <c r="M8">
        <v>5</v>
      </c>
    </row>
    <row r="9" spans="1:13" x14ac:dyDescent="0.25">
      <c r="A9" s="231">
        <v>7</v>
      </c>
      <c r="B9" s="231"/>
      <c r="C9" s="231"/>
      <c r="D9" s="231"/>
      <c r="E9" s="231"/>
      <c r="F9" s="231"/>
      <c r="G9" s="231">
        <v>0.4</v>
      </c>
      <c r="H9" s="231">
        <f t="shared" si="1"/>
        <v>-0.16460000000000002</v>
      </c>
      <c r="I9" s="231">
        <f t="shared" si="0"/>
        <v>0.18599999999999997</v>
      </c>
      <c r="M9">
        <v>6</v>
      </c>
    </row>
    <row r="10" spans="1:13" x14ac:dyDescent="0.25">
      <c r="A10" s="231">
        <v>8</v>
      </c>
      <c r="B10" s="231"/>
      <c r="C10" s="231"/>
      <c r="D10" s="231"/>
      <c r="E10" s="231"/>
      <c r="F10" s="231"/>
      <c r="G10" s="231">
        <v>0.5</v>
      </c>
      <c r="H10" s="231">
        <f t="shared" si="1"/>
        <v>-0.13800000000000001</v>
      </c>
      <c r="I10" s="231">
        <f t="shared" si="0"/>
        <v>0.16099999999999998</v>
      </c>
      <c r="M10">
        <v>7</v>
      </c>
    </row>
    <row r="11" spans="1:13" x14ac:dyDescent="0.25">
      <c r="A11" s="231">
        <v>9</v>
      </c>
      <c r="B11" s="231">
        <f>$A$11*10^4</f>
        <v>90000</v>
      </c>
      <c r="C11" s="231">
        <f t="shared" ref="C11:C21" si="2" xml:space="preserve"> 0.01 ^ ((B11 / 10 ^ 7) ^ 0.3)</f>
        <v>0.32602702390909377</v>
      </c>
      <c r="D11" s="231">
        <f>100 ^ (( B11/ 10 ^ 7) ^ 0.3)</f>
        <v>3.0672304032037254</v>
      </c>
      <c r="E11" s="231"/>
      <c r="F11" s="231"/>
      <c r="G11" s="231">
        <v>0.6</v>
      </c>
      <c r="H11" s="231">
        <f t="shared" si="1"/>
        <v>-0.11140000000000003</v>
      </c>
      <c r="I11" s="231">
        <f t="shared" si="0"/>
        <v>0.13599999999999998</v>
      </c>
      <c r="M11">
        <v>8</v>
      </c>
    </row>
    <row r="12" spans="1:13" x14ac:dyDescent="0.25">
      <c r="A12" s="231"/>
      <c r="B12" s="231">
        <f>$A$3*10^5</f>
        <v>100000</v>
      </c>
      <c r="C12" s="231">
        <f t="shared" si="2"/>
        <v>0.31450149461575455</v>
      </c>
      <c r="D12" s="231">
        <f t="shared" ref="D12:D29" si="3">100 ^ (( B12/ 10 ^ 7) ^ 0.3)</f>
        <v>3.179635127717789</v>
      </c>
      <c r="E12" s="231"/>
      <c r="F12" s="231"/>
      <c r="G12" s="231">
        <v>0.7</v>
      </c>
      <c r="H12" s="231">
        <f t="shared" si="1"/>
        <v>-8.4800000000000014E-2</v>
      </c>
      <c r="I12" s="231">
        <f t="shared" si="0"/>
        <v>0.11099999999999999</v>
      </c>
    </row>
    <row r="13" spans="1:13" x14ac:dyDescent="0.25">
      <c r="A13" s="231"/>
      <c r="B13" s="231">
        <f>$A$4*10^5</f>
        <v>200000</v>
      </c>
      <c r="C13" s="231">
        <f t="shared" si="2"/>
        <v>0.24071381203141462</v>
      </c>
      <c r="D13" s="231">
        <f t="shared" si="3"/>
        <v>4.1543108455674913</v>
      </c>
      <c r="E13" s="231"/>
      <c r="F13" s="231"/>
      <c r="G13" s="231">
        <v>0.8</v>
      </c>
      <c r="H13" s="231">
        <f t="shared" si="1"/>
        <v>-5.8200000000000002E-2</v>
      </c>
      <c r="I13" s="231">
        <f t="shared" si="0"/>
        <v>8.5999999999999965E-2</v>
      </c>
    </row>
    <row r="14" spans="1:13" x14ac:dyDescent="0.25">
      <c r="A14" s="231"/>
      <c r="B14" s="231">
        <f>$A$5*10^5</f>
        <v>300000</v>
      </c>
      <c r="C14" s="231">
        <f t="shared" si="2"/>
        <v>0.20021659060962196</v>
      </c>
      <c r="D14" s="231">
        <f t="shared" si="3"/>
        <v>4.9945910923524757</v>
      </c>
      <c r="E14" s="231"/>
      <c r="F14" s="231"/>
      <c r="G14" s="231">
        <v>0.86</v>
      </c>
      <c r="H14" s="231">
        <f t="shared" si="1"/>
        <v>-4.224E-2</v>
      </c>
      <c r="I14" s="231">
        <f t="shared" si="0"/>
        <v>7.099999999999998E-2</v>
      </c>
    </row>
    <row r="15" spans="1:13" x14ac:dyDescent="0.25">
      <c r="A15" s="231"/>
      <c r="B15" s="231">
        <f>$A$6*10^5</f>
        <v>400000</v>
      </c>
      <c r="C15" s="231">
        <f t="shared" si="2"/>
        <v>0.1731962260566193</v>
      </c>
      <c r="D15" s="231">
        <f t="shared" si="3"/>
        <v>5.7737978636618337</v>
      </c>
      <c r="E15" s="231"/>
      <c r="F15" s="231"/>
      <c r="G15" s="231">
        <v>0.9</v>
      </c>
      <c r="H15" s="231">
        <v>-4.2000000000000003E-2</v>
      </c>
      <c r="I15" s="231">
        <v>7.0000000000000007E-2</v>
      </c>
    </row>
    <row r="16" spans="1:13" x14ac:dyDescent="0.25">
      <c r="A16" s="231"/>
      <c r="B16" s="231">
        <f>$A$7*10^5</f>
        <v>500000</v>
      </c>
      <c r="C16" s="231">
        <f t="shared" si="2"/>
        <v>0.15339773141749091</v>
      </c>
      <c r="D16" s="231">
        <f t="shared" si="3"/>
        <v>6.5190012313700816</v>
      </c>
      <c r="E16" s="231"/>
      <c r="F16" s="231"/>
      <c r="G16" s="231">
        <v>1</v>
      </c>
      <c r="H16" s="231">
        <v>-4.2000000000000003E-2</v>
      </c>
      <c r="I16" s="231">
        <v>7.0000000000000007E-2</v>
      </c>
    </row>
    <row r="17" spans="1:9" x14ac:dyDescent="0.25">
      <c r="A17" s="231"/>
      <c r="B17" s="231">
        <f>$A$8*10^5</f>
        <v>600000</v>
      </c>
      <c r="C17" s="231">
        <f t="shared" si="2"/>
        <v>0.1380529537863758</v>
      </c>
      <c r="D17" s="231">
        <f t="shared" si="3"/>
        <v>7.2435972760670371</v>
      </c>
      <c r="E17" s="231"/>
      <c r="F17" s="231"/>
      <c r="G17" s="231">
        <v>1.1000000000000001</v>
      </c>
      <c r="H17" s="231">
        <v>-4.2000000000000003E-2</v>
      </c>
      <c r="I17" s="231">
        <v>7.0000000000000007E-2</v>
      </c>
    </row>
    <row r="18" spans="1:9" x14ac:dyDescent="0.25">
      <c r="A18" s="231"/>
      <c r="B18" s="231">
        <f>$A$9*10^5</f>
        <v>700000</v>
      </c>
      <c r="C18" s="231">
        <f t="shared" si="2"/>
        <v>0.12570224778156519</v>
      </c>
      <c r="D18" s="231">
        <f t="shared" si="3"/>
        <v>7.955307225195499</v>
      </c>
      <c r="E18" s="231"/>
      <c r="F18" s="231"/>
      <c r="G18" s="231">
        <v>1.2</v>
      </c>
      <c r="H18" s="231">
        <v>-4.2000000000000003E-2</v>
      </c>
      <c r="I18" s="231">
        <v>7.0000000000000007E-2</v>
      </c>
    </row>
    <row r="19" spans="1:9" x14ac:dyDescent="0.25">
      <c r="A19" s="231"/>
      <c r="B19" s="231">
        <f>$A$10*10^5</f>
        <v>800000</v>
      </c>
      <c r="C19" s="231">
        <f t="shared" si="2"/>
        <v>0.11548639783308461</v>
      </c>
      <c r="D19" s="231">
        <f t="shared" si="3"/>
        <v>8.6590284116864176</v>
      </c>
      <c r="E19" s="231"/>
      <c r="F19" s="231"/>
      <c r="G19" s="231">
        <v>1.3</v>
      </c>
      <c r="H19" s="231">
        <v>-4.2000000000000003E-2</v>
      </c>
      <c r="I19" s="231">
        <v>7.0000000000000007E-2</v>
      </c>
    </row>
    <row r="20" spans="1:9" x14ac:dyDescent="0.25">
      <c r="A20" s="231"/>
      <c r="B20" s="231">
        <f>$A$11*10^5</f>
        <v>900000</v>
      </c>
      <c r="C20" s="231">
        <f t="shared" si="2"/>
        <v>0.10685952769812936</v>
      </c>
      <c r="D20" s="231">
        <f t="shared" si="3"/>
        <v>9.3580799161393458</v>
      </c>
      <c r="E20" s="231"/>
      <c r="F20" s="231"/>
      <c r="G20" s="231">
        <v>1.4</v>
      </c>
      <c r="H20" s="231">
        <v>-4.2000000000000003E-2</v>
      </c>
      <c r="I20" s="231">
        <v>7.0000000000000007E-2</v>
      </c>
    </row>
    <row r="21" spans="1:9" x14ac:dyDescent="0.25">
      <c r="A21" s="231"/>
      <c r="B21" s="231">
        <f>$A$3*10^6</f>
        <v>1000000</v>
      </c>
      <c r="C21" s="231">
        <f t="shared" si="2"/>
        <v>9.945475061958052E-2</v>
      </c>
      <c r="D21" s="231">
        <f t="shared" si="3"/>
        <v>10.054823864825234</v>
      </c>
      <c r="E21" s="231"/>
      <c r="F21" s="231"/>
      <c r="G21" s="231">
        <v>1.5</v>
      </c>
      <c r="H21" s="231">
        <v>-4.2000000000000003E-2</v>
      </c>
      <c r="I21" s="231">
        <v>7.0000000000000007E-2</v>
      </c>
    </row>
    <row r="22" spans="1:9" x14ac:dyDescent="0.25">
      <c r="A22" s="231"/>
      <c r="B22" s="231">
        <f>$A$4*10^6</f>
        <v>2000000</v>
      </c>
      <c r="C22" s="231">
        <v>0.1</v>
      </c>
      <c r="D22" s="231">
        <f t="shared" si="3"/>
        <v>17.142246090031101</v>
      </c>
      <c r="E22" s="231"/>
      <c r="F22" s="231"/>
      <c r="G22" s="231">
        <v>1.6</v>
      </c>
      <c r="H22" s="231">
        <v>-4.2000000000000003E-2</v>
      </c>
      <c r="I22" s="231">
        <v>7.0000000000000007E-2</v>
      </c>
    </row>
    <row r="23" spans="1:9" x14ac:dyDescent="0.25">
      <c r="A23" s="231"/>
      <c r="B23" s="231">
        <f>$A$5*10^6</f>
        <v>3000000</v>
      </c>
      <c r="C23" s="231">
        <v>0.1</v>
      </c>
      <c r="D23" s="231">
        <f t="shared" si="3"/>
        <v>24.756577436576972</v>
      </c>
      <c r="E23" s="231"/>
      <c r="F23" s="231"/>
      <c r="G23" s="231"/>
      <c r="H23" s="231"/>
      <c r="I23" s="231"/>
    </row>
    <row r="24" spans="1:9" x14ac:dyDescent="0.25">
      <c r="A24" s="231"/>
      <c r="B24" s="231">
        <f>$A$6*10^6</f>
        <v>4000000</v>
      </c>
      <c r="C24" s="231">
        <v>0.1</v>
      </c>
      <c r="D24" s="231">
        <f t="shared" si="3"/>
        <v>33.06096957055027</v>
      </c>
      <c r="E24" s="231"/>
      <c r="F24" s="231"/>
      <c r="G24" s="231"/>
      <c r="H24" s="231"/>
      <c r="I24" s="231"/>
    </row>
    <row r="25" spans="1:9" x14ac:dyDescent="0.25">
      <c r="A25" s="231"/>
      <c r="B25" s="231">
        <f>$A$7*10^6</f>
        <v>5000000</v>
      </c>
      <c r="C25" s="231">
        <v>0.1</v>
      </c>
      <c r="D25" s="231">
        <f t="shared" si="3"/>
        <v>42.121593511090794</v>
      </c>
      <c r="E25" s="231"/>
      <c r="F25" s="231"/>
      <c r="G25" s="231"/>
      <c r="H25" s="231"/>
      <c r="I25" s="231"/>
    </row>
    <row r="26" spans="1:9" x14ac:dyDescent="0.25">
      <c r="A26" s="231"/>
      <c r="B26" s="231">
        <f>$A$8*10^6</f>
        <v>6000000</v>
      </c>
      <c r="C26" s="231">
        <v>0.1</v>
      </c>
      <c r="D26" s="231">
        <f t="shared" si="3"/>
        <v>51.979775671342622</v>
      </c>
      <c r="E26" s="231"/>
      <c r="F26" s="231"/>
      <c r="G26" s="231"/>
      <c r="H26" s="231"/>
      <c r="I26" s="231"/>
    </row>
    <row r="27" spans="1:9" x14ac:dyDescent="0.25">
      <c r="A27" s="231"/>
      <c r="B27" s="231">
        <f>$A$9*10^6</f>
        <v>7000000</v>
      </c>
      <c r="C27" s="231">
        <v>0.1</v>
      </c>
      <c r="D27" s="231">
        <f t="shared" si="3"/>
        <v>62.668151344306395</v>
      </c>
      <c r="E27" s="231"/>
      <c r="F27" s="231"/>
      <c r="G27" s="231"/>
      <c r="H27" s="231"/>
      <c r="I27" s="231"/>
    </row>
    <row r="28" spans="1:9" x14ac:dyDescent="0.25">
      <c r="A28" s="231"/>
      <c r="B28" s="231">
        <f>$A$10*10^6</f>
        <v>8000000</v>
      </c>
      <c r="C28" s="231">
        <v>0.1</v>
      </c>
      <c r="D28" s="231">
        <f t="shared" si="3"/>
        <v>74.215889273774081</v>
      </c>
      <c r="E28" s="231"/>
      <c r="F28" s="231"/>
      <c r="G28" s="231"/>
      <c r="H28" s="231"/>
      <c r="I28" s="231"/>
    </row>
    <row r="29" spans="1:9" x14ac:dyDescent="0.25">
      <c r="A29" s="231"/>
      <c r="B29" s="231">
        <f>$A$11*10^6</f>
        <v>9000000</v>
      </c>
      <c r="C29" s="231">
        <v>0.1</v>
      </c>
      <c r="D29" s="231">
        <f t="shared" si="3"/>
        <v>86.650749265830541</v>
      </c>
      <c r="E29" s="231"/>
      <c r="F29" s="231"/>
      <c r="G29" s="231"/>
      <c r="H29" s="231"/>
      <c r="I29" s="231"/>
    </row>
    <row r="30" spans="1:9" x14ac:dyDescent="0.25">
      <c r="A30" s="231"/>
      <c r="B30" s="231">
        <f>$A$3*10^7</f>
        <v>10000000</v>
      </c>
      <c r="C30" s="231">
        <v>0.1</v>
      </c>
      <c r="D30" s="231">
        <v>100</v>
      </c>
      <c r="E30" s="231"/>
      <c r="F30" s="231"/>
      <c r="G30" s="231"/>
      <c r="H30" s="231"/>
      <c r="I30" s="231"/>
    </row>
    <row r="31" spans="1:9" x14ac:dyDescent="0.25">
      <c r="A31" s="231"/>
      <c r="B31" s="231">
        <f>$A$4*10^7</f>
        <v>20000000</v>
      </c>
      <c r="C31" s="231">
        <v>0.1</v>
      </c>
      <c r="D31" s="231">
        <v>100</v>
      </c>
      <c r="E31" s="231"/>
      <c r="F31" s="231"/>
      <c r="G31" s="231"/>
      <c r="H31" s="231"/>
      <c r="I31" s="231"/>
    </row>
    <row r="32" spans="1:9" x14ac:dyDescent="0.25">
      <c r="A32" s="231"/>
      <c r="B32" s="231">
        <f>$A$5*10^7</f>
        <v>30000000</v>
      </c>
      <c r="C32" s="231">
        <v>0.1</v>
      </c>
      <c r="D32" s="231">
        <v>100</v>
      </c>
      <c r="E32" s="231"/>
      <c r="F32" s="231"/>
      <c r="G32" s="231"/>
      <c r="H32" s="231"/>
      <c r="I32" s="231"/>
    </row>
    <row r="33" spans="1:9" x14ac:dyDescent="0.25">
      <c r="A33" s="231"/>
      <c r="B33" s="231">
        <f>$A$6*10^7</f>
        <v>40000000</v>
      </c>
      <c r="C33" s="231">
        <v>0.1</v>
      </c>
      <c r="D33" s="231">
        <v>100</v>
      </c>
      <c r="E33" s="231"/>
      <c r="F33" s="231"/>
      <c r="G33" s="231"/>
      <c r="H33" s="231"/>
      <c r="I33" s="231"/>
    </row>
    <row r="34" spans="1:9" x14ac:dyDescent="0.25">
      <c r="A34" s="231"/>
      <c r="B34" s="231">
        <f>$A$7*10^7</f>
        <v>50000000</v>
      </c>
      <c r="C34" s="231">
        <v>0.1</v>
      </c>
      <c r="D34" s="231">
        <v>100</v>
      </c>
      <c r="E34" s="231"/>
      <c r="F34" s="231"/>
      <c r="G34" s="231"/>
      <c r="H34" s="231"/>
      <c r="I34" s="231"/>
    </row>
    <row r="35" spans="1:9" x14ac:dyDescent="0.25">
      <c r="A35" s="231"/>
      <c r="B35" s="231">
        <f>$A$8*10^7</f>
        <v>60000000</v>
      </c>
      <c r="C35" s="231">
        <v>0.1</v>
      </c>
      <c r="D35" s="231">
        <v>100</v>
      </c>
      <c r="E35" s="231"/>
      <c r="F35" s="231"/>
      <c r="G35" s="231"/>
      <c r="H35" s="231"/>
      <c r="I35" s="231"/>
    </row>
    <row r="36" spans="1:9" x14ac:dyDescent="0.25">
      <c r="A36" s="231"/>
      <c r="B36" s="231">
        <f>$A$9*10^7</f>
        <v>70000000</v>
      </c>
      <c r="C36" s="231">
        <v>0.1</v>
      </c>
      <c r="D36" s="231">
        <v>100</v>
      </c>
      <c r="E36" s="231"/>
      <c r="F36" s="231"/>
      <c r="G36" s="231"/>
      <c r="H36" s="231"/>
      <c r="I36" s="231"/>
    </row>
    <row r="37" spans="1:9" x14ac:dyDescent="0.25">
      <c r="A37" s="231"/>
      <c r="B37" s="231">
        <f>$A$10*10^7</f>
        <v>80000000</v>
      </c>
      <c r="C37" s="231">
        <v>0.1</v>
      </c>
      <c r="D37" s="231">
        <v>100</v>
      </c>
      <c r="E37" s="231"/>
      <c r="F37" s="231"/>
      <c r="G37" s="231"/>
      <c r="H37" s="231"/>
      <c r="I37" s="231"/>
    </row>
    <row r="38" spans="1:9" x14ac:dyDescent="0.25">
      <c r="A38" s="231"/>
      <c r="B38" s="231">
        <f>$A$11*10^7</f>
        <v>90000000</v>
      </c>
      <c r="C38" s="231">
        <v>0.1</v>
      </c>
      <c r="D38" s="231">
        <v>100</v>
      </c>
      <c r="E38" s="231"/>
      <c r="F38" s="231"/>
      <c r="G38" s="231"/>
      <c r="H38" s="231"/>
      <c r="I38" s="231"/>
    </row>
    <row r="39" spans="1:9" x14ac:dyDescent="0.25">
      <c r="A39" s="231"/>
      <c r="B39" s="231">
        <f>$A$3*10^8</f>
        <v>100000000</v>
      </c>
      <c r="C39" s="231">
        <v>0.1</v>
      </c>
      <c r="D39" s="231">
        <v>100</v>
      </c>
      <c r="E39" s="231"/>
      <c r="F39" s="231"/>
      <c r="G39" s="231"/>
      <c r="H39" s="231"/>
      <c r="I39" s="231"/>
    </row>
    <row r="40" spans="1:9" x14ac:dyDescent="0.25">
      <c r="A40" s="231"/>
      <c r="B40" s="231">
        <f>$A$4*10^8</f>
        <v>200000000</v>
      </c>
      <c r="C40" s="231">
        <v>0.1</v>
      </c>
      <c r="D40" s="231">
        <v>100</v>
      </c>
      <c r="E40" s="231"/>
      <c r="F40" s="231"/>
      <c r="G40" s="231"/>
      <c r="H40" s="231"/>
      <c r="I40" s="231"/>
    </row>
    <row r="41" spans="1:9" x14ac:dyDescent="0.25">
      <c r="A41" s="231"/>
      <c r="B41" s="231">
        <f>$A$5*10^8</f>
        <v>300000000</v>
      </c>
      <c r="C41" s="231">
        <v>0.1</v>
      </c>
      <c r="D41" s="231">
        <v>100</v>
      </c>
      <c r="E41" s="231"/>
      <c r="F41" s="231"/>
      <c r="G41" s="231"/>
      <c r="H41" s="231"/>
      <c r="I41" s="231"/>
    </row>
    <row r="42" spans="1:9" x14ac:dyDescent="0.25">
      <c r="A42" s="231"/>
      <c r="B42" s="231">
        <f>$A$6*10^8</f>
        <v>400000000</v>
      </c>
      <c r="C42" s="231">
        <v>0.1</v>
      </c>
      <c r="D42" s="231">
        <v>100</v>
      </c>
      <c r="E42" s="231"/>
      <c r="F42" s="231"/>
      <c r="G42" s="231"/>
      <c r="H42" s="231"/>
      <c r="I42" s="231"/>
    </row>
    <row r="43" spans="1:9" x14ac:dyDescent="0.25">
      <c r="A43" s="231"/>
      <c r="B43" s="231">
        <f>$A$7*10^8</f>
        <v>500000000</v>
      </c>
      <c r="C43" s="231">
        <v>0.1</v>
      </c>
      <c r="D43" s="231">
        <v>100</v>
      </c>
      <c r="E43" s="231"/>
      <c r="F43" s="231"/>
      <c r="G43" s="231"/>
      <c r="H43" s="231"/>
      <c r="I43" s="231"/>
    </row>
    <row r="44" spans="1:9" x14ac:dyDescent="0.25">
      <c r="A44" s="231"/>
      <c r="B44" s="231">
        <f>$A$8*10^8</f>
        <v>600000000</v>
      </c>
      <c r="C44" s="231">
        <v>0.1</v>
      </c>
      <c r="D44" s="231">
        <v>100</v>
      </c>
      <c r="E44" s="231"/>
      <c r="F44" s="231"/>
      <c r="G44" s="231"/>
      <c r="H44" s="231"/>
      <c r="I44" s="231"/>
    </row>
    <row r="45" spans="1:9" x14ac:dyDescent="0.25">
      <c r="A45" s="231"/>
      <c r="B45" s="231">
        <f>$A$9*10^8</f>
        <v>700000000</v>
      </c>
      <c r="C45" s="231">
        <v>0.1</v>
      </c>
      <c r="D45" s="231">
        <v>100</v>
      </c>
      <c r="E45" s="231"/>
      <c r="F45" s="231"/>
      <c r="G45" s="231"/>
      <c r="H45" s="231"/>
      <c r="I45" s="231"/>
    </row>
    <row r="46" spans="1:9" x14ac:dyDescent="0.25">
      <c r="A46" s="231"/>
      <c r="B46" s="231">
        <f>$A$10*10^8</f>
        <v>800000000</v>
      </c>
      <c r="C46" s="231">
        <v>0.1</v>
      </c>
      <c r="D46" s="231">
        <v>100</v>
      </c>
      <c r="E46" s="231"/>
      <c r="F46" s="231"/>
      <c r="G46" s="231"/>
      <c r="H46" s="231"/>
      <c r="I46" s="231"/>
    </row>
    <row r="47" spans="1:9" x14ac:dyDescent="0.25">
      <c r="A47" s="231"/>
      <c r="B47" s="231">
        <f>$A$11*10^8</f>
        <v>900000000</v>
      </c>
      <c r="C47" s="231">
        <v>0.1</v>
      </c>
      <c r="D47" s="231">
        <v>100</v>
      </c>
      <c r="E47" s="231"/>
      <c r="F47" s="231"/>
      <c r="G47" s="231"/>
      <c r="H47" s="231"/>
      <c r="I47" s="231"/>
    </row>
    <row r="48" spans="1:9" x14ac:dyDescent="0.25">
      <c r="A48" s="231"/>
      <c r="B48" s="231">
        <f>$A$3*10^9</f>
        <v>1000000000</v>
      </c>
      <c r="C48" s="231">
        <v>0.1</v>
      </c>
      <c r="D48" s="231">
        <v>100</v>
      </c>
      <c r="E48" s="231"/>
      <c r="F48" s="231"/>
      <c r="G48" s="231"/>
      <c r="H48" s="231"/>
      <c r="I48" s="231"/>
    </row>
    <row r="49" spans="1:9" x14ac:dyDescent="0.25">
      <c r="A49" s="231"/>
      <c r="B49" s="231">
        <f>$A$4*10^9</f>
        <v>2000000000</v>
      </c>
      <c r="C49" s="231">
        <v>0.1</v>
      </c>
      <c r="D49" s="231">
        <v>100</v>
      </c>
      <c r="E49" s="231"/>
      <c r="F49" s="231"/>
      <c r="G49" s="231"/>
      <c r="H49" s="231"/>
      <c r="I49" s="231"/>
    </row>
    <row r="50" spans="1:9" x14ac:dyDescent="0.25">
      <c r="A50" s="231"/>
      <c r="B50" s="231">
        <f>$A$5*10^9</f>
        <v>3000000000</v>
      </c>
      <c r="C50" s="231">
        <v>0.1</v>
      </c>
      <c r="D50" s="231">
        <v>100</v>
      </c>
      <c r="E50" s="231"/>
      <c r="F50" s="231"/>
      <c r="G50" s="231"/>
      <c r="H50" s="231"/>
      <c r="I50" s="231"/>
    </row>
    <row r="51" spans="1:9" x14ac:dyDescent="0.25">
      <c r="A51" s="231"/>
      <c r="B51" s="231">
        <f>$A$6*10^9</f>
        <v>4000000000</v>
      </c>
      <c r="C51" s="231">
        <v>0.1</v>
      </c>
      <c r="D51" s="231">
        <v>100</v>
      </c>
      <c r="E51" s="231"/>
      <c r="F51" s="231"/>
      <c r="G51" s="231"/>
      <c r="H51" s="231"/>
      <c r="I51" s="231"/>
    </row>
    <row r="52" spans="1:9" x14ac:dyDescent="0.25">
      <c r="A52" s="231"/>
      <c r="B52" s="231">
        <f>$A$7*10^9</f>
        <v>5000000000</v>
      </c>
      <c r="C52" s="231">
        <v>0.1</v>
      </c>
      <c r="D52" s="231">
        <v>100</v>
      </c>
      <c r="E52" s="231"/>
      <c r="F52" s="231"/>
      <c r="G52" s="231"/>
      <c r="H52" s="231"/>
      <c r="I52" s="231"/>
    </row>
    <row r="53" spans="1:9" x14ac:dyDescent="0.25">
      <c r="A53" s="231"/>
      <c r="B53" s="231">
        <f>$A$8*10^9</f>
        <v>6000000000</v>
      </c>
      <c r="C53" s="231">
        <v>0.1</v>
      </c>
      <c r="D53" s="231">
        <v>100</v>
      </c>
      <c r="E53" s="231"/>
      <c r="F53" s="231"/>
      <c r="G53" s="231"/>
      <c r="H53" s="231"/>
      <c r="I53" s="231"/>
    </row>
    <row r="54" spans="1:9" x14ac:dyDescent="0.25">
      <c r="A54" s="231"/>
      <c r="B54" s="231">
        <f>$A$9*10^9</f>
        <v>7000000000</v>
      </c>
      <c r="C54" s="231">
        <v>0.1</v>
      </c>
      <c r="D54" s="231">
        <v>100</v>
      </c>
      <c r="E54" s="231"/>
      <c r="F54" s="231"/>
      <c r="G54" s="231"/>
      <c r="H54" s="231"/>
      <c r="I54" s="231"/>
    </row>
    <row r="55" spans="1:9" x14ac:dyDescent="0.25">
      <c r="A55" s="231"/>
      <c r="B55" s="231">
        <f>$A$10*10^9</f>
        <v>8000000000</v>
      </c>
      <c r="C55" s="231">
        <v>0.1</v>
      </c>
      <c r="D55" s="231">
        <v>100</v>
      </c>
      <c r="E55" s="231"/>
      <c r="F55" s="231"/>
      <c r="G55" s="231"/>
      <c r="H55" s="231"/>
      <c r="I55" s="231"/>
    </row>
    <row r="56" spans="1:9" x14ac:dyDescent="0.25">
      <c r="A56" s="231"/>
      <c r="B56" s="231">
        <f>$A$11*10^9</f>
        <v>9000000000</v>
      </c>
      <c r="C56" s="231">
        <v>0.1</v>
      </c>
      <c r="D56" s="231">
        <v>100</v>
      </c>
      <c r="E56" s="231"/>
      <c r="F56" s="231"/>
      <c r="G56" s="231"/>
      <c r="H56" s="231"/>
      <c r="I56" s="231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8</vt:i4>
      </vt:variant>
    </vt:vector>
  </HeadingPairs>
  <TitlesOfParts>
    <vt:vector size="16" baseType="lpstr">
      <vt:lpstr>auxiliar</vt:lpstr>
      <vt:lpstr>DataSheet</vt:lpstr>
      <vt:lpstr>Test Procedure Data</vt:lpstr>
      <vt:lpstr>Actual Test Data</vt:lpstr>
      <vt:lpstr>Test Gas</vt:lpstr>
      <vt:lpstr>Tools</vt:lpstr>
      <vt:lpstr>CalcFlow</vt:lpstr>
      <vt:lpstr>GRAF</vt:lpstr>
      <vt:lpstr>ccpPath</vt:lpstr>
      <vt:lpstr>Eficiência</vt:lpstr>
      <vt:lpstr>Head</vt:lpstr>
      <vt:lpstr>Potência_gás</vt:lpstr>
      <vt:lpstr>Pressão_descarga_abs</vt:lpstr>
      <vt:lpstr>pythonPath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Timbo Silva</cp:lastModifiedBy>
  <dcterms:created xsi:type="dcterms:W3CDTF">2019-07-04T13:27:16Z</dcterms:created>
  <dcterms:modified xsi:type="dcterms:W3CDTF">2023-02-07T16:46:43Z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