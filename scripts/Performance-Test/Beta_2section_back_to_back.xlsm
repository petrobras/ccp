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Performance-Test\"/>
    </mc:Choice>
  </mc:AlternateContent>
  <xr:revisionPtr revIDLastSave="0" documentId="13_ncr:1_{4D208189-FB81-48AC-BF99-088EB2C3844D}" xr6:coauthVersionLast="47" xr6:coauthVersionMax="47" xr10:uidLastSave="{00000000-0000-0000-0000-000000000000}"/>
  <bookViews>
    <workbookView xWindow="-96" yWindow="-96" windowWidth="23232" windowHeight="12552" firstSheet="1" activeTab="1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R5" authorId="0" shapeId="0" xr:uid="{2680913E-102B-4015-BCB1-0F66EB518D7A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S5" authorId="0" shapeId="0" xr:uid="{F3AE0A21-1635-406C-9BD3-8D100ECEFF2A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Z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F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AG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AH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AI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J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AK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AL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M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N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P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<sst xmlns="http://schemas.openxmlformats.org/spreadsheetml/2006/main" count="1674" uniqueCount="513">
  <si>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</si>
  <si>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</si>
  <si>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</si>
  <si>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</si>
  <si>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</si>
  <si>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</si>
  <si>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</si>
  <si>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</si>
  <si>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</si>
  <si>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</si>
  <si>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</si>
  <si>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</si>
  <si>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</si>
  <si>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</si>
  <si>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</si>
  <si>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</si>
  <si>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</si>
  <si>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</si>
  <si>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</si>
  <si>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</si>
  <si>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</si>
  <si>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</si>
  <si>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</si>
  <si>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</si>
  <si>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</si>
  <si>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</si>
  <si>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</si>
  <si>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</si>
  <si>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</si>
  <si>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</si>
  <si>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</si>
  <si>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</si>
  <si>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</si>
  <si>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</si>
  <si>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</si>
  <si>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</si>
  <si>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</si>
  <si>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</si>
  <si>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</si>
  <si>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</si>
  <si>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</si>
  <si>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</si>
  <si>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</si>
  <si>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</si>
  <si>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</si>
  <si>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</si>
  <si>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</si>
  <si>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</si>
  <si>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</si>
  <si>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</si>
  <si>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</si>
  <si>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</si>
  <si>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</si>
  <si>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</si>
  <si>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</si>
  <si>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</si>
  <si>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</si>
  <si>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</si>
  <si>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</si>
  <si>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</si>
  <si>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</si>
  <si>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</si>
  <si>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</si>
  <si>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</si>
  <si>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</si>
  <si>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</si>
  <si>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</si>
  <si>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</si>
  <si>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</si>
  <si>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</si>
  <si>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</si>
  <si>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</si>
  <si>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</si>
  <si>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</si>
  <si>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</si>
  <si>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</si>
  <si>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</si>
  <si>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</si>
  <si>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</si>
  <si>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</si>
  <si>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</si>
  <si>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</si>
  <si>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</si>
  <si>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</si>
  <si>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</si>
  <si>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</si>
  <si>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</si>
  <si>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</si>
  <si>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</si>
  <si>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</si>
  <si>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</si>
  <si>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</si>
  <si>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</si>
  <si>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</si>
  <si>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</si>
  <si>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</si>
  <si>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</si>
  <si>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</si>
  <si>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</si>
  <si>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</si>
  <si>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</si>
  <si>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</si>
  <si>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</si>
  <si>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</si>
  <si>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</si>
  <si>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</si>
  <si>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</si>
  <si>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</si>
  <si>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</si>
  <si>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</si>
  <si>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</si>
  <si>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</si>
  <si>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</si>
  <si>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</si>
  <si>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</si>
  <si>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</si>
  <si>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</si>
  <si>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</si>
  <si>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</si>
  <si>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</si>
  <si>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</si>
  <si>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</si>
  <si>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</si>
  <si>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</si>
  <si>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</si>
  <si>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</si>
  <si>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</si>
  <si>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</si>
  <si>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</si>
  <si>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</si>
  <si>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</si>
  <si>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</si>
  <si>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</si>
  <si>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</si>
  <si>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</si>
  <si>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</si>
  <si>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</si>
  <si>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</si>
  <si>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</si>
  <si>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</si>
  <si>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</si>
  <si>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</si>
  <si>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</si>
  <si>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</si>
  <si>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</si>
  <si>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</si>
  <si>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</si>
  <si>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</si>
  <si>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</si>
  <si>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</si>
  <si>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</si>
  <si>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</si>
  <si>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</si>
  <si>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</si>
  <si>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</si>
  <si>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</si>
  <si>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</si>
  <si>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</si>
  <si>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</si>
  <si>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</si>
  <si>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</si>
  <si>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</si>
  <si>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</si>
  <si>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</si>
  <si>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</si>
  <si>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</si>
  <si>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</si>
  <si>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</si>
  <si>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</si>
  <si>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</si>
  <si>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</si>
  <si>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</si>
  <si>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</si>
  <si>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</si>
  <si>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</si>
  <si>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</si>
  <si>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</si>
  <si>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</si>
  <si>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</si>
  <si>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</si>
  <si>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</si>
  <si>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</si>
  <si>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</si>
  <si>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</si>
  <si>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</si>
  <si>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</si>
  <si>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</si>
  <si>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</si>
  <si>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</si>
  <si>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</si>
  <si>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</si>
  <si>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</si>
  <si>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</si>
  <si>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</si>
  <si>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</si>
  <si>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</si>
  <si>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</si>
  <si>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</si>
  <si>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</si>
  <si>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</si>
  <si>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</si>
  <si>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</si>
  <si>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</si>
  <si>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</si>
  <si>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</si>
  <si>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</si>
  <si>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</si>
  <si>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</si>
  <si>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</si>
  <si>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</si>
  <si>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</si>
  <si>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</si>
  <si>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</si>
  <si>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</si>
  <si>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</si>
  <si>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</si>
  <si>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</si>
  <si>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</si>
  <si>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</si>
  <si>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</si>
  <si>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</si>
  <si>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</si>
  <si>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</si>
  <si>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</si>
  <si>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</si>
  <si>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</si>
  <si>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</si>
  <si>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</si>
  <si>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</si>
  <si>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</si>
  <si>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</si>
  <si>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</si>
  <si>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</si>
  <si>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</si>
  <si>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</si>
  <si>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</si>
  <si>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</si>
  <si>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</si>
  <si>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</si>
  <si>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</si>
  <si>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</si>
  <si>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</si>
  <si>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</si>
  <si>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</si>
  <si>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</si>
  <si>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</si>
  <si>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</si>
  <si>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</si>
  <si>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</si>
  <si>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</si>
  <si>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</si>
  <si>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</si>
  <si>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</si>
  <si>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</si>
  <si>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</si>
  <si>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</si>
  <si>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</si>
  <si>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</si>
  <si>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</si>
  <si>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</si>
  <si>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</si>
  <si>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</si>
  <si>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</si>
  <si>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</si>
  <si>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</si>
  <si>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</si>
  <si>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</si>
  <si>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</si>
  <si>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</si>
  <si>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</si>
  <si>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</si>
  <si>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</si>
  <si>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</si>
  <si>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</si>
  <si>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</si>
  <si>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</si>
  <si>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</si>
  <si>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</si>
  <si>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</si>
  <si>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</si>
  <si>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</si>
  <si>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</si>
  <si>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</si>
  <si>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</si>
  <si>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</si>
  <si>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</si>
  <si>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</si>
  <si>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</si>
  <si>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</si>
  <si>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</si>
  <si>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</si>
  <si>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</si>
  <si>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</si>
  <si>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</si>
  <si>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</si>
  <si>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</si>
  <si>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</si>
  <si>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</si>
  <si>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</si>
  <si>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</si>
  <si>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</si>
  <si>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</si>
  <si>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</si>
  <si>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</si>
  <si>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</si>
  <si>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</si>
  <si>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</si>
  <si>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</si>
  <si>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</si>
  <si>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</si>
  <si>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</si>
  <si>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</si>
  <si>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</si>
  <si>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</si>
  <si>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</si>
  <si>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</si>
  <si>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</si>
  <si>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</si>
  <si>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</si>
  <si>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</si>
  <si>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</si>
  <si>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</si>
  <si>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</si>
  <si>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</si>
  <si>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</si>
  <si>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</si>
  <si>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</si>
  <si>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</si>
  <si>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</si>
  <si>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</si>
  <si>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</si>
  <si>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</si>
  <si>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</si>
  <si>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</si>
  <si>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</si>
  <si>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</si>
  <si>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</si>
  <si>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</si>
  <si>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</si>
  <si>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</si>
  <si>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</si>
  <si>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Section 3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</si>
  <si>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</si>
  <si>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</si>
  <si>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</si>
  <si>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</si>
  <si>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</si>
  <si>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</si>
  <si>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</si>
  <si>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</si>
  <si>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</si>
  <si>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</si>
  <si>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</si>
  <si>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</si>
  <si>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</si>
  <si>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</si>
  <si>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</si>
  <si>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</si>
  <si>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</si>
  <si>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</si>
  <si>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</si>
  <si>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</si>
  <si>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</si>
  <si>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</si>
  <si>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</si>
  <si>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</si>
  <si>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</si>
  <si>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</si>
  <si>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</si>
  <si>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</si>
  <si>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</si>
  <si>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</si>
  <si>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</si>
  <si>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</si>
  <si>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</si>
  <si>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</si>
  <si>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</si>
  <si>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</si>
  <si>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</si>
  <si>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</si>
  <si>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</si>
  <si>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</si>
  <si>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</si>
  <si>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</si>
  <si>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</si>
  <si>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</si>
  <si>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</si>
  <si>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</si>
  <si>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</si>
  <si>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</si>
  <si>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</si>
  <si>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</si>
  <si>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</si>
  <si>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</si>
  <si>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</si>
  <si>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</si>
  <si>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</si>
  <si>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</si>
  <si>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</si>
  <si>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</si>
  <si>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</si>
  <si>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</si>
  <si>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</si>
  <si>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</si>
  <si>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</si>
  <si>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</si>
  <si>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</si>
  <si>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</si>
  <si>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</si>
  <si>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</si>
  <si>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</si>
  <si>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</si>
  <si>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</si>
  <si>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</si>
  <si>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</si>
  <si>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</si>
  <si>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</si>
  <si>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</si>
  <si>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</si>
  <si>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</si>
  <si>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</si>
  <si>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</si>
  <si>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</si>
  <si>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</si>
  <si>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</si>
  <si>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</si>
  <si>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</si>
  <si>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</si>
  <si>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</si>
  <si>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</si>
  <si>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</si>
  <si>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</si>
  <si>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</si>
  <si>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</si>
  <si>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</si>
  <si>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</si>
  <si>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</si>
  <si>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</si>
  <si>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</si>
  <si>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</si>
  <si>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</si>
  <si>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</si>
  <si>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</si>
  <si>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</si>
  <si>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</si>
  <si>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</si>
  <si>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</si>
  <si>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</si>
  <si>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</si>
  <si>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</si>
  <si>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</si>
  <si>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</si>
  <si>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</si>
  <si>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</si>
  <si>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</si>
  <si>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</si>
  <si>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</si>
  <si>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</si>
  <si>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</si>
  <si>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</si>
  <si>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</si>
  <si>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</si>
  <si>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</si>
  <si>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</si>
  <si>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</si>
  <si>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</si>
  <si>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</si>
  <si>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</si>
  <si>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</si>
  <si>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</si>
  <si>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</si>
  <si>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</si>
  <si>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</si>
  <si>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</si>
  <si>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</si>
  <si>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</si>
  <si>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</si>
  <si>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</si>
  <si>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</si>
  <si>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</si>
  <si>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</si>
  <si>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</si>
  <si>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</si>
  <si>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</si>
  <si>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</si>
  <si>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</si>
  <si>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Calculado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</si>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</sst>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10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0" fontId="2" fillId="0" borderId="40" xfId="0" applyFont="1" applyFill="1" applyBorder="1" applyAlignment="1">
      <alignment horizontal="right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0" fontId="0" fillId="0" borderId="40" xfId="0" applyFont="1" applyFill="1" applyBorder="1" applyAlignment="1">
      <alignment horizontal="right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0" fillId="12" borderId="35" xfId="0" applyFill="1" applyBorder="1"/>
    <xf numFmtId="0" fontId="0" fillId="12" borderId="36" xfId="0" applyFill="1" applyBorder="1"/>
    <xf numFmtId="0" fontId="23" fillId="12" borderId="36" xfId="0" applyFont="1" applyFill="1" applyBorder="1" applyAlignment="1">
      <alignment vertical="center" wrapText="1"/>
    </xf>
    <xf numFmtId="0" fontId="23" fillId="12" borderId="37" xfId="0" applyFont="1" applyFill="1" applyBorder="1" applyAlignment="1">
      <alignment vertical="center" wrapText="1"/>
    </xf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0" borderId="29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0" fontId="2" fillId="6" borderId="22" xfId="0" applyFont="1" applyFill="1" applyBorder="1" applyAlignment="1">
      <alignment horizontal="center" vertical="center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8" borderId="54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36" fillId="20" borderId="56" xfId="0" applyFont="1" applyFill="1" applyBorder="1" applyAlignment="1">
      <alignment horizontal="center" vertical="center"/>
    </xf>
    <xf numFmtId="0" fontId="36" fillId="20" borderId="57" xfId="0" applyFont="1" applyFill="1" applyBorder="1" applyAlignment="1">
      <alignment horizontal="center" vertical="center"/>
    </xf>
    <xf numFmtId="0" fontId="36" fillId="20" borderId="33" xfId="0" applyFont="1" applyFill="1" applyBorder="1" applyAlignment="1">
      <alignment horizontal="center" vertical="center"/>
    </xf>
    <xf numFmtId="0" fontId="36" fillId="20" borderId="41" xfId="0" applyFont="1" applyFill="1" applyBorder="1" applyAlignment="1">
      <alignment horizontal="center" vertical="center"/>
    </xf>
    <xf numFmtId="0" fontId="39" fillId="0" borderId="42" xfId="0" applyFont="1" applyBorder="1" applyAlignment="1">
      <alignment horizontal="center" vertical="center" wrapText="1"/>
    </xf>
    <xf numFmtId="0" fontId="39" fillId="0" borderId="43" xfId="0" applyFont="1" applyBorder="1" applyAlignment="1">
      <alignment horizontal="center" vertical="center" wrapText="1"/>
    </xf>
    <xf numFmtId="0" fontId="39" fillId="0" borderId="49" xfId="0" applyFont="1" applyBorder="1" applyAlignment="1">
      <alignment horizontal="center" vertical="center" wrapText="1"/>
    </xf>
    <xf numFmtId="0" fontId="39" fillId="0" borderId="5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110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9139663.8739746697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2.8366707288699625E-2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11622415.074324053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1.2292904856269979E-2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0.66778330549861065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-0.23191729580798293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0.54305286133410002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-0.16092375694779626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2525.88</c:v>
                </c:pt>
                <c:pt idx="3">
                  <c:v>2791.42</c:v>
                </c:pt>
                <c:pt idx="4">
                  <c:v>3261.77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126.923</c:v>
                </c:pt>
                <c:pt idx="1">
                  <c:v>124.61799999999999</c:v>
                </c:pt>
                <c:pt idx="2">
                  <c:v>117.35899999999999</c:v>
                </c:pt>
                <c:pt idx="3">
                  <c:v>111.875</c:v>
                </c:pt>
                <c:pt idx="4">
                  <c:v>83.275999999999996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2525.88</c:v>
                </c:pt>
                <c:pt idx="3">
                  <c:v>2791.42</c:v>
                </c:pt>
                <c:pt idx="4">
                  <c:v>3261.77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0.84870000000000001</c:v>
                </c:pt>
                <c:pt idx="1">
                  <c:v>0.85</c:v>
                </c:pt>
                <c:pt idx="2">
                  <c:v>0.84399999999999997</c:v>
                </c:pt>
                <c:pt idx="3">
                  <c:v>0.83499999999999996</c:v>
                </c:pt>
                <c:pt idx="4">
                  <c:v>0.69499999999999995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9139663.8739746697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11622415.074324053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0.66778330549861065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0.54305286133410002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860.31</c:v>
                </c:pt>
                <c:pt idx="2">
                  <c:v>1076.47</c:v>
                </c:pt>
                <c:pt idx="3">
                  <c:v>1132.1099999999999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65.540000000000006</c:v>
                </c:pt>
                <c:pt idx="1">
                  <c:v>57.46</c:v>
                </c:pt>
                <c:pt idx="2">
                  <c:v>46.11</c:v>
                </c:pt>
                <c:pt idx="3">
                  <c:v>32.450000000000003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860.31</c:v>
                </c:pt>
                <c:pt idx="2">
                  <c:v>1076.47</c:v>
                </c:pt>
                <c:pt idx="3">
                  <c:v>1132.1099999999999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0.66700000000000004</c:v>
                </c:pt>
                <c:pt idx="1">
                  <c:v>0.69399999999999995</c:v>
                </c:pt>
                <c:pt idx="2">
                  <c:v>0.65600000000000003</c:v>
                </c:pt>
                <c:pt idx="3">
                  <c:v>0.499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</xdr:colOff>
          <xdr:row>11</xdr:row>
          <xdr:rowOff>83820</xdr:rowOff>
        </xdr:from>
        <xdr:to>
          <xdr:col>28</xdr:col>
          <xdr:colOff>560070</xdr:colOff>
          <xdr:row>14</xdr:row>
          <xdr:rowOff>68580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621030</xdr:colOff>
          <xdr:row>2</xdr:row>
          <xdr:rowOff>26670</xdr:rowOff>
        </xdr:from>
        <xdr:to>
          <xdr:col>13</xdr:col>
          <xdr:colOff>57150</xdr:colOff>
          <xdr:row>4</xdr:row>
          <xdr:rowOff>45720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68359375" defaultRowHeight="14.4" x14ac:dyDescent="0.55000000000000004"/>
  <cols>
    <col min="1" max="1" width="5.47265625" style="421" customWidth="1"/>
    <col min="2" max="2" width="9.5234375" style="421" bestFit="1" customWidth="1"/>
    <col min="3" max="3" width="12.41796875" style="421" customWidth="1"/>
    <col min="4" max="4" width="13.578125" style="421" bestFit="1" customWidth="1"/>
    <col min="5" max="5" width="9.26171875" style="421" customWidth="1"/>
    <col min="6" max="6" width="12.5234375" style="421" customWidth="1"/>
    <col min="7" max="7" width="8.68359375" style="421" bestFit="1" customWidth="1"/>
    <col min="8" max="8" width="13.26171875" style="421" customWidth="1"/>
    <col min="9" max="9" width="11.26171875" style="421" bestFit="1" customWidth="1"/>
    <col min="10" max="10" width="12.26171875" style="421" bestFit="1" customWidth="1"/>
    <col min="11" max="11" width="17" style="421" customWidth="1"/>
    <col min="12" max="16384" width="8.68359375" style="421"/>
  </cols>
  <sheetData>
    <row r="1" spans="2:13" ht="12" customHeight="1" x14ac:dyDescent="0.55000000000000004">
      <c r="C1" s="422"/>
      <c r="D1" s="423"/>
      <c r="E1" s="423"/>
      <c r="F1" s="423"/>
      <c r="G1" s="423"/>
      <c r="H1" s="423"/>
    </row>
    <row r="2" spans="2:13" ht="14.5" customHeight="1" x14ac:dyDescent="0.55000000000000004">
      <c r="B2" s="424" t="s">
        <v>433</v>
      </c>
      <c r="C2" s="424" t="s">
        <v>434</v>
      </c>
      <c r="D2" s="425" t="s">
        <v>435</v>
      </c>
      <c r="E2" s="426" t="s">
        <v>436</v>
      </c>
      <c r="F2" s="426" t="s">
        <v>437</v>
      </c>
      <c r="G2" s="427" t="s">
        <v>438</v>
      </c>
      <c r="H2" s="428" t="s">
        <v>439</v>
      </c>
      <c r="I2" s="429" t="s">
        <v>440</v>
      </c>
      <c r="J2" s="458" t="s">
        <v>441</v>
      </c>
      <c r="K2" s="429" t="s">
        <v>490</v>
      </c>
    </row>
    <row r="3" spans="2:13" x14ac:dyDescent="0.55000000000000004">
      <c r="B3" s="430" t="s">
        <v>300</v>
      </c>
      <c r="C3" s="431" t="s">
        <v>442</v>
      </c>
      <c r="D3" s="430" t="s">
        <v>299</v>
      </c>
      <c r="E3" s="430" t="s">
        <v>397</v>
      </c>
      <c r="F3" s="430" t="s">
        <v>443</v>
      </c>
      <c r="G3" s="430" t="s">
        <v>444</v>
      </c>
      <c r="H3" s="430" t="s">
        <v>307</v>
      </c>
      <c r="I3" s="430" t="s">
        <v>301</v>
      </c>
      <c r="J3" s="451" t="s">
        <v>408</v>
      </c>
      <c r="K3" s="459" t="s">
        <v>506</v>
      </c>
      <c r="L3" s="447"/>
      <c r="M3" s="447"/>
    </row>
    <row r="4" spans="2:13" x14ac:dyDescent="0.55000000000000004">
      <c r="B4" s="432" t="s">
        <v>445</v>
      </c>
      <c r="C4" s="431" t="s">
        <v>446</v>
      </c>
      <c r="D4" s="432" t="s">
        <v>447</v>
      </c>
      <c r="E4" s="432" t="s">
        <v>383</v>
      </c>
      <c r="F4" s="432" t="s">
        <v>448</v>
      </c>
      <c r="G4" s="432" t="s">
        <v>65</v>
      </c>
      <c r="H4" s="432" t="s">
        <v>94</v>
      </c>
      <c r="I4" s="432" t="s">
        <v>449</v>
      </c>
      <c r="J4" s="452" t="s">
        <v>133</v>
      </c>
      <c r="K4" s="459" t="s">
        <v>505</v>
      </c>
      <c r="L4" s="447"/>
      <c r="M4" s="447"/>
    </row>
    <row r="5" spans="2:13" x14ac:dyDescent="0.55000000000000004">
      <c r="B5" s="432"/>
      <c r="C5" s="431" t="s">
        <v>309</v>
      </c>
      <c r="D5" s="432" t="s">
        <v>450</v>
      </c>
      <c r="E5" s="432" t="s">
        <v>451</v>
      </c>
      <c r="F5" s="432" t="s">
        <v>452</v>
      </c>
      <c r="G5" s="432"/>
      <c r="H5" s="432" t="s">
        <v>453</v>
      </c>
      <c r="I5" s="432" t="s">
        <v>454</v>
      </c>
      <c r="J5" s="452" t="s">
        <v>455</v>
      </c>
      <c r="K5" s="456" t="s">
        <v>508</v>
      </c>
      <c r="L5" s="447"/>
      <c r="M5" s="447"/>
    </row>
    <row r="6" spans="2:13" x14ac:dyDescent="0.55000000000000004">
      <c r="B6" s="432"/>
      <c r="C6" s="433" t="s">
        <v>456</v>
      </c>
      <c r="D6" s="432" t="s">
        <v>457</v>
      </c>
      <c r="E6" s="432" t="s">
        <v>458</v>
      </c>
      <c r="F6" s="432" t="s">
        <v>342</v>
      </c>
      <c r="G6" s="432"/>
      <c r="H6" s="432" t="s">
        <v>459</v>
      </c>
      <c r="I6" s="432"/>
      <c r="J6" s="452" t="s">
        <v>460</v>
      </c>
      <c r="K6" s="455" t="s">
        <v>97</v>
      </c>
      <c r="L6" s="447"/>
      <c r="M6" s="447"/>
    </row>
    <row r="7" spans="2:13" x14ac:dyDescent="0.55000000000000004">
      <c r="B7" s="432"/>
      <c r="C7" s="431" t="s">
        <v>461</v>
      </c>
      <c r="D7" s="432" t="s">
        <v>462</v>
      </c>
      <c r="E7" s="432" t="s">
        <v>463</v>
      </c>
      <c r="F7" s="432" t="s">
        <v>464</v>
      </c>
      <c r="G7" s="432"/>
      <c r="H7" s="432"/>
      <c r="I7" s="432"/>
      <c r="J7" s="452" t="s">
        <v>465</v>
      </c>
      <c r="K7" s="456" t="s">
        <v>491</v>
      </c>
      <c r="L7" s="447"/>
      <c r="M7" s="447"/>
    </row>
    <row r="8" spans="2:13" x14ac:dyDescent="0.55000000000000004">
      <c r="B8" s="432"/>
      <c r="C8" s="431" t="s">
        <v>466</v>
      </c>
      <c r="D8" s="432" t="s">
        <v>467</v>
      </c>
      <c r="E8" s="432" t="s">
        <v>468</v>
      </c>
      <c r="F8" s="432" t="s">
        <v>469</v>
      </c>
      <c r="G8" s="432"/>
      <c r="H8" s="432"/>
      <c r="I8" s="432"/>
      <c r="J8" s="452"/>
      <c r="K8" s="456" t="s">
        <v>511</v>
      </c>
      <c r="L8" s="447"/>
      <c r="M8" s="447"/>
    </row>
    <row r="9" spans="2:13" x14ac:dyDescent="0.55000000000000004">
      <c r="B9" s="432"/>
      <c r="C9" s="431" t="s">
        <v>470</v>
      </c>
      <c r="D9" s="432" t="s">
        <v>471</v>
      </c>
      <c r="E9" s="432" t="s">
        <v>472</v>
      </c>
      <c r="F9" s="432" t="s">
        <v>473</v>
      </c>
      <c r="G9" s="432"/>
      <c r="H9" s="432"/>
      <c r="I9" s="432"/>
      <c r="J9" s="452"/>
      <c r="K9" s="456" t="s">
        <v>509</v>
      </c>
      <c r="L9" s="447"/>
      <c r="M9" s="447"/>
    </row>
    <row r="10" spans="2:13" x14ac:dyDescent="0.55000000000000004">
      <c r="B10" s="432"/>
      <c r="C10" s="431" t="s">
        <v>474</v>
      </c>
      <c r="D10" s="432" t="s">
        <v>475</v>
      </c>
      <c r="E10" s="432" t="s">
        <v>476</v>
      </c>
      <c r="F10" s="432"/>
      <c r="G10" s="432"/>
      <c r="H10" s="432"/>
      <c r="I10" s="432"/>
      <c r="J10" s="452"/>
      <c r="K10" s="456" t="s">
        <v>485</v>
      </c>
      <c r="L10" s="448"/>
      <c r="M10" s="448"/>
    </row>
    <row r="11" spans="2:13" x14ac:dyDescent="0.55000000000000004">
      <c r="B11" s="432"/>
      <c r="C11" s="431" t="s">
        <v>477</v>
      </c>
      <c r="D11" s="432" t="s">
        <v>478</v>
      </c>
      <c r="E11" s="432"/>
      <c r="F11" s="432"/>
      <c r="G11" s="432"/>
      <c r="H11" s="432"/>
      <c r="I11" s="432"/>
      <c r="J11" s="452"/>
      <c r="K11" s="459" t="s">
        <v>502</v>
      </c>
      <c r="L11" s="448"/>
      <c r="M11" s="448"/>
    </row>
    <row r="12" spans="2:13" x14ac:dyDescent="0.55000000000000004">
      <c r="B12" s="432"/>
      <c r="C12" s="432"/>
      <c r="D12" s="432"/>
      <c r="E12" s="432"/>
      <c r="F12" s="432"/>
      <c r="G12" s="432"/>
      <c r="H12" s="432"/>
      <c r="I12" s="432"/>
      <c r="J12" s="452"/>
      <c r="K12" s="456" t="s">
        <v>507</v>
      </c>
      <c r="L12" s="448"/>
      <c r="M12" s="448"/>
    </row>
    <row r="13" spans="2:13" x14ac:dyDescent="0.55000000000000004">
      <c r="B13" s="432"/>
      <c r="C13" s="432"/>
      <c r="D13" s="432"/>
      <c r="E13" s="432"/>
      <c r="F13" s="432"/>
      <c r="G13" s="432"/>
      <c r="H13" s="432"/>
      <c r="I13" s="432"/>
      <c r="J13" s="452"/>
      <c r="K13" s="455" t="s">
        <v>95</v>
      </c>
      <c r="L13" s="448"/>
      <c r="M13" s="448"/>
    </row>
    <row r="14" spans="2:13" x14ac:dyDescent="0.55000000000000004">
      <c r="B14" s="432"/>
      <c r="C14" s="431"/>
      <c r="D14" s="432"/>
      <c r="E14" s="432"/>
      <c r="F14" s="432"/>
      <c r="G14" s="432"/>
      <c r="H14" s="432"/>
      <c r="I14" s="432"/>
      <c r="J14" s="452"/>
      <c r="K14" s="455" t="s">
        <v>494</v>
      </c>
      <c r="L14" s="448"/>
      <c r="M14" s="448"/>
    </row>
    <row r="15" spans="2:13" ht="14.5" customHeight="1" x14ac:dyDescent="0.55000000000000004">
      <c r="B15" s="432"/>
      <c r="C15" s="434"/>
      <c r="D15" s="434"/>
      <c r="E15" s="432"/>
      <c r="F15" s="434"/>
      <c r="G15" s="432"/>
      <c r="H15" s="434"/>
      <c r="I15" s="434"/>
      <c r="J15" s="453"/>
      <c r="K15" s="459" t="s">
        <v>498</v>
      </c>
      <c r="L15" s="448"/>
      <c r="M15" s="448"/>
    </row>
    <row r="16" spans="2:13" x14ac:dyDescent="0.55000000000000004">
      <c r="B16" s="432"/>
      <c r="C16" s="432"/>
      <c r="D16" s="434"/>
      <c r="E16" s="432"/>
      <c r="F16" s="434"/>
      <c r="G16" s="432"/>
      <c r="H16" s="434"/>
      <c r="I16" s="434"/>
      <c r="J16" s="453"/>
      <c r="K16" s="456" t="s">
        <v>102</v>
      </c>
      <c r="L16" s="448"/>
      <c r="M16" s="448"/>
    </row>
    <row r="17" spans="2:13" x14ac:dyDescent="0.55000000000000004">
      <c r="B17" s="432"/>
      <c r="C17" s="432"/>
      <c r="D17" s="432"/>
      <c r="E17" s="432"/>
      <c r="F17" s="432"/>
      <c r="G17" s="432"/>
      <c r="H17" s="432"/>
      <c r="I17" s="432"/>
      <c r="J17" s="452"/>
      <c r="K17" s="456" t="s">
        <v>496</v>
      </c>
      <c r="L17" s="448"/>
      <c r="M17" s="448"/>
    </row>
    <row r="18" spans="2:13" x14ac:dyDescent="0.55000000000000004">
      <c r="B18" s="432"/>
      <c r="C18" s="432"/>
      <c r="D18" s="432"/>
      <c r="E18" s="432"/>
      <c r="F18" s="432"/>
      <c r="G18" s="432"/>
      <c r="H18" s="432"/>
      <c r="I18" s="432"/>
      <c r="J18" s="452"/>
      <c r="K18" s="456" t="s">
        <v>105</v>
      </c>
      <c r="L18" s="448"/>
      <c r="M18" s="448"/>
    </row>
    <row r="19" spans="2:13" x14ac:dyDescent="0.55000000000000004">
      <c r="B19" s="432"/>
      <c r="C19" s="432"/>
      <c r="D19" s="432"/>
      <c r="E19" s="432"/>
      <c r="F19" s="432"/>
      <c r="G19" s="432"/>
      <c r="H19" s="432"/>
      <c r="I19" s="432"/>
      <c r="J19" s="452"/>
      <c r="K19" s="455" t="s">
        <v>98</v>
      </c>
      <c r="L19" s="447"/>
      <c r="M19" s="447"/>
    </row>
    <row r="20" spans="2:13" x14ac:dyDescent="0.55000000000000004">
      <c r="B20" s="432"/>
      <c r="C20" s="432"/>
      <c r="D20" s="432"/>
      <c r="E20" s="432"/>
      <c r="F20" s="432"/>
      <c r="G20" s="432"/>
      <c r="H20" s="432"/>
      <c r="I20" s="432"/>
      <c r="J20" s="452"/>
      <c r="K20" s="459" t="s">
        <v>504</v>
      </c>
    </row>
    <row r="21" spans="2:13" x14ac:dyDescent="0.55000000000000004">
      <c r="B21" s="432"/>
      <c r="C21" s="432"/>
      <c r="D21" s="432"/>
      <c r="E21" s="432"/>
      <c r="F21" s="432"/>
      <c r="G21" s="432"/>
      <c r="H21" s="432"/>
      <c r="I21" s="432"/>
      <c r="J21" s="452"/>
      <c r="K21" s="459" t="s">
        <v>499</v>
      </c>
    </row>
    <row r="22" spans="2:13" x14ac:dyDescent="0.55000000000000004">
      <c r="B22" s="432"/>
      <c r="C22" s="432"/>
      <c r="D22" s="432"/>
      <c r="E22" s="432"/>
      <c r="F22" s="432"/>
      <c r="G22" s="432"/>
      <c r="H22" s="432"/>
      <c r="I22" s="432"/>
      <c r="J22" s="452"/>
      <c r="K22" s="456" t="s">
        <v>100</v>
      </c>
    </row>
    <row r="23" spans="2:13" x14ac:dyDescent="0.55000000000000004">
      <c r="B23" s="432"/>
      <c r="C23" s="432"/>
      <c r="D23" s="432"/>
      <c r="E23" s="432"/>
      <c r="F23" s="432"/>
      <c r="G23" s="432"/>
      <c r="H23" s="432"/>
      <c r="I23" s="432"/>
      <c r="J23" s="452"/>
      <c r="K23" s="455" t="s">
        <v>493</v>
      </c>
    </row>
    <row r="24" spans="2:13" x14ac:dyDescent="0.55000000000000004">
      <c r="B24" s="432"/>
      <c r="C24" s="432"/>
      <c r="D24" s="432"/>
      <c r="E24" s="432"/>
      <c r="F24" s="432"/>
      <c r="G24" s="432"/>
      <c r="H24" s="432"/>
      <c r="I24" s="432"/>
      <c r="J24" s="452"/>
      <c r="K24" s="456" t="s">
        <v>104</v>
      </c>
    </row>
    <row r="25" spans="2:13" x14ac:dyDescent="0.55000000000000004">
      <c r="B25" s="432"/>
      <c r="C25" s="432"/>
      <c r="D25" s="432"/>
      <c r="E25" s="432"/>
      <c r="F25" s="432"/>
      <c r="G25" s="432"/>
      <c r="H25" s="432"/>
      <c r="I25" s="432"/>
      <c r="J25" s="452"/>
      <c r="K25" s="459" t="s">
        <v>501</v>
      </c>
    </row>
    <row r="26" spans="2:13" x14ac:dyDescent="0.55000000000000004">
      <c r="B26" s="432"/>
      <c r="C26" s="432"/>
      <c r="D26" s="432"/>
      <c r="E26" s="432"/>
      <c r="F26" s="432"/>
      <c r="G26" s="432"/>
      <c r="H26" s="432"/>
      <c r="I26" s="432"/>
      <c r="J26" s="452"/>
      <c r="K26" s="459" t="s">
        <v>500</v>
      </c>
    </row>
    <row r="27" spans="2:13" x14ac:dyDescent="0.55000000000000004">
      <c r="B27" s="432"/>
      <c r="C27" s="432"/>
      <c r="D27" s="432"/>
      <c r="E27" s="432"/>
      <c r="F27" s="432"/>
      <c r="G27" s="432"/>
      <c r="H27" s="432"/>
      <c r="I27" s="432"/>
      <c r="J27" s="452"/>
      <c r="K27" s="455" t="s">
        <v>497</v>
      </c>
    </row>
    <row r="28" spans="2:13" x14ac:dyDescent="0.55000000000000004">
      <c r="B28" s="432"/>
      <c r="C28" s="432"/>
      <c r="D28" s="432"/>
      <c r="E28" s="432"/>
      <c r="F28" s="432"/>
      <c r="G28" s="432"/>
      <c r="H28" s="432"/>
      <c r="I28" s="432"/>
      <c r="J28" s="452"/>
      <c r="K28" s="456" t="s">
        <v>99</v>
      </c>
    </row>
    <row r="29" spans="2:13" x14ac:dyDescent="0.55000000000000004">
      <c r="B29" s="432"/>
      <c r="C29" s="432"/>
      <c r="D29" s="432"/>
      <c r="E29" s="432"/>
      <c r="F29" s="432"/>
      <c r="G29" s="432"/>
      <c r="H29" s="432"/>
      <c r="I29" s="432"/>
      <c r="J29" s="452"/>
      <c r="K29" s="455" t="s">
        <v>96</v>
      </c>
    </row>
    <row r="30" spans="2:13" x14ac:dyDescent="0.55000000000000004">
      <c r="B30" s="432"/>
      <c r="C30" s="432"/>
      <c r="D30" s="432"/>
      <c r="E30" s="432"/>
      <c r="F30" s="432"/>
      <c r="G30" s="432"/>
      <c r="H30" s="432"/>
      <c r="I30" s="432"/>
      <c r="J30" s="452"/>
      <c r="K30" s="455" t="s">
        <v>495</v>
      </c>
    </row>
    <row r="31" spans="2:13" x14ac:dyDescent="0.55000000000000004">
      <c r="B31" s="432"/>
      <c r="C31" s="432"/>
      <c r="D31" s="432"/>
      <c r="E31" s="432"/>
      <c r="F31" s="432"/>
      <c r="G31" s="432"/>
      <c r="H31" s="432"/>
      <c r="I31" s="432"/>
      <c r="J31" s="452"/>
      <c r="K31" s="456" t="s">
        <v>510</v>
      </c>
    </row>
    <row r="32" spans="2:13" x14ac:dyDescent="0.55000000000000004">
      <c r="B32" s="432"/>
      <c r="C32" s="432"/>
      <c r="D32" s="432"/>
      <c r="E32" s="432"/>
      <c r="F32" s="432"/>
      <c r="G32" s="432"/>
      <c r="H32" s="432"/>
      <c r="I32" s="432"/>
      <c r="J32" s="452"/>
      <c r="K32" s="456" t="s">
        <v>512</v>
      </c>
    </row>
    <row r="33" spans="2:11" x14ac:dyDescent="0.55000000000000004">
      <c r="B33" s="432"/>
      <c r="C33" s="432"/>
      <c r="D33" s="432"/>
      <c r="E33" s="432"/>
      <c r="F33" s="432"/>
      <c r="G33" s="432"/>
      <c r="H33" s="432"/>
      <c r="I33" s="432"/>
      <c r="J33" s="452"/>
      <c r="K33" s="459" t="s">
        <v>503</v>
      </c>
    </row>
    <row r="34" spans="2:11" x14ac:dyDescent="0.55000000000000004">
      <c r="B34" s="435"/>
      <c r="C34" s="435"/>
      <c r="D34" s="435"/>
      <c r="E34" s="435"/>
      <c r="F34" s="435"/>
      <c r="G34" s="435"/>
      <c r="H34" s="435"/>
      <c r="I34" s="435"/>
      <c r="J34" s="454"/>
      <c r="K34" s="457" t="s">
        <v>492</v>
      </c>
    </row>
    <row r="35" spans="2:11" x14ac:dyDescent="0.55000000000000004">
      <c r="K35" s="448"/>
    </row>
    <row r="36" spans="2:11" ht="14.5" customHeight="1" x14ac:dyDescent="0.55000000000000004">
      <c r="C36" s="471"/>
      <c r="D36" s="436"/>
      <c r="E36" s="437"/>
      <c r="F36" s="437"/>
      <c r="H36" s="437"/>
      <c r="K36" s="448"/>
    </row>
    <row r="37" spans="2:11" x14ac:dyDescent="0.55000000000000004">
      <c r="C37" s="471"/>
      <c r="D37" s="436"/>
      <c r="H37" s="437"/>
      <c r="K37" s="448"/>
    </row>
    <row r="38" spans="2:11" x14ac:dyDescent="0.55000000000000004">
      <c r="F38" s="438"/>
      <c r="K38" s="448"/>
    </row>
    <row r="39" spans="2:11" x14ac:dyDescent="0.55000000000000004">
      <c r="K39" s="447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topLeftCell="A9" zoomScaleNormal="100" workbookViewId="0">
      <selection activeCell="AN11" sqref="AN11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x14ac:dyDescent="0.55000000000000004">
      <c r="A1" s="398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12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9"/>
      <c r="AN2" s="412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78" t="s">
        <v>432</v>
      </c>
      <c r="B3" s="479"/>
      <c r="C3" s="479"/>
      <c r="D3" s="480"/>
      <c r="E3" s="480"/>
      <c r="F3" s="480"/>
      <c r="G3" s="480"/>
      <c r="H3" s="480"/>
      <c r="I3" s="480"/>
      <c r="J3" s="480"/>
      <c r="K3" s="480"/>
      <c r="L3" s="480"/>
      <c r="M3" s="411"/>
      <c r="N3" s="411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12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9" t="s">
        <v>5</v>
      </c>
      <c r="B4" s="530"/>
      <c r="C4" s="530"/>
      <c r="D4" s="530"/>
      <c r="E4" s="530"/>
      <c r="F4" s="530"/>
      <c r="G4" s="530"/>
      <c r="H4" s="530"/>
      <c r="I4" s="530"/>
      <c r="J4" s="530"/>
      <c r="K4" s="530"/>
      <c r="L4" s="530"/>
      <c r="M4" s="530"/>
      <c r="N4" s="530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16"/>
      <c r="AE4" s="516"/>
      <c r="AF4" s="516"/>
      <c r="AG4" s="516"/>
      <c r="AH4" s="516"/>
      <c r="AI4" s="516"/>
      <c r="AJ4" s="516"/>
      <c r="AK4" s="516"/>
      <c r="AL4" s="9"/>
      <c r="AM4" s="9"/>
      <c r="AN4" s="412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31" t="s">
        <v>8</v>
      </c>
      <c r="B5" s="532"/>
      <c r="C5" s="532"/>
      <c r="D5" s="532"/>
      <c r="E5" s="532"/>
      <c r="F5" s="532"/>
      <c r="G5" s="532"/>
      <c r="H5" s="532"/>
      <c r="I5" s="532"/>
      <c r="J5" s="532"/>
      <c r="K5" s="532"/>
      <c r="L5" s="532"/>
      <c r="M5" s="532"/>
      <c r="N5" s="399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12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71" t="s">
        <v>279</v>
      </c>
      <c r="B6" s="572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400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12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7">
        <f t="shared" ref="A8:A53" si="0">A7+1</f>
        <v>2</v>
      </c>
      <c r="B8" s="28" t="s">
        <v>17</v>
      </c>
      <c r="C8" s="13"/>
      <c r="D8" s="29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7"/>
      <c r="T8" s="517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7">
        <f t="shared" si="0"/>
        <v>3</v>
      </c>
      <c r="B9" s="28" t="s">
        <v>19</v>
      </c>
      <c r="C9" s="13"/>
      <c r="D9" s="12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  <c r="S9" s="516"/>
      <c r="T9" s="51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7">
        <f t="shared" si="0"/>
        <v>4</v>
      </c>
      <c r="B10" s="28" t="s">
        <v>21</v>
      </c>
      <c r="C10" s="13"/>
      <c r="D10" s="13"/>
      <c r="E10" s="516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  <c r="S10" s="516"/>
      <c r="T10" s="51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7">
        <f t="shared" si="0"/>
        <v>9</v>
      </c>
      <c r="B15" s="518" t="s">
        <v>31</v>
      </c>
      <c r="C15" s="519"/>
      <c r="D15" s="519"/>
      <c r="E15" s="519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9"/>
      <c r="T15" s="519"/>
      <c r="U15" s="519"/>
      <c r="V15" s="519"/>
      <c r="W15" s="519"/>
      <c r="X15" s="519"/>
      <c r="Y15" s="519"/>
      <c r="Z15" s="519"/>
      <c r="AA15" s="519"/>
      <c r="AB15" s="519"/>
      <c r="AC15" s="519"/>
      <c r="AD15" s="519"/>
      <c r="AE15" s="519"/>
      <c r="AF15" s="519"/>
      <c r="AG15" s="519"/>
      <c r="AH15" s="519"/>
      <c r="AI15" s="519"/>
      <c r="AJ15" s="519"/>
      <c r="AK15" s="519"/>
      <c r="AL15" s="519"/>
      <c r="AM15" s="52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7">
        <f t="shared" si="0"/>
        <v>10</v>
      </c>
      <c r="B16" s="521" t="s">
        <v>32</v>
      </c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2"/>
      <c r="N16" s="522"/>
      <c r="O16" s="522"/>
      <c r="P16" s="522"/>
      <c r="Q16" s="522"/>
      <c r="R16" s="522"/>
      <c r="S16" s="13"/>
      <c r="T16" s="518" t="s">
        <v>33</v>
      </c>
      <c r="U16" s="519"/>
      <c r="V16" s="519"/>
      <c r="W16" s="519"/>
      <c r="X16" s="519"/>
      <c r="Y16" s="520"/>
      <c r="Z16" s="518" t="s">
        <v>34</v>
      </c>
      <c r="AA16" s="519"/>
      <c r="AB16" s="519"/>
      <c r="AC16" s="519"/>
      <c r="AD16" s="519"/>
      <c r="AE16" s="519"/>
      <c r="AF16" s="519"/>
      <c r="AG16" s="519"/>
      <c r="AH16" s="519"/>
      <c r="AI16" s="519"/>
      <c r="AJ16" s="519"/>
      <c r="AK16" s="519"/>
      <c r="AL16" s="519"/>
      <c r="AM16" s="52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18" t="s">
        <v>35</v>
      </c>
      <c r="U17" s="519"/>
      <c r="V17" s="520"/>
      <c r="W17" s="518"/>
      <c r="X17" s="519"/>
      <c r="Y17" s="520"/>
      <c r="Z17" s="518" t="s">
        <v>36</v>
      </c>
      <c r="AA17" s="519"/>
      <c r="AB17" s="520"/>
      <c r="AC17" s="518" t="s">
        <v>36</v>
      </c>
      <c r="AD17" s="519"/>
      <c r="AE17" s="520"/>
      <c r="AF17" s="518" t="s">
        <v>35</v>
      </c>
      <c r="AG17" s="519"/>
      <c r="AH17" s="520"/>
      <c r="AI17" s="518" t="s">
        <v>36</v>
      </c>
      <c r="AJ17" s="519"/>
      <c r="AK17" s="519"/>
      <c r="AL17" s="519"/>
      <c r="AM17" s="520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55000000000000004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55000000000000004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55000000000000004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42"/>
      <c r="U20" s="343"/>
      <c r="V20" s="344"/>
      <c r="W20" s="526"/>
      <c r="X20" s="527"/>
      <c r="Y20" s="528"/>
      <c r="Z20" s="343"/>
      <c r="AA20" s="343"/>
      <c r="AB20" s="344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52"/>
      <c r="AR20" s="552"/>
      <c r="AS20" s="47"/>
      <c r="AT20" s="9"/>
      <c r="AU20" s="9"/>
      <c r="AV20" s="9"/>
      <c r="AW20" s="9"/>
      <c r="AX20" s="9"/>
    </row>
    <row r="21" spans="1:50" x14ac:dyDescent="0.55000000000000004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5">
        <v>107400</v>
      </c>
      <c r="U21" s="496"/>
      <c r="V21" s="497"/>
      <c r="W21" s="526"/>
      <c r="X21" s="527"/>
      <c r="Y21" s="528"/>
      <c r="Z21" s="495">
        <v>117466</v>
      </c>
      <c r="AA21" s="496"/>
      <c r="AB21" s="497"/>
      <c r="AC21" s="523"/>
      <c r="AD21" s="524"/>
      <c r="AE21" s="525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4.7" thickBot="1" x14ac:dyDescent="0.6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45"/>
      <c r="U22" s="346"/>
      <c r="V22" s="347"/>
      <c r="W22" s="345"/>
      <c r="X22" s="346"/>
      <c r="Y22" s="347"/>
      <c r="Z22" s="345"/>
      <c r="AA22" s="346"/>
      <c r="AB22" s="347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4.7" thickBot="1" x14ac:dyDescent="0.6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416</v>
      </c>
      <c r="K23" s="13"/>
      <c r="L23" s="13"/>
      <c r="M23" s="13"/>
      <c r="N23" s="13"/>
      <c r="O23" s="13"/>
      <c r="P23" s="13"/>
      <c r="Q23" s="13"/>
      <c r="R23" s="13"/>
      <c r="S23" s="13"/>
      <c r="T23" s="501">
        <v>47.39</v>
      </c>
      <c r="U23" s="502"/>
      <c r="V23" s="503"/>
      <c r="W23" s="348"/>
      <c r="X23" s="349"/>
      <c r="Y23" s="350"/>
      <c r="Z23" s="501">
        <v>135.38</v>
      </c>
      <c r="AA23" s="502"/>
      <c r="AB23" s="503"/>
      <c r="AC23" s="498"/>
      <c r="AD23" s="499"/>
      <c r="AE23" s="500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33" t="s">
        <v>302</v>
      </c>
      <c r="AR23" s="534"/>
      <c r="AS23" s="534"/>
      <c r="AT23" s="535"/>
      <c r="AU23" s="9"/>
      <c r="AV23" s="9"/>
      <c r="AW23" s="9"/>
      <c r="AX23" s="9"/>
    </row>
    <row r="24" spans="1:50" ht="14.7" thickBot="1" x14ac:dyDescent="0.6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1">
        <v>40</v>
      </c>
      <c r="U24" s="502"/>
      <c r="V24" s="503"/>
      <c r="W24" s="345"/>
      <c r="X24" s="346"/>
      <c r="Y24" s="347"/>
      <c r="Z24" s="501">
        <v>40</v>
      </c>
      <c r="AA24" s="502"/>
      <c r="AB24" s="503"/>
      <c r="AC24" s="498"/>
      <c r="AD24" s="499"/>
      <c r="AE24" s="500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36" t="s">
        <v>332</v>
      </c>
      <c r="AR24" s="537"/>
      <c r="AS24" s="237">
        <v>1</v>
      </c>
      <c r="AT24" s="237">
        <v>2</v>
      </c>
      <c r="AU24" s="9"/>
      <c r="AV24" s="9"/>
      <c r="AW24" s="9"/>
      <c r="AX24" s="9"/>
    </row>
    <row r="25" spans="1:50" x14ac:dyDescent="0.55000000000000004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8"/>
      <c r="U25" s="349"/>
      <c r="V25" s="350"/>
      <c r="W25" s="348"/>
      <c r="X25" s="349"/>
      <c r="Y25" s="350"/>
      <c r="Z25" s="348"/>
      <c r="AA25" s="349"/>
      <c r="AB25" s="350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56" t="s">
        <v>303</v>
      </c>
      <c r="AR25" s="557"/>
      <c r="AS25" s="373">
        <v>0.66778330549861065</v>
      </c>
      <c r="AT25" s="228">
        <v>0.54305286133410002</v>
      </c>
      <c r="AU25" s="9"/>
      <c r="AV25" s="9"/>
      <c r="AW25" s="9"/>
      <c r="AX25" s="9"/>
    </row>
    <row r="26" spans="1:50" x14ac:dyDescent="0.55000000000000004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8"/>
      <c r="U26" s="349"/>
      <c r="V26" s="350"/>
      <c r="W26" s="348"/>
      <c r="X26" s="349"/>
      <c r="Y26" s="350"/>
      <c r="Z26" s="348"/>
      <c r="AA26" s="349"/>
      <c r="AB26" s="350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47" t="s">
        <v>304</v>
      </c>
      <c r="AR26" s="548"/>
      <c r="AS26" s="388">
        <v>9139663.8739746697</v>
      </c>
      <c r="AT26" s="240">
        <v>11622415.074324053</v>
      </c>
      <c r="AU26" s="47"/>
      <c r="AV26" s="47"/>
      <c r="AW26" s="9"/>
      <c r="AX26" s="9"/>
    </row>
    <row r="27" spans="1:50" ht="14.7" thickBot="1" x14ac:dyDescent="0.6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8"/>
      <c r="U27" s="349"/>
      <c r="V27" s="350"/>
      <c r="W27" s="348"/>
      <c r="X27" s="349"/>
      <c r="Y27" s="350"/>
      <c r="Z27" s="348"/>
      <c r="AA27" s="349"/>
      <c r="AB27" s="350"/>
      <c r="AC27" s="553"/>
      <c r="AD27" s="554"/>
      <c r="AE27" s="555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58" t="s">
        <v>305</v>
      </c>
      <c r="AR27" s="559"/>
      <c r="AS27" s="377">
        <v>0.45525027680219299</v>
      </c>
      <c r="AT27" s="378">
        <v>1.2874806542742305</v>
      </c>
      <c r="AU27" s="47"/>
      <c r="AV27" s="47"/>
      <c r="AW27" s="9"/>
      <c r="AX27" s="9"/>
    </row>
    <row r="28" spans="1:50" x14ac:dyDescent="0.55000000000000004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8"/>
      <c r="U28" s="349"/>
      <c r="V28" s="350"/>
      <c r="W28" s="538"/>
      <c r="X28" s="539"/>
      <c r="Y28" s="540"/>
      <c r="Z28" s="348"/>
      <c r="AA28" s="349"/>
      <c r="AB28" s="350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49" t="s">
        <v>395</v>
      </c>
      <c r="AQ28" s="569" t="s">
        <v>391</v>
      </c>
      <c r="AR28" s="570"/>
      <c r="AS28" s="382">
        <v>121427.15807189319</v>
      </c>
      <c r="AT28" s="379">
        <v>59126.460727555015</v>
      </c>
      <c r="AU28" s="47" t="s">
        <v>397</v>
      </c>
      <c r="AV28" s="47"/>
      <c r="AW28" s="9"/>
      <c r="AX28" s="9"/>
    </row>
    <row r="29" spans="1:50" x14ac:dyDescent="0.55000000000000004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95">
        <v>2283</v>
      </c>
      <c r="U29" s="496"/>
      <c r="V29" s="497"/>
      <c r="W29" s="526"/>
      <c r="X29" s="527"/>
      <c r="Y29" s="528"/>
      <c r="Z29" s="495">
        <v>726</v>
      </c>
      <c r="AA29" s="496"/>
      <c r="AB29" s="497"/>
      <c r="AC29" s="498"/>
      <c r="AD29" s="499"/>
      <c r="AE29" s="500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50"/>
      <c r="AQ29" s="541" t="s">
        <v>392</v>
      </c>
      <c r="AR29" s="542"/>
      <c r="AS29" s="383">
        <v>125.25532024361189</v>
      </c>
      <c r="AT29" s="380">
        <v>86.478477421859509</v>
      </c>
      <c r="AU29" s="47" t="s">
        <v>143</v>
      </c>
      <c r="AV29" s="47"/>
      <c r="AW29" s="9"/>
      <c r="AX29" s="9"/>
    </row>
    <row r="30" spans="1:50" ht="14.7" thickBot="1" x14ac:dyDescent="0.6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45"/>
      <c r="U30" s="346"/>
      <c r="V30" s="347"/>
      <c r="W30" s="538"/>
      <c r="X30" s="539"/>
      <c r="Y30" s="540"/>
      <c r="Z30" s="345"/>
      <c r="AA30" s="346"/>
      <c r="AB30" s="347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51"/>
      <c r="AQ30" s="543" t="s">
        <v>393</v>
      </c>
      <c r="AR30" s="544"/>
      <c r="AS30" s="384">
        <v>4266.8750088081824</v>
      </c>
      <c r="AT30" s="381">
        <v>2563.8654239903944</v>
      </c>
      <c r="AU30" s="47" t="s">
        <v>307</v>
      </c>
      <c r="AV30" s="47"/>
      <c r="AW30" s="9"/>
      <c r="AX30" s="9"/>
    </row>
    <row r="31" spans="1:50" x14ac:dyDescent="0.55000000000000004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1">
        <v>136.27000000000001</v>
      </c>
      <c r="U31" s="502"/>
      <c r="V31" s="503"/>
      <c r="W31" s="538"/>
      <c r="X31" s="539"/>
      <c r="Y31" s="540"/>
      <c r="Z31" s="501">
        <v>250.44</v>
      </c>
      <c r="AA31" s="502"/>
      <c r="AB31" s="503"/>
      <c r="AC31" s="498"/>
      <c r="AD31" s="499"/>
      <c r="AE31" s="500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49" t="s">
        <v>396</v>
      </c>
      <c r="AQ31" s="545" t="s">
        <v>391</v>
      </c>
      <c r="AR31" s="546"/>
      <c r="AS31" s="386">
        <v>121022.01026385109</v>
      </c>
      <c r="AT31" s="387">
        <v>59158.889547599094</v>
      </c>
      <c r="AU31" s="47" t="s">
        <v>397</v>
      </c>
      <c r="AV31" s="47"/>
      <c r="AW31" s="9"/>
      <c r="AX31" s="9"/>
    </row>
    <row r="32" spans="1:50" x14ac:dyDescent="0.55000000000000004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1">
        <v>123.7</v>
      </c>
      <c r="U32" s="502"/>
      <c r="V32" s="503"/>
      <c r="W32" s="538"/>
      <c r="X32" s="539"/>
      <c r="Y32" s="540"/>
      <c r="Z32" s="501">
        <v>86.7</v>
      </c>
      <c r="AA32" s="502"/>
      <c r="AB32" s="503"/>
      <c r="AC32" s="498"/>
      <c r="AD32" s="499"/>
      <c r="AE32" s="500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50"/>
      <c r="AQ32" s="547" t="s">
        <v>306</v>
      </c>
      <c r="AR32" s="548"/>
      <c r="AS32" s="374">
        <v>0.87289124204804258</v>
      </c>
      <c r="AT32" s="226">
        <v>0.68286615224727287</v>
      </c>
      <c r="AU32" s="47"/>
      <c r="AV32" s="47"/>
      <c r="AW32" s="9"/>
      <c r="AX32" s="9"/>
    </row>
    <row r="33" spans="1:50" ht="14.7" thickBot="1" x14ac:dyDescent="0.6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8"/>
      <c r="U33" s="349"/>
      <c r="V33" s="349"/>
      <c r="W33" s="348"/>
      <c r="X33" s="349"/>
      <c r="Y33" s="349"/>
      <c r="Z33" s="348"/>
      <c r="AA33" s="349"/>
      <c r="AB33" s="349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51"/>
      <c r="AQ33" s="564" t="s">
        <v>394</v>
      </c>
      <c r="AR33" s="565"/>
      <c r="AS33" s="385">
        <v>4136.2426370556268</v>
      </c>
      <c r="AT33" s="227">
        <v>2584.557553036077</v>
      </c>
      <c r="AU33" s="9" t="s">
        <v>307</v>
      </c>
      <c r="AV33" s="47"/>
      <c r="AW33" s="9"/>
      <c r="AX33" s="9"/>
    </row>
    <row r="34" spans="1:50" ht="14.7" thickBot="1" x14ac:dyDescent="0.6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8"/>
      <c r="U34" s="349"/>
      <c r="V34" s="349"/>
      <c r="W34" s="348"/>
      <c r="X34" s="349"/>
      <c r="Y34" s="349"/>
      <c r="Z34" s="348"/>
      <c r="AA34" s="349"/>
      <c r="AB34" s="349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62" t="s">
        <v>339</v>
      </c>
      <c r="AR34" s="563"/>
      <c r="AS34" s="375">
        <v>2279.5447707514209</v>
      </c>
      <c r="AT34" s="227">
        <v>637.38015831667099</v>
      </c>
      <c r="AU34" s="47" t="s">
        <v>309</v>
      </c>
      <c r="AV34" s="47"/>
      <c r="AW34" s="9"/>
      <c r="AX34" s="9"/>
    </row>
    <row r="35" spans="1:50" ht="14.7" thickBot="1" x14ac:dyDescent="0.6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1">
        <v>4785.7</v>
      </c>
      <c r="U35" s="502"/>
      <c r="V35" s="503"/>
      <c r="W35" s="349"/>
      <c r="X35" s="349"/>
      <c r="Y35" s="349"/>
      <c r="Z35" s="501">
        <v>2856.5</v>
      </c>
      <c r="AA35" s="502"/>
      <c r="AB35" s="503"/>
      <c r="AC35" s="498"/>
      <c r="AD35" s="499"/>
      <c r="AE35" s="500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62" t="s">
        <v>340</v>
      </c>
      <c r="AR35" s="563"/>
      <c r="AS35" s="376"/>
      <c r="AT35" s="227">
        <v>1.0595085461750955</v>
      </c>
      <c r="AU35" s="47" t="s">
        <v>143</v>
      </c>
      <c r="AV35" s="47"/>
      <c r="AW35" s="9"/>
      <c r="AX35" s="9"/>
    </row>
    <row r="36" spans="1:50" x14ac:dyDescent="0.55000000000000004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1"/>
      <c r="U36" s="502"/>
      <c r="V36" s="503"/>
      <c r="W36" s="349"/>
      <c r="X36" s="349"/>
      <c r="Y36" s="349"/>
      <c r="Z36" s="501"/>
      <c r="AA36" s="502"/>
      <c r="AB36" s="503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52"/>
      <c r="AR36" s="552"/>
      <c r="AS36" s="47"/>
      <c r="AT36" s="9"/>
      <c r="AU36" s="9"/>
      <c r="AV36" s="9"/>
      <c r="AW36" s="9"/>
      <c r="AX36" s="9"/>
    </row>
    <row r="37" spans="1:50" x14ac:dyDescent="0.55000000000000004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51"/>
      <c r="U37" s="352"/>
      <c r="V37" s="352"/>
      <c r="W37" s="352"/>
      <c r="X37" s="352"/>
      <c r="Y37" s="352"/>
      <c r="Z37" s="352"/>
      <c r="AA37" s="352"/>
      <c r="AB37" s="353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4.7" thickBot="1" x14ac:dyDescent="0.6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1">
        <v>12360</v>
      </c>
      <c r="U38" s="502"/>
      <c r="V38" s="502"/>
      <c r="W38" s="502"/>
      <c r="X38" s="502"/>
      <c r="Y38" s="502"/>
      <c r="Z38" s="502"/>
      <c r="AA38" s="502"/>
      <c r="AB38" s="503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55000000000000004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54"/>
      <c r="U39" s="355"/>
      <c r="V39" s="356"/>
      <c r="W39" s="349"/>
      <c r="X39" s="349"/>
      <c r="Y39" s="349"/>
      <c r="Z39" s="357"/>
      <c r="AA39" s="357"/>
      <c r="AB39" s="358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76" t="s">
        <v>384</v>
      </c>
      <c r="AQ39" s="577"/>
      <c r="AR39" s="577"/>
      <c r="AS39" s="578"/>
      <c r="AT39" s="573" t="s">
        <v>380</v>
      </c>
      <c r="AU39" s="9"/>
      <c r="AV39" s="9"/>
      <c r="AW39" s="9"/>
      <c r="AX39" s="9"/>
    </row>
    <row r="40" spans="1:50" ht="14.7" thickBot="1" x14ac:dyDescent="0.6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1">
        <v>121514</v>
      </c>
      <c r="U40" s="502"/>
      <c r="V40" s="503"/>
      <c r="W40" s="349"/>
      <c r="X40" s="349"/>
      <c r="Y40" s="349"/>
      <c r="Z40" s="501">
        <v>61645</v>
      </c>
      <c r="AA40" s="502"/>
      <c r="AB40" s="503"/>
      <c r="AC40" s="498"/>
      <c r="AD40" s="499"/>
      <c r="AE40" s="500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7" t="s">
        <v>378</v>
      </c>
      <c r="AQ40" s="579" t="s">
        <v>381</v>
      </c>
      <c r="AR40" s="579"/>
      <c r="AS40" s="328" t="s">
        <v>382</v>
      </c>
      <c r="AT40" s="573"/>
      <c r="AU40" s="9"/>
      <c r="AV40" s="9"/>
      <c r="AW40" s="9"/>
      <c r="AX40" s="9"/>
    </row>
    <row r="41" spans="1:50" x14ac:dyDescent="0.55000000000000004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66">
        <v>0.84899999999999998</v>
      </c>
      <c r="U41" s="567"/>
      <c r="V41" s="568"/>
      <c r="W41" s="349"/>
      <c r="X41" s="349"/>
      <c r="Y41" s="349"/>
      <c r="Z41" s="566">
        <v>0.68799999999999994</v>
      </c>
      <c r="AA41" s="567"/>
      <c r="AB41" s="568"/>
      <c r="AC41" s="498"/>
      <c r="AD41" s="499"/>
      <c r="AE41" s="500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9" t="s">
        <v>309</v>
      </c>
      <c r="AQ41" s="580" t="s">
        <v>383</v>
      </c>
      <c r="AR41" s="580"/>
      <c r="AS41" s="330" t="s">
        <v>65</v>
      </c>
      <c r="AT41" s="573"/>
      <c r="AU41" s="9"/>
      <c r="AV41" s="9"/>
      <c r="AW41" s="9"/>
      <c r="AX41" s="9"/>
    </row>
    <row r="42" spans="1:50" x14ac:dyDescent="0.55000000000000004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9"/>
      <c r="U42" s="360"/>
      <c r="V42" s="361"/>
      <c r="W42" s="360"/>
      <c r="X42" s="360"/>
      <c r="Y42" s="361"/>
      <c r="Z42" s="360"/>
      <c r="AA42" s="360"/>
      <c r="AB42" s="361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31">
        <v>1815.02</v>
      </c>
      <c r="AQ42" s="560">
        <v>126.923</v>
      </c>
      <c r="AR42" s="560"/>
      <c r="AS42" s="332">
        <v>0.84870000000000001</v>
      </c>
      <c r="AT42" s="573"/>
      <c r="AU42" s="9"/>
      <c r="AV42" s="9"/>
      <c r="AW42" s="9"/>
      <c r="AX42" s="9"/>
    </row>
    <row r="43" spans="1:50" x14ac:dyDescent="0.55000000000000004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62"/>
      <c r="U43" s="363"/>
      <c r="V43" s="363"/>
      <c r="W43" s="363"/>
      <c r="X43" s="363"/>
      <c r="Y43" s="364"/>
      <c r="Z43" s="362"/>
      <c r="AA43" s="363"/>
      <c r="AB43" s="363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31">
        <v>2068.0100000000002</v>
      </c>
      <c r="AQ43" s="560">
        <v>124.61799999999999</v>
      </c>
      <c r="AR43" s="560"/>
      <c r="AS43" s="332">
        <v>0.85</v>
      </c>
      <c r="AT43" s="573"/>
      <c r="AU43" s="9"/>
      <c r="AV43" s="9"/>
      <c r="AW43" s="9"/>
      <c r="AX43" s="9"/>
    </row>
    <row r="44" spans="1:50" x14ac:dyDescent="0.55000000000000004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42"/>
      <c r="U44" s="343"/>
      <c r="V44" s="344"/>
      <c r="W44" s="343"/>
      <c r="X44" s="343"/>
      <c r="Y44" s="344"/>
      <c r="Z44" s="343"/>
      <c r="AA44" s="343"/>
      <c r="AB44" s="344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31">
        <v>2525.88</v>
      </c>
      <c r="AQ44" s="581">
        <v>117.35899999999999</v>
      </c>
      <c r="AR44" s="582"/>
      <c r="AS44" s="332">
        <v>0.84399999999999997</v>
      </c>
      <c r="AT44" s="573"/>
      <c r="AU44" s="9"/>
      <c r="AV44" s="9"/>
      <c r="AW44" s="9"/>
      <c r="AX44" s="9"/>
    </row>
    <row r="45" spans="1:50" x14ac:dyDescent="0.55000000000000004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31">
        <v>2791.42</v>
      </c>
      <c r="AQ45" s="581">
        <v>111.875</v>
      </c>
      <c r="AR45" s="582"/>
      <c r="AS45" s="332">
        <v>0.83499999999999996</v>
      </c>
      <c r="AT45" s="573"/>
      <c r="AU45" s="9"/>
      <c r="AV45" s="9"/>
      <c r="AW45" s="9"/>
      <c r="AX45" s="9"/>
    </row>
    <row r="46" spans="1:50" x14ac:dyDescent="0.55000000000000004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31">
        <v>3261.77</v>
      </c>
      <c r="AQ46" s="560">
        <v>83.275999999999996</v>
      </c>
      <c r="AR46" s="560"/>
      <c r="AS46" s="332">
        <v>0.69499999999999995</v>
      </c>
      <c r="AT46" s="573"/>
      <c r="AU46" s="9"/>
      <c r="AV46" s="9"/>
      <c r="AW46" s="9"/>
      <c r="AX46" s="9"/>
    </row>
    <row r="47" spans="1:50" x14ac:dyDescent="0.55000000000000004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31"/>
      <c r="AQ47" s="560"/>
      <c r="AR47" s="560"/>
      <c r="AS47" s="332"/>
      <c r="AT47" s="573"/>
      <c r="AU47" s="9"/>
      <c r="AV47" s="9"/>
      <c r="AW47" s="9"/>
      <c r="AX47" s="9"/>
    </row>
    <row r="48" spans="1:50" x14ac:dyDescent="0.55000000000000004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31"/>
      <c r="AQ48" s="560"/>
      <c r="AR48" s="560"/>
      <c r="AS48" s="332"/>
      <c r="AT48" s="573"/>
      <c r="AU48" s="9"/>
      <c r="AV48" s="9"/>
      <c r="AW48" s="9"/>
      <c r="AX48" s="9"/>
    </row>
    <row r="49" spans="1:50" ht="14.7" thickBot="1" x14ac:dyDescent="0.6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3"/>
      <c r="AQ49" s="561"/>
      <c r="AR49" s="561"/>
      <c r="AS49" s="334"/>
      <c r="AT49" s="573"/>
      <c r="AU49" s="9"/>
      <c r="AV49" s="9"/>
      <c r="AW49" s="9"/>
      <c r="AX49" s="9"/>
    </row>
    <row r="50" spans="1:50" x14ac:dyDescent="0.55000000000000004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76" t="s">
        <v>385</v>
      </c>
      <c r="AQ50" s="577"/>
      <c r="AR50" s="577"/>
      <c r="AS50" s="578"/>
      <c r="AT50" s="573"/>
      <c r="AU50" s="9"/>
      <c r="AV50" s="9"/>
      <c r="AW50" s="9"/>
      <c r="AX50" s="9"/>
    </row>
    <row r="51" spans="1:50" ht="14.7" thickBot="1" x14ac:dyDescent="0.6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7" t="s">
        <v>378</v>
      </c>
      <c r="AQ51" s="579" t="s">
        <v>381</v>
      </c>
      <c r="AR51" s="579"/>
      <c r="AS51" s="328" t="s">
        <v>382</v>
      </c>
      <c r="AT51" s="573"/>
      <c r="AU51" s="9"/>
      <c r="AV51" s="9"/>
      <c r="AW51" s="9"/>
      <c r="AX51" s="9"/>
    </row>
    <row r="52" spans="1:50" x14ac:dyDescent="0.55000000000000004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9" t="s">
        <v>309</v>
      </c>
      <c r="AQ52" s="580" t="s">
        <v>383</v>
      </c>
      <c r="AR52" s="580"/>
      <c r="AS52" s="330" t="s">
        <v>65</v>
      </c>
      <c r="AT52" s="573"/>
      <c r="AU52" s="9"/>
      <c r="AV52" s="9"/>
      <c r="AW52" s="9"/>
      <c r="AX52" s="9"/>
    </row>
    <row r="53" spans="1:50" x14ac:dyDescent="0.55000000000000004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31">
        <v>572.15899999999999</v>
      </c>
      <c r="AQ53" s="581">
        <v>65.540000000000006</v>
      </c>
      <c r="AR53" s="582"/>
      <c r="AS53" s="332">
        <v>0.66700000000000004</v>
      </c>
      <c r="AT53" s="573"/>
      <c r="AU53" s="9"/>
      <c r="AV53" s="9"/>
      <c r="AW53" s="9"/>
      <c r="AX53" s="9"/>
    </row>
    <row r="54" spans="1:50" x14ac:dyDescent="0.55000000000000004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31">
        <v>860.31</v>
      </c>
      <c r="AQ54" s="581">
        <v>57.46</v>
      </c>
      <c r="AR54" s="582"/>
      <c r="AS54" s="332">
        <v>0.69399999999999995</v>
      </c>
      <c r="AT54" s="573"/>
      <c r="AU54" s="9"/>
      <c r="AV54" s="9"/>
      <c r="AW54" s="9"/>
      <c r="AX54" s="9"/>
    </row>
    <row r="55" spans="1:50" x14ac:dyDescent="0.55000000000000004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31">
        <v>1076.47</v>
      </c>
      <c r="AQ55" s="581">
        <v>46.11</v>
      </c>
      <c r="AR55" s="582"/>
      <c r="AS55" s="332">
        <v>0.65600000000000003</v>
      </c>
      <c r="AT55" s="573"/>
      <c r="AU55" s="9"/>
      <c r="AV55" s="9"/>
      <c r="AW55" s="9"/>
      <c r="AX55" s="9"/>
    </row>
    <row r="56" spans="1:50" x14ac:dyDescent="0.55000000000000004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31">
        <v>1132.1099999999999</v>
      </c>
      <c r="AQ56" s="581">
        <v>32.450000000000003</v>
      </c>
      <c r="AR56" s="582"/>
      <c r="AS56" s="332">
        <v>0.499</v>
      </c>
      <c r="AT56" s="573"/>
      <c r="AU56" s="9"/>
      <c r="AV56" s="9"/>
      <c r="AW56" s="9"/>
      <c r="AX56" s="9"/>
    </row>
    <row r="57" spans="1:50" x14ac:dyDescent="0.55000000000000004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31"/>
      <c r="AQ57" s="581"/>
      <c r="AR57" s="582"/>
      <c r="AS57" s="332"/>
      <c r="AT57" s="573"/>
      <c r="AU57" s="9"/>
      <c r="AV57" s="9"/>
      <c r="AW57" s="9"/>
      <c r="AX57" s="9"/>
    </row>
    <row r="58" spans="1:50" x14ac:dyDescent="0.55000000000000004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31"/>
      <c r="AQ58" s="560"/>
      <c r="AR58" s="560"/>
      <c r="AS58" s="332"/>
      <c r="AT58" s="573"/>
      <c r="AU58" s="9"/>
      <c r="AV58" s="9"/>
      <c r="AW58" s="9"/>
      <c r="AX58" s="9"/>
    </row>
    <row r="59" spans="1:50" x14ac:dyDescent="0.55000000000000004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31"/>
      <c r="AQ59" s="560"/>
      <c r="AR59" s="560"/>
      <c r="AS59" s="332"/>
      <c r="AT59" s="573"/>
      <c r="AU59" s="9"/>
      <c r="AV59" s="9"/>
      <c r="AW59" s="9"/>
      <c r="AX59" s="9"/>
    </row>
    <row r="60" spans="1:50" ht="20.399999999999999" thickBot="1" x14ac:dyDescent="0.7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3"/>
      <c r="AQ60" s="561"/>
      <c r="AR60" s="561"/>
      <c r="AS60" s="334"/>
      <c r="AT60" s="573"/>
      <c r="AU60" s="9"/>
      <c r="AV60" s="9"/>
      <c r="AW60" s="9"/>
      <c r="AX60" s="9"/>
    </row>
    <row r="61" spans="1:50" x14ac:dyDescent="0.55000000000000004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12">
        <v>0</v>
      </c>
      <c r="X61" s="512"/>
      <c r="Y61" s="512"/>
      <c r="Z61" s="512"/>
      <c r="AA61" s="512"/>
      <c r="AB61" s="73" t="s">
        <v>2</v>
      </c>
      <c r="AC61" s="73"/>
      <c r="AD61" s="73"/>
      <c r="AE61" s="512" t="s">
        <v>82</v>
      </c>
      <c r="AF61" s="512"/>
      <c r="AG61" s="512"/>
      <c r="AH61" s="512"/>
      <c r="AI61" s="512"/>
      <c r="AJ61" s="512"/>
      <c r="AK61" s="512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13" t="s">
        <v>82</v>
      </c>
      <c r="Y62" s="513"/>
      <c r="Z62" s="513"/>
      <c r="AA62" s="513"/>
      <c r="AB62" s="78" t="s">
        <v>7</v>
      </c>
      <c r="AC62" s="78"/>
      <c r="AD62" s="512" t="s">
        <v>82</v>
      </c>
      <c r="AE62" s="512"/>
      <c r="AF62" s="512"/>
      <c r="AG62" s="512"/>
      <c r="AH62" s="512"/>
      <c r="AI62" s="512"/>
      <c r="AJ62" s="512"/>
      <c r="AK62" s="512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14" t="s">
        <v>87</v>
      </c>
      <c r="L66" s="515"/>
      <c r="M66" s="515"/>
      <c r="N66" s="515"/>
      <c r="O66" s="515"/>
      <c r="P66" s="515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472" t="s">
        <v>35</v>
      </c>
      <c r="L67" s="473"/>
      <c r="M67" s="474"/>
      <c r="N67" s="472"/>
      <c r="O67" s="473"/>
      <c r="P67" s="474"/>
      <c r="Q67" s="472" t="s">
        <v>341</v>
      </c>
      <c r="R67" s="473"/>
      <c r="S67" s="473"/>
      <c r="T67" s="474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04" t="s">
        <v>93</v>
      </c>
      <c r="AE67" s="505"/>
      <c r="AF67" s="505"/>
      <c r="AG67" s="505"/>
      <c r="AH67" s="505"/>
      <c r="AI67" s="505"/>
      <c r="AJ67" s="505"/>
      <c r="AK67" s="505"/>
      <c r="AL67" s="50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45"/>
      <c r="AP68" s="445"/>
      <c r="AQ68" s="445"/>
      <c r="AR68" s="445"/>
      <c r="AS68" s="445"/>
      <c r="AT68" s="445"/>
      <c r="AU68" s="445"/>
      <c r="AV68" s="445"/>
      <c r="AW68" s="9"/>
      <c r="AX68" s="9"/>
    </row>
    <row r="69" spans="1:50" x14ac:dyDescent="0.55000000000000004">
      <c r="A69" s="87">
        <f t="shared" si="1"/>
        <v>5</v>
      </c>
      <c r="B69" s="475" t="s">
        <v>493</v>
      </c>
      <c r="C69" s="476" t="s">
        <v>493</v>
      </c>
      <c r="D69" s="476" t="s">
        <v>493</v>
      </c>
      <c r="E69" s="476" t="s">
        <v>493</v>
      </c>
      <c r="F69" s="476" t="s">
        <v>493</v>
      </c>
      <c r="G69" s="477" t="s">
        <v>493</v>
      </c>
      <c r="H69" s="202"/>
      <c r="I69" s="203"/>
      <c r="J69" s="198"/>
      <c r="K69" s="481">
        <v>0.73660000000000003</v>
      </c>
      <c r="L69" s="482"/>
      <c r="M69" s="483"/>
      <c r="N69" s="98"/>
      <c r="O69" s="99"/>
      <c r="P69" s="99"/>
      <c r="Q69" s="481">
        <v>0.73660000000000003</v>
      </c>
      <c r="R69" s="482"/>
      <c r="S69" s="482"/>
      <c r="T69" s="483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45"/>
      <c r="AP69" s="445"/>
      <c r="AQ69" s="445"/>
      <c r="AR69" s="445"/>
      <c r="AS69" s="445"/>
      <c r="AT69" s="445"/>
      <c r="AU69" s="445"/>
      <c r="AV69" s="445"/>
      <c r="AW69" s="461"/>
      <c r="AX69" s="461"/>
    </row>
    <row r="70" spans="1:50" x14ac:dyDescent="0.55000000000000004">
      <c r="A70" s="87">
        <f t="shared" si="1"/>
        <v>6</v>
      </c>
      <c r="B70" s="475" t="s">
        <v>95</v>
      </c>
      <c r="C70" s="476" t="s">
        <v>493</v>
      </c>
      <c r="D70" s="476" t="s">
        <v>493</v>
      </c>
      <c r="E70" s="476" t="s">
        <v>493</v>
      </c>
      <c r="F70" s="476" t="s">
        <v>493</v>
      </c>
      <c r="G70" s="477" t="s">
        <v>493</v>
      </c>
      <c r="H70" s="202"/>
      <c r="I70" s="203"/>
      <c r="J70" s="198"/>
      <c r="K70" s="481">
        <v>0.11527</v>
      </c>
      <c r="L70" s="482"/>
      <c r="M70" s="483"/>
      <c r="N70" s="98"/>
      <c r="O70" s="99"/>
      <c r="P70" s="99"/>
      <c r="Q70" s="481">
        <v>0.11527</v>
      </c>
      <c r="R70" s="482"/>
      <c r="S70" s="482"/>
      <c r="T70" s="483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45"/>
      <c r="AP70" s="445"/>
      <c r="AQ70" s="445"/>
      <c r="AR70" s="445"/>
      <c r="AS70" s="445"/>
      <c r="AT70" s="445"/>
      <c r="AU70" s="445"/>
      <c r="AV70" s="445"/>
      <c r="AW70" s="461"/>
      <c r="AX70" s="461"/>
    </row>
    <row r="71" spans="1:50" x14ac:dyDescent="0.55000000000000004">
      <c r="A71" s="87">
        <f t="shared" si="1"/>
        <v>7</v>
      </c>
      <c r="B71" s="475" t="s">
        <v>494</v>
      </c>
      <c r="C71" s="476" t="s">
        <v>493</v>
      </c>
      <c r="D71" s="476" t="s">
        <v>493</v>
      </c>
      <c r="E71" s="476" t="s">
        <v>493</v>
      </c>
      <c r="F71" s="476" t="s">
        <v>493</v>
      </c>
      <c r="G71" s="477" t="s">
        <v>493</v>
      </c>
      <c r="H71" s="202"/>
      <c r="I71" s="203"/>
      <c r="J71" s="198"/>
      <c r="K71" s="481">
        <v>0</v>
      </c>
      <c r="L71" s="482"/>
      <c r="M71" s="483"/>
      <c r="N71" s="100"/>
      <c r="O71" s="99"/>
      <c r="P71" s="101"/>
      <c r="Q71" s="481">
        <v>0</v>
      </c>
      <c r="R71" s="482"/>
      <c r="S71" s="482"/>
      <c r="T71" s="483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45"/>
      <c r="AP71" s="445"/>
      <c r="AQ71" s="445"/>
      <c r="AR71" s="445"/>
      <c r="AS71" s="445"/>
      <c r="AT71" s="445"/>
      <c r="AU71" s="445"/>
      <c r="AV71" s="445"/>
      <c r="AW71" s="461"/>
      <c r="AX71" s="461"/>
    </row>
    <row r="72" spans="1:50" x14ac:dyDescent="0.55000000000000004">
      <c r="A72" s="87">
        <f t="shared" si="1"/>
        <v>8</v>
      </c>
      <c r="B72" s="475" t="s">
        <v>96</v>
      </c>
      <c r="C72" s="476" t="s">
        <v>493</v>
      </c>
      <c r="D72" s="476" t="s">
        <v>493</v>
      </c>
      <c r="E72" s="476" t="s">
        <v>493</v>
      </c>
      <c r="F72" s="476" t="s">
        <v>493</v>
      </c>
      <c r="G72" s="477" t="s">
        <v>493</v>
      </c>
      <c r="H72" s="202"/>
      <c r="I72" s="203"/>
      <c r="J72" s="198"/>
      <c r="K72" s="481">
        <v>7.3779999999999998E-2</v>
      </c>
      <c r="L72" s="482"/>
      <c r="M72" s="483"/>
      <c r="N72" s="100"/>
      <c r="O72" s="99"/>
      <c r="P72" s="101"/>
      <c r="Q72" s="481">
        <v>7.3779999999999998E-2</v>
      </c>
      <c r="R72" s="482"/>
      <c r="S72" s="482"/>
      <c r="T72" s="483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45"/>
      <c r="AP72" s="445"/>
      <c r="AQ72" s="445"/>
      <c r="AR72" s="445"/>
      <c r="AS72" s="445"/>
      <c r="AT72" s="445"/>
      <c r="AU72" s="445"/>
      <c r="AV72" s="445"/>
      <c r="AW72" s="461"/>
      <c r="AX72" s="461"/>
    </row>
    <row r="73" spans="1:50" x14ac:dyDescent="0.55000000000000004">
      <c r="A73" s="87">
        <f t="shared" si="1"/>
        <v>9</v>
      </c>
      <c r="B73" s="475" t="s">
        <v>495</v>
      </c>
      <c r="C73" s="476" t="s">
        <v>493</v>
      </c>
      <c r="D73" s="476" t="s">
        <v>493</v>
      </c>
      <c r="E73" s="476" t="s">
        <v>493</v>
      </c>
      <c r="F73" s="476" t="s">
        <v>493</v>
      </c>
      <c r="G73" s="477" t="s">
        <v>493</v>
      </c>
      <c r="H73" s="202"/>
      <c r="I73" s="203"/>
      <c r="J73" s="198"/>
      <c r="K73" s="481">
        <v>0</v>
      </c>
      <c r="L73" s="482"/>
      <c r="M73" s="483"/>
      <c r="N73" s="100"/>
      <c r="O73" s="99"/>
      <c r="P73" s="101"/>
      <c r="Q73" s="481">
        <v>0</v>
      </c>
      <c r="R73" s="482"/>
      <c r="S73" s="482"/>
      <c r="T73" s="483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45"/>
      <c r="AP73" s="445"/>
      <c r="AQ73" s="445"/>
      <c r="AR73" s="445"/>
      <c r="AS73" s="445"/>
      <c r="AT73" s="445"/>
      <c r="AU73" s="445"/>
      <c r="AV73" s="445"/>
      <c r="AW73" s="461"/>
      <c r="AX73" s="461"/>
    </row>
    <row r="74" spans="1:50" x14ac:dyDescent="0.55000000000000004">
      <c r="A74" s="87">
        <f t="shared" si="1"/>
        <v>10</v>
      </c>
      <c r="B74" s="475" t="s">
        <v>98</v>
      </c>
      <c r="C74" s="476" t="s">
        <v>493</v>
      </c>
      <c r="D74" s="476" t="s">
        <v>493</v>
      </c>
      <c r="E74" s="476" t="s">
        <v>493</v>
      </c>
      <c r="F74" s="476" t="s">
        <v>493</v>
      </c>
      <c r="G74" s="477" t="s">
        <v>493</v>
      </c>
      <c r="H74" s="202"/>
      <c r="I74" s="203"/>
      <c r="J74" s="198"/>
      <c r="K74" s="481">
        <v>1.0999999999999999E-2</v>
      </c>
      <c r="L74" s="482"/>
      <c r="M74" s="483"/>
      <c r="N74" s="100"/>
      <c r="O74" s="99"/>
      <c r="P74" s="101"/>
      <c r="Q74" s="481">
        <v>1.0999999999999999E-2</v>
      </c>
      <c r="R74" s="482"/>
      <c r="S74" s="482"/>
      <c r="T74" s="483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45"/>
      <c r="AP74" s="445"/>
      <c r="AQ74" s="445"/>
      <c r="AR74" s="445"/>
      <c r="AS74" s="445"/>
      <c r="AT74" s="445"/>
      <c r="AU74" s="445"/>
      <c r="AV74" s="445"/>
      <c r="AW74" s="461"/>
      <c r="AX74" s="461"/>
    </row>
    <row r="75" spans="1:50" x14ac:dyDescent="0.55000000000000004">
      <c r="A75" s="87">
        <f t="shared" si="1"/>
        <v>11</v>
      </c>
      <c r="B75" s="475" t="s">
        <v>97</v>
      </c>
      <c r="C75" s="476" t="s">
        <v>493</v>
      </c>
      <c r="D75" s="476" t="s">
        <v>493</v>
      </c>
      <c r="E75" s="476" t="s">
        <v>493</v>
      </c>
      <c r="F75" s="476" t="s">
        <v>493</v>
      </c>
      <c r="G75" s="477" t="s">
        <v>493</v>
      </c>
      <c r="H75" s="202"/>
      <c r="I75" s="203"/>
      <c r="J75" s="198"/>
      <c r="K75" s="481">
        <v>1.8689999999999998E-2</v>
      </c>
      <c r="L75" s="482"/>
      <c r="M75" s="483"/>
      <c r="N75" s="100"/>
      <c r="O75" s="99"/>
      <c r="P75" s="101"/>
      <c r="Q75" s="481">
        <v>1.8689999999999998E-2</v>
      </c>
      <c r="R75" s="482"/>
      <c r="S75" s="482"/>
      <c r="T75" s="483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45"/>
      <c r="AP75" s="445"/>
      <c r="AQ75" s="445"/>
      <c r="AR75" s="445"/>
      <c r="AS75" s="445"/>
      <c r="AT75" s="445"/>
      <c r="AU75" s="445"/>
      <c r="AV75" s="445"/>
      <c r="AW75" s="461"/>
      <c r="AX75" s="461"/>
    </row>
    <row r="76" spans="1:50" x14ac:dyDescent="0.55000000000000004">
      <c r="A76" s="87">
        <f t="shared" si="1"/>
        <v>12</v>
      </c>
      <c r="B76" s="475" t="s">
        <v>100</v>
      </c>
      <c r="C76" s="476" t="s">
        <v>493</v>
      </c>
      <c r="D76" s="476" t="s">
        <v>493</v>
      </c>
      <c r="E76" s="476" t="s">
        <v>493</v>
      </c>
      <c r="F76" s="476" t="s">
        <v>493</v>
      </c>
      <c r="G76" s="477" t="s">
        <v>493</v>
      </c>
      <c r="H76" s="202"/>
      <c r="I76" s="203"/>
      <c r="J76" s="198"/>
      <c r="K76" s="481">
        <v>3.0000000000000001E-3</v>
      </c>
      <c r="L76" s="482"/>
      <c r="M76" s="483"/>
      <c r="N76" s="100"/>
      <c r="O76" s="99"/>
      <c r="P76" s="101"/>
      <c r="Q76" s="481">
        <v>3.0000000000000001E-3</v>
      </c>
      <c r="R76" s="482"/>
      <c r="S76" s="482"/>
      <c r="T76" s="483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45"/>
      <c r="AP76" s="445"/>
      <c r="AQ76" s="445"/>
      <c r="AR76" s="445"/>
      <c r="AS76" s="445"/>
      <c r="AT76" s="445"/>
      <c r="AU76" s="445"/>
      <c r="AV76" s="445"/>
      <c r="AW76" s="461"/>
      <c r="AX76" s="461"/>
    </row>
    <row r="77" spans="1:50" x14ac:dyDescent="0.55000000000000004">
      <c r="A77" s="87">
        <f t="shared" si="1"/>
        <v>13</v>
      </c>
      <c r="B77" s="475" t="s">
        <v>99</v>
      </c>
      <c r="C77" s="476" t="s">
        <v>493</v>
      </c>
      <c r="D77" s="476" t="s">
        <v>493</v>
      </c>
      <c r="E77" s="476" t="s">
        <v>493</v>
      </c>
      <c r="F77" s="476" t="s">
        <v>493</v>
      </c>
      <c r="G77" s="477" t="s">
        <v>493</v>
      </c>
      <c r="H77" s="202"/>
      <c r="I77" s="203"/>
      <c r="J77" s="198"/>
      <c r="K77" s="481">
        <v>3.3E-3</v>
      </c>
      <c r="L77" s="482"/>
      <c r="M77" s="483"/>
      <c r="N77" s="98"/>
      <c r="O77" s="93"/>
      <c r="P77" s="97"/>
      <c r="Q77" s="481">
        <v>3.3E-3</v>
      </c>
      <c r="R77" s="482"/>
      <c r="S77" s="482"/>
      <c r="T77" s="483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45"/>
      <c r="AP77" s="445"/>
      <c r="AQ77" s="445"/>
      <c r="AR77" s="445"/>
      <c r="AS77" s="445"/>
      <c r="AT77" s="445"/>
      <c r="AU77" s="445"/>
      <c r="AV77" s="445"/>
      <c r="AW77" s="461"/>
      <c r="AX77" s="461"/>
    </row>
    <row r="78" spans="1:50" x14ac:dyDescent="0.55000000000000004">
      <c r="A78" s="87">
        <f t="shared" si="1"/>
        <v>14</v>
      </c>
      <c r="B78" s="475" t="s">
        <v>102</v>
      </c>
      <c r="C78" s="476" t="s">
        <v>493</v>
      </c>
      <c r="D78" s="476" t="s">
        <v>493</v>
      </c>
      <c r="E78" s="476" t="s">
        <v>493</v>
      </c>
      <c r="F78" s="476" t="s">
        <v>493</v>
      </c>
      <c r="G78" s="477" t="s">
        <v>493</v>
      </c>
      <c r="H78" s="202"/>
      <c r="I78" s="203"/>
      <c r="J78" s="198"/>
      <c r="K78" s="481">
        <v>5.9999999999999995E-4</v>
      </c>
      <c r="L78" s="482"/>
      <c r="M78" s="483"/>
      <c r="N78" s="98"/>
      <c r="O78" s="93"/>
      <c r="P78" s="97"/>
      <c r="Q78" s="481">
        <v>5.9999999999999995E-4</v>
      </c>
      <c r="R78" s="482"/>
      <c r="S78" s="482"/>
      <c r="T78" s="483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45"/>
      <c r="AP78" s="445"/>
      <c r="AQ78" s="445"/>
      <c r="AR78" s="445"/>
      <c r="AS78" s="445"/>
      <c r="AT78" s="445"/>
      <c r="AU78" s="445"/>
      <c r="AV78" s="445"/>
      <c r="AW78" s="461"/>
      <c r="AX78" s="461"/>
    </row>
    <row r="79" spans="1:50" x14ac:dyDescent="0.55000000000000004">
      <c r="A79" s="87">
        <f t="shared" si="1"/>
        <v>15</v>
      </c>
      <c r="B79" s="475" t="s">
        <v>485</v>
      </c>
      <c r="C79" s="476" t="s">
        <v>493</v>
      </c>
      <c r="D79" s="476" t="s">
        <v>493</v>
      </c>
      <c r="E79" s="476" t="s">
        <v>493</v>
      </c>
      <c r="F79" s="476" t="s">
        <v>493</v>
      </c>
      <c r="G79" s="477" t="s">
        <v>493</v>
      </c>
      <c r="H79" s="202"/>
      <c r="I79" s="203"/>
      <c r="J79" s="198"/>
      <c r="K79" s="481">
        <v>0</v>
      </c>
      <c r="L79" s="482"/>
      <c r="M79" s="483"/>
      <c r="N79" s="98"/>
      <c r="O79" s="93"/>
      <c r="P79" s="97"/>
      <c r="Q79" s="481">
        <v>0</v>
      </c>
      <c r="R79" s="482"/>
      <c r="S79" s="482"/>
      <c r="T79" s="483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45"/>
      <c r="AP79" s="445"/>
      <c r="AQ79" s="445"/>
      <c r="AR79" s="445"/>
      <c r="AS79" s="445"/>
      <c r="AT79" s="445"/>
      <c r="AU79" s="445"/>
      <c r="AV79" s="445"/>
      <c r="AW79" s="461"/>
      <c r="AX79" s="461"/>
    </row>
    <row r="80" spans="1:50" x14ac:dyDescent="0.55000000000000004">
      <c r="A80" s="87">
        <f t="shared" si="1"/>
        <v>16</v>
      </c>
      <c r="B80" s="475" t="s">
        <v>491</v>
      </c>
      <c r="C80" s="476" t="s">
        <v>493</v>
      </c>
      <c r="D80" s="476" t="s">
        <v>493</v>
      </c>
      <c r="E80" s="476" t="s">
        <v>493</v>
      </c>
      <c r="F80" s="476" t="s">
        <v>493</v>
      </c>
      <c r="G80" s="477" t="s">
        <v>493</v>
      </c>
      <c r="H80" s="202"/>
      <c r="I80" s="203"/>
      <c r="J80" s="198"/>
      <c r="K80" s="481">
        <v>2.9989999999999999E-2</v>
      </c>
      <c r="L80" s="482"/>
      <c r="M80" s="483"/>
      <c r="N80" s="98"/>
      <c r="O80" s="93"/>
      <c r="P80" s="97"/>
      <c r="Q80" s="481">
        <v>2.9989999999999999E-2</v>
      </c>
      <c r="R80" s="482"/>
      <c r="S80" s="482"/>
      <c r="T80" s="483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45"/>
      <c r="AP80" s="445"/>
      <c r="AQ80" s="445"/>
      <c r="AR80" s="445"/>
      <c r="AS80" s="445"/>
      <c r="AT80" s="445"/>
      <c r="AU80" s="445"/>
      <c r="AV80" s="445"/>
      <c r="AW80" s="461"/>
      <c r="AX80" s="461"/>
    </row>
    <row r="81" spans="1:50" x14ac:dyDescent="0.55000000000000004">
      <c r="A81" s="87">
        <f>A80+1</f>
        <v>17</v>
      </c>
      <c r="B81" s="475" t="s">
        <v>492</v>
      </c>
      <c r="C81" s="476" t="s">
        <v>493</v>
      </c>
      <c r="D81" s="476" t="s">
        <v>493</v>
      </c>
      <c r="E81" s="476" t="s">
        <v>493</v>
      </c>
      <c r="F81" s="476" t="s">
        <v>493</v>
      </c>
      <c r="G81" s="477" t="s">
        <v>493</v>
      </c>
      <c r="H81" s="202"/>
      <c r="I81" s="203"/>
      <c r="J81" s="198"/>
      <c r="K81" s="481">
        <v>0</v>
      </c>
      <c r="L81" s="482"/>
      <c r="M81" s="483"/>
      <c r="N81" s="98"/>
      <c r="O81" s="93"/>
      <c r="P81" s="97"/>
      <c r="Q81" s="481">
        <v>0</v>
      </c>
      <c r="R81" s="482"/>
      <c r="S81" s="482"/>
      <c r="T81" s="483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45"/>
      <c r="AP81" s="445"/>
      <c r="AQ81" s="445"/>
      <c r="AR81" s="445"/>
      <c r="AS81" s="445"/>
      <c r="AT81" s="445"/>
      <c r="AU81" s="445"/>
      <c r="AV81" s="445"/>
      <c r="AW81" s="461"/>
      <c r="AX81" s="461"/>
    </row>
    <row r="82" spans="1:50" x14ac:dyDescent="0.55000000000000004">
      <c r="A82" s="87">
        <f t="shared" si="1"/>
        <v>18</v>
      </c>
      <c r="B82" s="475" t="s">
        <v>104</v>
      </c>
      <c r="C82" s="476" t="s">
        <v>493</v>
      </c>
      <c r="D82" s="476" t="s">
        <v>493</v>
      </c>
      <c r="E82" s="476" t="s">
        <v>493</v>
      </c>
      <c r="F82" s="476" t="s">
        <v>493</v>
      </c>
      <c r="G82" s="477" t="s">
        <v>493</v>
      </c>
      <c r="H82" s="202"/>
      <c r="I82" s="203"/>
      <c r="J82" s="198"/>
      <c r="K82" s="481">
        <v>7.6E-3</v>
      </c>
      <c r="L82" s="482"/>
      <c r="M82" s="483"/>
      <c r="N82" s="98"/>
      <c r="O82" s="93"/>
      <c r="P82" s="97"/>
      <c r="Q82" s="481">
        <v>7.6E-3</v>
      </c>
      <c r="R82" s="482"/>
      <c r="S82" s="482"/>
      <c r="T82" s="483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45"/>
      <c r="AP82" s="445"/>
      <c r="AQ82" s="445"/>
      <c r="AR82" s="445"/>
      <c r="AS82" s="445"/>
      <c r="AT82" s="445"/>
      <c r="AU82" s="445"/>
      <c r="AV82" s="445"/>
      <c r="AW82" s="461"/>
      <c r="AX82" s="461"/>
    </row>
    <row r="83" spans="1:50" x14ac:dyDescent="0.55000000000000004">
      <c r="A83" s="87">
        <f>A82+1</f>
        <v>19</v>
      </c>
      <c r="B83" s="475" t="s">
        <v>105</v>
      </c>
      <c r="C83" s="476" t="s">
        <v>493</v>
      </c>
      <c r="D83" s="476" t="s">
        <v>493</v>
      </c>
      <c r="E83" s="476" t="s">
        <v>493</v>
      </c>
      <c r="F83" s="476" t="s">
        <v>493</v>
      </c>
      <c r="G83" s="477" t="s">
        <v>493</v>
      </c>
      <c r="H83" s="202"/>
      <c r="I83" s="203"/>
      <c r="J83" s="198"/>
      <c r="K83" s="481">
        <v>1.7000000000000001E-4</v>
      </c>
      <c r="L83" s="482"/>
      <c r="M83" s="483"/>
      <c r="N83" s="98"/>
      <c r="O83" s="93"/>
      <c r="P83" s="97"/>
      <c r="Q83" s="481">
        <v>1.7000000000000001E-4</v>
      </c>
      <c r="R83" s="482"/>
      <c r="S83" s="482"/>
      <c r="T83" s="483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45"/>
      <c r="AP83" s="445"/>
      <c r="AQ83" s="445"/>
      <c r="AR83" s="445"/>
      <c r="AS83" s="445"/>
      <c r="AT83" s="445"/>
      <c r="AU83" s="445"/>
      <c r="AV83" s="445"/>
      <c r="AW83" s="461"/>
      <c r="AX83" s="461"/>
    </row>
    <row r="84" spans="1:50" x14ac:dyDescent="0.55000000000000004">
      <c r="A84" s="87">
        <f t="shared" si="1"/>
        <v>20</v>
      </c>
      <c r="B84" s="475" t="s">
        <v>496</v>
      </c>
      <c r="C84" s="476" t="s">
        <v>493</v>
      </c>
      <c r="D84" s="476" t="s">
        <v>493</v>
      </c>
      <c r="E84" s="476" t="s">
        <v>493</v>
      </c>
      <c r="F84" s="476" t="s">
        <v>493</v>
      </c>
      <c r="G84" s="477" t="s">
        <v>493</v>
      </c>
      <c r="H84" s="202"/>
      <c r="I84" s="203"/>
      <c r="J84" s="198"/>
      <c r="K84" s="481">
        <v>0</v>
      </c>
      <c r="L84" s="482"/>
      <c r="M84" s="483"/>
      <c r="N84" s="98"/>
      <c r="O84" s="93"/>
      <c r="P84" s="97"/>
      <c r="Q84" s="481">
        <v>0</v>
      </c>
      <c r="R84" s="482"/>
      <c r="S84" s="482"/>
      <c r="T84" s="483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45"/>
      <c r="AP84" s="445"/>
      <c r="AQ84" s="445"/>
      <c r="AR84" s="445"/>
      <c r="AS84" s="445"/>
      <c r="AT84" s="445"/>
      <c r="AU84" s="445"/>
      <c r="AV84" s="445"/>
      <c r="AW84" s="461"/>
      <c r="AX84" s="461"/>
    </row>
    <row r="85" spans="1:50" x14ac:dyDescent="0.55000000000000004">
      <c r="A85" s="87">
        <f t="shared" si="1"/>
        <v>21</v>
      </c>
      <c r="B85" s="475" t="s">
        <v>497</v>
      </c>
      <c r="C85" s="476" t="s">
        <v>493</v>
      </c>
      <c r="D85" s="476" t="s">
        <v>493</v>
      </c>
      <c r="E85" s="476" t="s">
        <v>493</v>
      </c>
      <c r="F85" s="476" t="s">
        <v>493</v>
      </c>
      <c r="G85" s="477" t="s">
        <v>493</v>
      </c>
      <c r="H85" s="202"/>
      <c r="I85" s="203"/>
      <c r="J85" s="198"/>
      <c r="K85" s="481">
        <v>0</v>
      </c>
      <c r="L85" s="482"/>
      <c r="M85" s="483"/>
      <c r="N85" s="98"/>
      <c r="O85" s="93"/>
      <c r="P85" s="97"/>
      <c r="Q85" s="481">
        <v>0</v>
      </c>
      <c r="R85" s="482"/>
      <c r="S85" s="482"/>
      <c r="T85" s="483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45"/>
      <c r="AP85" s="445"/>
      <c r="AQ85" s="445"/>
      <c r="AR85" s="445"/>
      <c r="AS85" s="445"/>
      <c r="AT85" s="445"/>
      <c r="AU85" s="445"/>
      <c r="AV85" s="445"/>
      <c r="AW85" s="461"/>
      <c r="AX85" s="461"/>
    </row>
    <row r="86" spans="1:50" x14ac:dyDescent="0.55000000000000004">
      <c r="A86" s="87">
        <f t="shared" si="1"/>
        <v>22</v>
      </c>
      <c r="B86" s="475"/>
      <c r="C86" s="476"/>
      <c r="D86" s="476"/>
      <c r="E86" s="476"/>
      <c r="F86" s="476"/>
      <c r="G86" s="477"/>
      <c r="H86" s="199"/>
      <c r="I86" s="200"/>
      <c r="J86" s="201"/>
      <c r="K86" s="200"/>
      <c r="L86" s="200"/>
      <c r="M86" s="201"/>
      <c r="N86" s="98"/>
      <c r="O86" s="93"/>
      <c r="P86" s="97"/>
      <c r="Q86" s="490"/>
      <c r="R86" s="491"/>
      <c r="S86" s="491"/>
      <c r="T86" s="492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45"/>
      <c r="AP86" s="445"/>
      <c r="AQ86" s="445"/>
      <c r="AR86" s="445"/>
      <c r="AS86" s="445"/>
      <c r="AT86" s="445"/>
      <c r="AU86" s="445"/>
      <c r="AV86" s="445"/>
      <c r="AW86" s="461"/>
      <c r="AX86" s="461"/>
    </row>
    <row r="87" spans="1:50" x14ac:dyDescent="0.55000000000000004">
      <c r="A87" s="87">
        <f>A86+1</f>
        <v>23</v>
      </c>
      <c r="B87" s="475"/>
      <c r="C87" s="476"/>
      <c r="D87" s="476"/>
      <c r="E87" s="476"/>
      <c r="F87" s="476"/>
      <c r="G87" s="477"/>
      <c r="H87" s="199"/>
      <c r="I87" s="200"/>
      <c r="J87" s="201"/>
      <c r="K87" s="200"/>
      <c r="L87" s="200"/>
      <c r="M87" s="201"/>
      <c r="N87" s="98"/>
      <c r="O87" s="93"/>
      <c r="P87" s="97"/>
      <c r="Q87" s="490"/>
      <c r="R87" s="491"/>
      <c r="S87" s="491"/>
      <c r="T87" s="492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45"/>
      <c r="AP87" s="445"/>
      <c r="AQ87" s="445"/>
      <c r="AR87" s="445"/>
      <c r="AS87" s="445"/>
      <c r="AT87" s="445"/>
      <c r="AU87" s="445"/>
      <c r="AV87" s="445"/>
      <c r="AW87" s="461"/>
      <c r="AX87" s="461"/>
    </row>
    <row r="88" spans="1:50" x14ac:dyDescent="0.55000000000000004">
      <c r="A88" s="87">
        <f t="shared" si="1"/>
        <v>24</v>
      </c>
      <c r="B88" s="475"/>
      <c r="C88" s="476"/>
      <c r="D88" s="476"/>
      <c r="E88" s="476"/>
      <c r="F88" s="476"/>
      <c r="G88" s="477"/>
      <c r="H88" s="199"/>
      <c r="I88" s="200"/>
      <c r="J88" s="201"/>
      <c r="K88" s="200"/>
      <c r="L88" s="200"/>
      <c r="M88" s="201"/>
      <c r="N88" s="506">
        <v>0</v>
      </c>
      <c r="O88" s="507"/>
      <c r="P88" s="508"/>
      <c r="Q88" s="490"/>
      <c r="R88" s="491"/>
      <c r="S88" s="491"/>
      <c r="T88" s="492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45"/>
      <c r="AP88" s="445"/>
      <c r="AQ88" s="445"/>
      <c r="AR88" s="445"/>
      <c r="AS88" s="445"/>
      <c r="AT88" s="445"/>
      <c r="AU88" s="445"/>
      <c r="AV88" s="445"/>
      <c r="AW88" s="461"/>
      <c r="AX88" s="461"/>
    </row>
    <row r="89" spans="1:50" x14ac:dyDescent="0.55000000000000004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484">
        <f>IF(SUM(K69:M88)=0,"",SUM(K69:M85))</f>
        <v>1</v>
      </c>
      <c r="L89" s="485"/>
      <c r="M89" s="486"/>
      <c r="N89" s="509" t="str">
        <f>IF(SUM(N69:P88)=0,"",SUM(N69:P88))</f>
        <v/>
      </c>
      <c r="O89" s="510"/>
      <c r="P89" s="511"/>
      <c r="Q89" s="484">
        <f>IF(SUM(Q69:T88)=0,"",SUM(Q69:T85))</f>
        <v>1</v>
      </c>
      <c r="R89" s="485"/>
      <c r="S89" s="485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45"/>
      <c r="AP89" s="445"/>
      <c r="AQ89" s="445"/>
      <c r="AR89" s="445"/>
      <c r="AS89" s="445"/>
      <c r="AT89" s="445"/>
      <c r="AU89" s="445"/>
      <c r="AV89" s="445"/>
      <c r="AW89" s="461"/>
      <c r="AX89" s="461"/>
    </row>
    <row r="90" spans="1:50" x14ac:dyDescent="0.55000000000000004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487">
        <v>22.307000312</v>
      </c>
      <c r="L90" s="488"/>
      <c r="M90" s="489"/>
      <c r="N90" s="487"/>
      <c r="O90" s="488"/>
      <c r="P90" s="489"/>
      <c r="Q90" s="487">
        <v>22.307000312</v>
      </c>
      <c r="R90" s="488"/>
      <c r="S90" s="488"/>
      <c r="T90" s="489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45"/>
      <c r="AP90" s="445"/>
      <c r="AQ90" s="445"/>
      <c r="AR90" s="445"/>
      <c r="AS90" s="445"/>
      <c r="AT90" s="445"/>
      <c r="AU90" s="445"/>
      <c r="AV90" s="445"/>
      <c r="AW90" s="461"/>
      <c r="AX90" s="461"/>
    </row>
    <row r="91" spans="1:50" x14ac:dyDescent="0.55000000000000004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FluidString(B69:B88,K69:K88)</f>
        <v>#NAME?</v>
      </c>
      <c r="L91" s="111"/>
      <c r="M91" s="111"/>
      <c r="N91" s="110" t="e">
        <f ca="1">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45"/>
      <c r="AP91" s="445"/>
      <c r="AQ91" s="445"/>
      <c r="AR91" s="445"/>
      <c r="AS91" s="445"/>
      <c r="AT91" s="445"/>
      <c r="AU91" s="445"/>
      <c r="AV91" s="445"/>
      <c r="AW91" s="461"/>
      <c r="AX91" s="461"/>
    </row>
    <row r="92" spans="1:50" x14ac:dyDescent="0.55000000000000004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45"/>
      <c r="AP92" s="445"/>
      <c r="AQ92" s="445"/>
      <c r="AR92" s="445"/>
      <c r="AS92" s="445"/>
      <c r="AT92" s="445"/>
      <c r="AU92" s="445"/>
      <c r="AV92" s="445"/>
      <c r="AW92" s="461"/>
      <c r="AX92" s="461"/>
    </row>
    <row r="93" spans="1:50" x14ac:dyDescent="0.55000000000000004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45"/>
      <c r="AP93" s="445"/>
      <c r="AQ93" s="445"/>
      <c r="AR93" s="445"/>
      <c r="AS93" s="445"/>
      <c r="AT93" s="445"/>
      <c r="AU93" s="445"/>
      <c r="AV93" s="445"/>
      <c r="AW93" s="461"/>
      <c r="AX93" s="461"/>
    </row>
    <row r="94" spans="1:50" x14ac:dyDescent="0.55000000000000004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45"/>
      <c r="AP94" s="445"/>
      <c r="AQ94" s="445"/>
      <c r="AR94" s="445"/>
      <c r="AS94" s="445"/>
      <c r="AT94" s="445"/>
      <c r="AU94" s="445"/>
      <c r="AV94" s="445"/>
      <c r="AW94" s="461"/>
      <c r="AX94" s="461"/>
    </row>
    <row r="95" spans="1:50" x14ac:dyDescent="0.55000000000000004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45"/>
      <c r="AP95" s="445"/>
      <c r="AQ95" s="445"/>
      <c r="AR95" s="445"/>
      <c r="AS95" s="445"/>
      <c r="AT95" s="445"/>
      <c r="AU95" s="445"/>
      <c r="AV95" s="445"/>
      <c r="AW95" s="461"/>
      <c r="AX95" s="461"/>
    </row>
    <row r="96" spans="1:50" x14ac:dyDescent="0.55000000000000004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45"/>
      <c r="AP96" s="445"/>
      <c r="AQ96" s="445"/>
      <c r="AR96" s="445"/>
      <c r="AS96" s="445"/>
      <c r="AT96" s="445"/>
      <c r="AU96" s="445"/>
      <c r="AV96" s="445"/>
      <c r="AW96" s="461"/>
      <c r="AX96" s="461"/>
    </row>
    <row r="97" spans="1:50" x14ac:dyDescent="0.55000000000000004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45"/>
      <c r="AP97" s="445"/>
      <c r="AQ97" s="445"/>
      <c r="AR97" s="445"/>
      <c r="AS97" s="445"/>
      <c r="AT97" s="445"/>
      <c r="AU97" s="445"/>
      <c r="AV97" s="445"/>
      <c r="AW97" s="461"/>
      <c r="AX97" s="461"/>
    </row>
    <row r="98" spans="1:50" x14ac:dyDescent="0.55000000000000004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61"/>
      <c r="AQ98" s="461"/>
      <c r="AR98" s="461"/>
      <c r="AS98" s="461"/>
      <c r="AT98" s="461"/>
      <c r="AU98" s="461"/>
      <c r="AV98" s="461"/>
      <c r="AW98" s="461"/>
      <c r="AX98" s="461"/>
    </row>
    <row r="99" spans="1:50" x14ac:dyDescent="0.55000000000000004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61"/>
      <c r="AQ99" s="461"/>
      <c r="AR99" s="461"/>
      <c r="AS99" s="461"/>
      <c r="AT99" s="461"/>
      <c r="AU99" s="461"/>
      <c r="AV99" s="461"/>
      <c r="AW99" s="461"/>
      <c r="AX99" s="461"/>
    </row>
    <row r="100" spans="1:50" x14ac:dyDescent="0.55000000000000004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61"/>
      <c r="AQ100" s="461"/>
      <c r="AR100" s="461"/>
      <c r="AS100" s="461"/>
      <c r="AT100" s="461"/>
      <c r="AU100" s="461"/>
      <c r="AV100" s="461"/>
      <c r="AW100" s="461"/>
      <c r="AX100" s="461"/>
    </row>
    <row r="101" spans="1:50" x14ac:dyDescent="0.55000000000000004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61"/>
      <c r="AQ101" s="461"/>
      <c r="AR101" s="461"/>
      <c r="AS101" s="461"/>
      <c r="AT101" s="461"/>
      <c r="AU101" s="461"/>
      <c r="AV101" s="461"/>
      <c r="AW101" s="461"/>
      <c r="AX101" s="461"/>
    </row>
    <row r="102" spans="1:50" x14ac:dyDescent="0.55000000000000004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61"/>
      <c r="AQ102" s="461"/>
      <c r="AR102" s="461"/>
      <c r="AS102" s="461"/>
      <c r="AT102" s="461"/>
      <c r="AU102" s="461"/>
      <c r="AV102" s="461"/>
      <c r="AW102" s="461"/>
      <c r="AX102" s="461"/>
    </row>
    <row r="103" spans="1:50" x14ac:dyDescent="0.55000000000000004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61"/>
      <c r="AQ103" s="461"/>
      <c r="AR103" s="461"/>
      <c r="AS103" s="461"/>
      <c r="AT103" s="461"/>
      <c r="AU103" s="461"/>
      <c r="AV103" s="461"/>
      <c r="AW103" s="461"/>
      <c r="AX103" s="461"/>
    </row>
    <row r="104" spans="1:50" x14ac:dyDescent="0.55000000000000004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61"/>
      <c r="AQ104" s="461"/>
      <c r="AR104" s="461"/>
      <c r="AS104" s="461"/>
      <c r="AT104" s="461"/>
      <c r="AU104" s="461"/>
      <c r="AV104" s="461"/>
      <c r="AW104" s="461"/>
      <c r="AX104" s="461"/>
    </row>
    <row r="105" spans="1:50" x14ac:dyDescent="0.55000000000000004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494" t="s">
        <v>1</v>
      </c>
      <c r="X118" s="494"/>
      <c r="Y118" s="494"/>
      <c r="Z118" s="494"/>
      <c r="AA118" s="494"/>
      <c r="AB118" s="128" t="s">
        <v>2</v>
      </c>
      <c r="AC118" s="128"/>
      <c r="AD118" s="128"/>
      <c r="AE118" s="494" t="e">
        <v>#REF!</v>
      </c>
      <c r="AF118" s="494"/>
      <c r="AG118" s="494"/>
      <c r="AH118" s="494"/>
      <c r="AI118" s="494"/>
      <c r="AJ118" s="494"/>
      <c r="AK118" s="494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493" t="e">
        <v>#REF!</v>
      </c>
      <c r="Y119" s="493"/>
      <c r="Z119" s="493"/>
      <c r="AA119" s="493"/>
      <c r="AB119" s="140" t="s">
        <v>7</v>
      </c>
      <c r="AC119" s="140"/>
      <c r="AD119" s="494" t="e">
        <v>#REF!</v>
      </c>
      <c r="AE119" s="494"/>
      <c r="AF119" s="494"/>
      <c r="AG119" s="494"/>
      <c r="AH119" s="494"/>
      <c r="AI119" s="494"/>
      <c r="AJ119" s="494"/>
      <c r="AK119" s="494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74">
        <v>365</v>
      </c>
      <c r="AC132" s="575"/>
      <c r="AD132" s="365"/>
      <c r="AE132" s="365"/>
      <c r="AF132" s="365"/>
      <c r="AG132" s="365"/>
      <c r="AH132" s="365"/>
      <c r="AI132" s="365"/>
      <c r="AJ132" s="365"/>
      <c r="AK132" s="365"/>
      <c r="AL132" s="366"/>
      <c r="AM132" s="367"/>
      <c r="AN132" s="368" t="s">
        <v>195</v>
      </c>
      <c r="AO132" s="368"/>
      <c r="AP132" s="369"/>
      <c r="AQ132" s="370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55000000000000004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74">
        <v>320</v>
      </c>
      <c r="AC133" s="575"/>
      <c r="AD133" s="365"/>
      <c r="AE133" s="365"/>
      <c r="AF133" s="365"/>
      <c r="AG133" s="365"/>
      <c r="AH133" s="365"/>
      <c r="AI133" s="365"/>
      <c r="AJ133" s="365"/>
      <c r="AK133" s="365"/>
      <c r="AL133" s="366"/>
      <c r="AM133" s="367"/>
      <c r="AN133" s="368" t="s">
        <v>195</v>
      </c>
      <c r="AO133" s="368"/>
      <c r="AP133" s="369"/>
      <c r="AQ133" s="370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55000000000000004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55000000000000004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55000000000000004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55000000000000004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55000000000000004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55000000000000004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55000000000000004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55000000000000004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55000000000000004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55000000000000004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55000000000000004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55000000000000004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55000000000000004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55000000000000004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55000000000000004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55000000000000004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55000000000000004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55000000000000004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55000000000000004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55000000000000004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55000000000000004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55000000000000004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55000000000000004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6"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K69:M69"/>
    <mergeCell ref="B70:G70"/>
    <mergeCell ref="K70:M70"/>
    <mergeCell ref="Q82:T82"/>
    <mergeCell ref="Q83:T83"/>
    <mergeCell ref="K78:M78"/>
    <mergeCell ref="K80:M80"/>
    <mergeCell ref="K89:M89"/>
    <mergeCell ref="N89:P89"/>
    <mergeCell ref="K81:M81"/>
    <mergeCell ref="K79:M79"/>
    <mergeCell ref="Q81:T81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K90:M90"/>
    <mergeCell ref="N90:P90"/>
    <mergeCell ref="W118:AA118"/>
    <mergeCell ref="AE118:AK118"/>
    <mergeCell ref="N88:P88"/>
    <mergeCell ref="K85:M85"/>
    <mergeCell ref="K83:M83"/>
    <mergeCell ref="K82:M82"/>
    <mergeCell ref="Q84:T84"/>
    <mergeCell ref="K84:M84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Q67:T67"/>
    <mergeCell ref="B69:G69"/>
    <mergeCell ref="B87:G87"/>
    <mergeCell ref="B88:G88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" zoomScaleNormal="100" workbookViewId="0">
      <selection activeCell="B13" sqref="B13:C13"/>
    </sheetView>
  </sheetViews>
  <sheetFormatPr defaultRowHeight="14.4" x14ac:dyDescent="0.55000000000000004"/>
  <cols>
    <col min="2" max="2" width="15.7890625" customWidth="1"/>
    <col min="4" max="4" width="20.83984375" style="214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619" t="s">
        <v>290</v>
      </c>
      <c r="C3" s="620"/>
      <c r="D3" s="216" t="s">
        <v>291</v>
      </c>
      <c r="F3" s="627" t="s">
        <v>330</v>
      </c>
      <c r="G3" s="628"/>
      <c r="H3" s="628"/>
      <c r="I3" s="628"/>
      <c r="J3" s="628"/>
      <c r="K3" s="628"/>
      <c r="L3" s="628"/>
      <c r="M3" s="628"/>
      <c r="N3" s="628"/>
      <c r="O3" s="628"/>
      <c r="P3" s="628"/>
      <c r="Q3" s="628"/>
      <c r="R3" s="628"/>
      <c r="S3" s="629"/>
      <c r="T3" s="219"/>
      <c r="U3" s="219"/>
      <c r="V3" s="219"/>
      <c r="W3" s="219"/>
      <c r="X3" s="219"/>
      <c r="Y3" s="219"/>
      <c r="Z3" s="219"/>
      <c r="AA3" s="219"/>
    </row>
    <row r="4" spans="2:27" x14ac:dyDescent="0.55000000000000004">
      <c r="B4" s="621" t="s">
        <v>493</v>
      </c>
      <c r="C4" s="621"/>
      <c r="D4" s="215">
        <v>0</v>
      </c>
      <c r="F4" s="622" t="s">
        <v>292</v>
      </c>
      <c r="G4" s="623"/>
      <c r="H4" s="630" t="s">
        <v>310</v>
      </c>
      <c r="I4" s="631"/>
      <c r="J4" s="622" t="s">
        <v>298</v>
      </c>
      <c r="K4" s="623"/>
      <c r="L4" s="624" t="s">
        <v>293</v>
      </c>
      <c r="M4" s="625"/>
      <c r="N4" s="625"/>
      <c r="O4" s="626"/>
      <c r="P4" s="624" t="s">
        <v>294</v>
      </c>
      <c r="Q4" s="625"/>
      <c r="R4" s="625"/>
      <c r="S4" s="626"/>
      <c r="T4" s="217"/>
      <c r="U4" s="217"/>
    </row>
    <row r="5" spans="2:27" x14ac:dyDescent="0.55000000000000004">
      <c r="B5" s="621" t="s">
        <v>95</v>
      </c>
      <c r="C5" s="621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4.7" thickBot="1" x14ac:dyDescent="0.6">
      <c r="B6" s="621" t="s">
        <v>494</v>
      </c>
      <c r="C6" s="621"/>
      <c r="D6" s="215">
        <v>0</v>
      </c>
      <c r="F6" s="221">
        <v>46755.510190508001</v>
      </c>
      <c r="G6" s="222" t="s">
        <v>299</v>
      </c>
      <c r="H6" s="221">
        <v>10644.999999999978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342</v>
      </c>
      <c r="N6" s="224">
        <v>40</v>
      </c>
      <c r="O6" s="222" t="s">
        <v>301</v>
      </c>
      <c r="P6" s="223">
        <v>224</v>
      </c>
      <c r="Q6" s="224" t="s">
        <v>342</v>
      </c>
      <c r="R6" s="225">
        <v>65.317347401282916</v>
      </c>
      <c r="S6" s="243" t="s">
        <v>301</v>
      </c>
      <c r="U6" s="220"/>
    </row>
    <row r="7" spans="2:27" ht="14.7" thickBot="1" x14ac:dyDescent="0.6">
      <c r="B7" s="621" t="s">
        <v>96</v>
      </c>
      <c r="C7" s="621"/>
      <c r="D7" s="215">
        <v>0</v>
      </c>
      <c r="F7" s="616" t="s">
        <v>329</v>
      </c>
      <c r="G7" s="617"/>
      <c r="H7" s="617"/>
      <c r="I7" s="618"/>
    </row>
    <row r="8" spans="2:27" ht="15" customHeight="1" x14ac:dyDescent="0.55000000000000004">
      <c r="B8" s="621" t="s">
        <v>495</v>
      </c>
      <c r="C8" s="621"/>
      <c r="D8" s="215">
        <v>0</v>
      </c>
      <c r="K8" s="632"/>
      <c r="L8" s="443"/>
      <c r="M8" s="444"/>
      <c r="N8" s="444"/>
      <c r="O8" s="444"/>
      <c r="P8" s="444"/>
      <c r="Q8" s="444"/>
      <c r="R8" s="444"/>
      <c r="S8" s="444"/>
    </row>
    <row r="9" spans="2:27" x14ac:dyDescent="0.55000000000000004">
      <c r="B9" s="621" t="s">
        <v>98</v>
      </c>
      <c r="C9" s="621"/>
      <c r="D9" s="215">
        <v>0</v>
      </c>
      <c r="K9" s="632"/>
      <c r="L9" s="418"/>
      <c r="M9" s="418"/>
      <c r="N9" s="418"/>
      <c r="O9" s="418"/>
      <c r="P9" s="418"/>
      <c r="Q9" s="418"/>
      <c r="R9" s="418"/>
      <c r="S9" s="418"/>
    </row>
    <row r="10" spans="2:27" x14ac:dyDescent="0.55000000000000004">
      <c r="B10" s="621" t="s">
        <v>97</v>
      </c>
      <c r="C10" s="621"/>
      <c r="D10" s="215">
        <v>0</v>
      </c>
    </row>
    <row r="11" spans="2:27" ht="14.7" thickBot="1" x14ac:dyDescent="0.6">
      <c r="B11" s="621" t="s">
        <v>100</v>
      </c>
      <c r="C11" s="621"/>
      <c r="D11" s="215">
        <v>0</v>
      </c>
      <c r="F11" s="627" t="s">
        <v>331</v>
      </c>
      <c r="G11" s="628"/>
      <c r="H11" s="628"/>
      <c r="I11" s="628"/>
      <c r="J11" s="628"/>
      <c r="K11" s="628"/>
      <c r="L11" s="628"/>
      <c r="M11" s="628"/>
      <c r="N11" s="628"/>
      <c r="O11" s="628"/>
      <c r="P11" s="628"/>
      <c r="Q11" s="628"/>
      <c r="R11" s="628"/>
      <c r="S11" s="629"/>
    </row>
    <row r="12" spans="2:27" x14ac:dyDescent="0.55000000000000004">
      <c r="B12" s="621" t="s">
        <v>99</v>
      </c>
      <c r="C12" s="621"/>
      <c r="D12" s="215">
        <v>0</v>
      </c>
      <c r="F12" s="622" t="s">
        <v>292</v>
      </c>
      <c r="G12" s="623"/>
      <c r="H12" s="630" t="s">
        <v>310</v>
      </c>
      <c r="I12" s="631"/>
      <c r="J12" s="622" t="s">
        <v>298</v>
      </c>
      <c r="K12" s="623"/>
      <c r="L12" s="624" t="s">
        <v>293</v>
      </c>
      <c r="M12" s="625"/>
      <c r="N12" s="625"/>
      <c r="O12" s="626"/>
      <c r="P12" s="624" t="s">
        <v>294</v>
      </c>
      <c r="Q12" s="625"/>
      <c r="R12" s="625"/>
      <c r="S12" s="626"/>
    </row>
    <row r="13" spans="2:27" x14ac:dyDescent="0.55000000000000004">
      <c r="B13" s="621" t="s">
        <v>512</v>
      </c>
      <c r="C13" s="621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4.7" thickBot="1" x14ac:dyDescent="0.6">
      <c r="B14" s="621" t="s">
        <v>485</v>
      </c>
      <c r="C14" s="621"/>
      <c r="D14" s="215">
        <v>0</v>
      </c>
      <c r="F14" s="221">
        <v>46755.510190508096</v>
      </c>
      <c r="G14" s="243" t="s">
        <v>299</v>
      </c>
      <c r="H14" s="221">
        <v>10645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342</v>
      </c>
      <c r="N14" s="224">
        <v>40</v>
      </c>
      <c r="O14" s="222" t="s">
        <v>301</v>
      </c>
      <c r="P14" s="223">
        <v>224</v>
      </c>
      <c r="Q14" s="224" t="s">
        <v>342</v>
      </c>
      <c r="R14" s="225">
        <v>71.89499521967889</v>
      </c>
      <c r="S14" s="243" t="s">
        <v>301</v>
      </c>
    </row>
    <row r="15" spans="2:27" ht="14.7" thickBot="1" x14ac:dyDescent="0.6">
      <c r="B15" s="621" t="s">
        <v>491</v>
      </c>
      <c r="C15" s="621"/>
      <c r="D15" s="215">
        <v>0</v>
      </c>
      <c r="F15" s="616" t="s">
        <v>329</v>
      </c>
      <c r="G15" s="617"/>
      <c r="H15" s="617"/>
      <c r="I15" s="618"/>
    </row>
    <row r="16" spans="2:27" ht="14.7" thickBot="1" x14ac:dyDescent="0.6">
      <c r="B16" s="621" t="s">
        <v>492</v>
      </c>
      <c r="C16" s="621"/>
      <c r="D16" s="215">
        <v>0</v>
      </c>
    </row>
    <row r="17" spans="2:20" ht="14.7" thickBot="1" x14ac:dyDescent="0.6">
      <c r="B17" s="621" t="s">
        <v>104</v>
      </c>
      <c r="C17" s="621"/>
      <c r="D17" s="215">
        <v>0</v>
      </c>
      <c r="F17" s="603" t="s">
        <v>318</v>
      </c>
      <c r="G17" s="604"/>
      <c r="H17" s="604"/>
      <c r="I17" s="605"/>
      <c r="J17" s="238"/>
      <c r="K17" s="603" t="s">
        <v>318</v>
      </c>
      <c r="L17" s="604"/>
      <c r="M17" s="604"/>
      <c r="N17" s="605"/>
      <c r="O17" s="603" t="s">
        <v>319</v>
      </c>
      <c r="P17" s="605"/>
      <c r="R17" s="371"/>
    </row>
    <row r="18" spans="2:20" ht="15" customHeight="1" x14ac:dyDescent="0.55000000000000004">
      <c r="B18" s="621" t="s">
        <v>105</v>
      </c>
      <c r="C18" s="621"/>
      <c r="D18" s="215">
        <v>0</v>
      </c>
      <c r="F18" s="599" t="s">
        <v>311</v>
      </c>
      <c r="G18" s="239" t="s">
        <v>305</v>
      </c>
      <c r="H18" s="593" t="s">
        <v>308</v>
      </c>
      <c r="I18" s="594"/>
      <c r="J18" s="235"/>
      <c r="K18" s="599" t="s">
        <v>311</v>
      </c>
      <c r="L18" s="239" t="s">
        <v>305</v>
      </c>
      <c r="M18" s="593" t="s">
        <v>308</v>
      </c>
      <c r="N18" s="594"/>
      <c r="O18" s="643" t="s">
        <v>320</v>
      </c>
      <c r="P18" s="644"/>
      <c r="R18" s="371"/>
    </row>
    <row r="19" spans="2:20" ht="14.7" thickBot="1" x14ac:dyDescent="0.6">
      <c r="B19" s="621" t="s">
        <v>496</v>
      </c>
      <c r="C19" s="621"/>
      <c r="D19" s="215">
        <v>0</v>
      </c>
      <c r="F19" s="600"/>
      <c r="G19" s="232">
        <v>1.9037164678975005</v>
      </c>
      <c r="H19" s="597">
        <v>0.86666744896323022</v>
      </c>
      <c r="I19" s="598"/>
      <c r="J19" s="235"/>
      <c r="K19" s="600"/>
      <c r="L19" s="232">
        <v>1.8636176005654814</v>
      </c>
      <c r="M19" s="597">
        <v>1.4474917307522781</v>
      </c>
      <c r="N19" s="598"/>
      <c r="O19" s="645"/>
      <c r="P19" s="646"/>
    </row>
    <row r="20" spans="2:20" ht="15" customHeight="1" thickBot="1" x14ac:dyDescent="0.6">
      <c r="B20" s="621" t="s">
        <v>497</v>
      </c>
      <c r="C20" s="621"/>
      <c r="D20" s="215">
        <v>0</v>
      </c>
      <c r="F20" s="599" t="s">
        <v>303</v>
      </c>
      <c r="G20" s="585">
        <v>0.43586600969062772</v>
      </c>
      <c r="H20" s="593" t="s">
        <v>312</v>
      </c>
      <c r="I20" s="594"/>
      <c r="J20" s="235"/>
      <c r="K20" s="599" t="s">
        <v>303</v>
      </c>
      <c r="L20" s="585">
        <v>0.38212910438630376</v>
      </c>
      <c r="M20" s="593" t="s">
        <v>312</v>
      </c>
      <c r="N20" s="594"/>
      <c r="O20" s="637" t="s">
        <v>326</v>
      </c>
      <c r="P20" s="638"/>
    </row>
    <row r="21" spans="2:20" ht="14.7" thickBot="1" x14ac:dyDescent="0.6">
      <c r="F21" s="600"/>
      <c r="G21" s="586"/>
      <c r="H21" s="606">
        <v>-0.23191729580798293</v>
      </c>
      <c r="I21" s="607"/>
      <c r="J21" s="235"/>
      <c r="K21" s="600"/>
      <c r="L21" s="586"/>
      <c r="M21" s="606">
        <v>-0.16092375694779626</v>
      </c>
      <c r="N21" s="607"/>
      <c r="O21" s="639"/>
      <c r="P21" s="640"/>
      <c r="R21" s="650" t="s">
        <v>390</v>
      </c>
      <c r="S21" s="651"/>
    </row>
    <row r="22" spans="2:20" ht="14.7" thickBot="1" x14ac:dyDescent="0.6">
      <c r="B22" s="658" t="s">
        <v>352</v>
      </c>
      <c r="C22" s="659"/>
      <c r="D22" s="660"/>
      <c r="F22" s="599" t="s">
        <v>304</v>
      </c>
      <c r="G22" s="585">
        <v>259262.16983014191</v>
      </c>
      <c r="H22" s="587" t="s">
        <v>314</v>
      </c>
      <c r="I22" s="588"/>
      <c r="J22" s="235"/>
      <c r="K22" s="599" t="s">
        <v>304</v>
      </c>
      <c r="L22" s="585">
        <v>142873.24270874355</v>
      </c>
      <c r="M22" s="587" t="s">
        <v>314</v>
      </c>
      <c r="N22" s="588"/>
      <c r="O22" s="639"/>
      <c r="P22" s="640"/>
      <c r="R22" s="652"/>
      <c r="S22" s="653"/>
    </row>
    <row r="23" spans="2:20" ht="14.7" customHeight="1" thickBot="1" x14ac:dyDescent="0.6">
      <c r="B23" s="661" t="s">
        <v>353</v>
      </c>
      <c r="C23" s="663" t="s">
        <v>354</v>
      </c>
      <c r="D23" s="256" t="s">
        <v>355</v>
      </c>
      <c r="F23" s="600"/>
      <c r="G23" s="586"/>
      <c r="H23" s="601">
        <v>2.8366707288699625E-2</v>
      </c>
      <c r="I23" s="602"/>
      <c r="J23" s="235" t="s">
        <v>484</v>
      </c>
      <c r="K23" s="600"/>
      <c r="L23" s="586"/>
      <c r="M23" s="601">
        <v>1.2292904856269979E-2</v>
      </c>
      <c r="N23" s="602"/>
      <c r="O23" s="641"/>
      <c r="P23" s="642"/>
      <c r="R23" s="654" t="s">
        <v>486</v>
      </c>
      <c r="S23" s="655"/>
    </row>
    <row r="24" spans="2:20" ht="15" customHeight="1" thickBot="1" x14ac:dyDescent="0.6">
      <c r="B24" s="662"/>
      <c r="C24" s="664"/>
      <c r="D24" s="257">
        <v>0.01</v>
      </c>
      <c r="F24" s="599" t="s">
        <v>313</v>
      </c>
      <c r="G24" s="585">
        <v>0.39180878749422254</v>
      </c>
      <c r="H24" s="587" t="s">
        <v>327</v>
      </c>
      <c r="I24" s="588"/>
      <c r="J24" s="235"/>
      <c r="K24" s="599" t="s">
        <v>313</v>
      </c>
      <c r="L24" s="585">
        <v>0.58143722184997659</v>
      </c>
      <c r="M24" s="587" t="s">
        <v>327</v>
      </c>
      <c r="N24" s="588"/>
      <c r="O24" s="633" t="s">
        <v>321</v>
      </c>
      <c r="P24" s="634"/>
      <c r="R24" s="656"/>
      <c r="S24" s="657"/>
    </row>
    <row r="25" spans="2:20" ht="14.7" customHeight="1" thickBot="1" x14ac:dyDescent="0.6">
      <c r="B25" s="608" t="s">
        <v>356</v>
      </c>
      <c r="C25" s="611" t="s">
        <v>389</v>
      </c>
      <c r="D25" s="439" t="s">
        <v>479</v>
      </c>
      <c r="F25" s="600"/>
      <c r="G25" s="586"/>
      <c r="H25" s="597">
        <v>15.29375449849916</v>
      </c>
      <c r="I25" s="598"/>
      <c r="J25" s="235"/>
      <c r="K25" s="600"/>
      <c r="L25" s="586"/>
      <c r="M25" s="597">
        <v>54.697024432456367</v>
      </c>
      <c r="N25" s="598"/>
      <c r="O25" s="635"/>
      <c r="P25" s="636"/>
    </row>
    <row r="26" spans="2:20" ht="15" customHeight="1" x14ac:dyDescent="0.55000000000000004">
      <c r="B26" s="609"/>
      <c r="C26" s="612"/>
      <c r="D26" s="405">
        <v>5</v>
      </c>
      <c r="F26" s="583" t="s">
        <v>316</v>
      </c>
      <c r="G26" s="585">
        <v>7.0875143722068925</v>
      </c>
      <c r="H26" s="587" t="s">
        <v>328</v>
      </c>
      <c r="I26" s="588"/>
      <c r="J26" s="235"/>
      <c r="K26" s="583" t="s">
        <v>316</v>
      </c>
      <c r="L26" s="585">
        <v>9.3210008437803769</v>
      </c>
      <c r="M26" s="587" t="s">
        <v>328</v>
      </c>
      <c r="N26" s="588"/>
    </row>
    <row r="27" spans="2:20" ht="14.7" customHeight="1" thickBot="1" x14ac:dyDescent="0.6">
      <c r="B27" s="609"/>
      <c r="C27" s="612"/>
      <c r="D27" s="441" t="s">
        <v>480</v>
      </c>
      <c r="F27" s="584"/>
      <c r="G27" s="586"/>
      <c r="H27" s="597">
        <v>1.6338775645779631</v>
      </c>
      <c r="I27" s="598"/>
      <c r="J27" s="235"/>
      <c r="K27" s="584"/>
      <c r="L27" s="586"/>
      <c r="M27" s="597">
        <v>3.378677043480935</v>
      </c>
      <c r="N27" s="598"/>
    </row>
    <row r="28" spans="2:20" ht="15" customHeight="1" x14ac:dyDescent="0.55000000000000004">
      <c r="B28" s="609"/>
      <c r="C28" s="612"/>
      <c r="D28" s="405"/>
      <c r="F28" s="583" t="s">
        <v>333</v>
      </c>
      <c r="G28" s="585">
        <v>18.435321766570389</v>
      </c>
      <c r="H28" s="587" t="s">
        <v>334</v>
      </c>
      <c r="I28" s="588"/>
      <c r="J28" s="235"/>
      <c r="K28" s="583" t="s">
        <v>333</v>
      </c>
      <c r="L28" s="585">
        <v>18.635177962588401</v>
      </c>
      <c r="M28" s="587" t="s">
        <v>334</v>
      </c>
      <c r="N28" s="588"/>
      <c r="P28" s="647"/>
      <c r="Q28" s="647"/>
      <c r="R28" s="648"/>
      <c r="S28" s="649"/>
      <c r="T28" s="418"/>
    </row>
    <row r="29" spans="2:20" ht="14.7" thickBot="1" x14ac:dyDescent="0.6">
      <c r="B29" s="609"/>
      <c r="C29" s="612"/>
      <c r="D29" s="441" t="s">
        <v>481</v>
      </c>
      <c r="F29" s="584"/>
      <c r="G29" s="586"/>
      <c r="H29" s="597">
        <v>0.15171356194817379</v>
      </c>
      <c r="I29" s="598"/>
      <c r="J29" s="236"/>
      <c r="K29" s="584"/>
      <c r="L29" s="586"/>
      <c r="M29" s="597">
        <v>0.3022982879809944</v>
      </c>
      <c r="N29" s="598"/>
      <c r="P29" s="647"/>
      <c r="Q29" s="647"/>
      <c r="R29" s="648"/>
      <c r="S29" s="649"/>
      <c r="T29" s="418"/>
    </row>
    <row r="30" spans="2:20" ht="15" customHeight="1" x14ac:dyDescent="0.55000000000000004">
      <c r="B30" s="609"/>
      <c r="C30" s="612"/>
      <c r="D30" s="405">
        <v>25</v>
      </c>
      <c r="F30" s="583" t="s">
        <v>335</v>
      </c>
      <c r="G30" s="585">
        <v>198.2214173894827</v>
      </c>
      <c r="H30" s="587" t="s">
        <v>336</v>
      </c>
      <c r="I30" s="588"/>
      <c r="J30" s="234"/>
      <c r="K30" s="583" t="s">
        <v>335</v>
      </c>
      <c r="L30" s="585">
        <v>262.35364325972239</v>
      </c>
      <c r="M30" s="587" t="s">
        <v>336</v>
      </c>
      <c r="N30" s="588"/>
      <c r="P30" s="418"/>
      <c r="Q30" s="418"/>
      <c r="R30" s="418"/>
      <c r="S30" s="418"/>
      <c r="T30" s="418"/>
    </row>
    <row r="31" spans="2:20" ht="14.7" thickBot="1" x14ac:dyDescent="0.6">
      <c r="B31" s="609"/>
      <c r="C31" s="612"/>
      <c r="D31" s="441" t="s">
        <v>483</v>
      </c>
      <c r="F31" s="584"/>
      <c r="G31" s="586"/>
      <c r="H31" s="589">
        <v>1.6312640303955321</v>
      </c>
      <c r="I31" s="590"/>
      <c r="J31" s="234"/>
      <c r="K31" s="584"/>
      <c r="L31" s="586"/>
      <c r="M31" s="589">
        <v>4.2558787129486966</v>
      </c>
      <c r="N31" s="590"/>
      <c r="P31" s="418"/>
      <c r="Q31" s="418"/>
      <c r="R31" s="418"/>
      <c r="S31" s="418"/>
      <c r="T31" s="418"/>
    </row>
    <row r="32" spans="2:20" ht="15" customHeight="1" x14ac:dyDescent="0.55000000000000004">
      <c r="B32" s="610"/>
      <c r="C32" s="613"/>
      <c r="D32" s="405">
        <v>13.6</v>
      </c>
      <c r="F32" s="583" t="s">
        <v>315</v>
      </c>
      <c r="G32" s="585">
        <v>275.01931489355195</v>
      </c>
      <c r="H32" s="587" t="s">
        <v>317</v>
      </c>
      <c r="I32" s="588"/>
      <c r="J32" s="234"/>
      <c r="K32" s="583" t="s">
        <v>315</v>
      </c>
      <c r="L32" s="585">
        <v>354.59794970954476</v>
      </c>
      <c r="M32" s="587" t="s">
        <v>317</v>
      </c>
      <c r="N32" s="588"/>
    </row>
    <row r="33" spans="2:28" ht="14.7" thickBot="1" x14ac:dyDescent="0.6">
      <c r="B33" s="614" t="s">
        <v>357</v>
      </c>
      <c r="C33" s="615" t="s">
        <v>389</v>
      </c>
      <c r="D33" s="439" t="s">
        <v>479</v>
      </c>
      <c r="F33" s="584"/>
      <c r="G33" s="586"/>
      <c r="H33" s="597">
        <v>6.6490131026095634E-2</v>
      </c>
      <c r="I33" s="598"/>
      <c r="J33" s="234"/>
      <c r="K33" s="584"/>
      <c r="L33" s="586"/>
      <c r="M33" s="597">
        <v>0.13830599156708051</v>
      </c>
      <c r="N33" s="598"/>
    </row>
    <row r="34" spans="2:28" ht="15" customHeight="1" x14ac:dyDescent="0.55000000000000004">
      <c r="B34" s="614"/>
      <c r="C34" s="615"/>
      <c r="D34" s="405">
        <v>5</v>
      </c>
      <c r="F34" s="583" t="s">
        <v>337</v>
      </c>
      <c r="G34" s="585">
        <v>103629.15003002528</v>
      </c>
      <c r="H34" s="587" t="s">
        <v>338</v>
      </c>
      <c r="I34" s="588"/>
      <c r="J34" s="234"/>
      <c r="K34" s="583" t="s">
        <v>337</v>
      </c>
      <c r="L34" s="585">
        <v>621713.55318448506</v>
      </c>
      <c r="M34" s="587" t="s">
        <v>338</v>
      </c>
      <c r="N34" s="588"/>
    </row>
    <row r="35" spans="2:28" ht="14.7" thickBot="1" x14ac:dyDescent="0.6">
      <c r="B35" s="614"/>
      <c r="C35" s="615"/>
      <c r="D35" s="441" t="s">
        <v>480</v>
      </c>
      <c r="F35" s="584"/>
      <c r="G35" s="586"/>
      <c r="H35" s="589">
        <v>25.053933998367516</v>
      </c>
      <c r="I35" s="590"/>
      <c r="J35" s="234"/>
      <c r="K35" s="584"/>
      <c r="L35" s="586"/>
      <c r="M35" s="589">
        <v>242.49071240909808</v>
      </c>
      <c r="N35" s="590"/>
    </row>
    <row r="36" spans="2:28" x14ac:dyDescent="0.55000000000000004">
      <c r="B36" s="614"/>
      <c r="C36" s="615"/>
      <c r="D36" s="405"/>
      <c r="F36" s="583" t="s">
        <v>350</v>
      </c>
      <c r="G36" s="591">
        <v>0.87059832209300203</v>
      </c>
      <c r="H36" s="593" t="s">
        <v>358</v>
      </c>
      <c r="I36" s="594"/>
      <c r="J36" s="234"/>
      <c r="K36" s="583" t="s">
        <v>350</v>
      </c>
      <c r="L36" s="591">
        <v>0.68253923903694891</v>
      </c>
      <c r="M36" s="593" t="s">
        <v>358</v>
      </c>
      <c r="N36" s="594"/>
    </row>
    <row r="37" spans="2:28" ht="14.7" thickBot="1" x14ac:dyDescent="0.6">
      <c r="B37" s="614"/>
      <c r="C37" s="615"/>
      <c r="D37" s="441" t="s">
        <v>481</v>
      </c>
      <c r="F37" s="584"/>
      <c r="G37" s="592"/>
      <c r="H37" s="595">
        <v>0.8727393065412351</v>
      </c>
      <c r="I37" s="596"/>
      <c r="J37" s="234"/>
      <c r="K37" s="584"/>
      <c r="L37" s="592"/>
      <c r="M37" s="595">
        <v>0.68859243338178833</v>
      </c>
      <c r="N37" s="596"/>
      <c r="S37" s="418"/>
      <c r="T37" s="418"/>
      <c r="U37" s="418"/>
      <c r="V37" s="418"/>
      <c r="W37" s="418"/>
      <c r="X37" s="418"/>
      <c r="Y37" s="418"/>
      <c r="Z37" s="418"/>
      <c r="AA37" s="418"/>
      <c r="AB37" s="418"/>
    </row>
    <row r="38" spans="2:28" x14ac:dyDescent="0.55000000000000004">
      <c r="B38" s="614"/>
      <c r="C38" s="615"/>
      <c r="D38" s="405">
        <v>25</v>
      </c>
      <c r="S38" s="418"/>
      <c r="T38" s="418"/>
      <c r="U38" s="418"/>
      <c r="V38" s="418"/>
      <c r="W38" s="418"/>
      <c r="X38" s="418"/>
      <c r="Y38" s="418"/>
      <c r="Z38" s="418"/>
      <c r="AA38" s="418"/>
      <c r="AB38" s="418"/>
    </row>
    <row r="39" spans="2:28" x14ac:dyDescent="0.55000000000000004">
      <c r="B39" s="614"/>
      <c r="C39" s="615"/>
      <c r="D39" s="441" t="s">
        <v>483</v>
      </c>
      <c r="S39" s="418"/>
      <c r="T39" s="418"/>
      <c r="U39" s="418"/>
      <c r="V39" s="418"/>
      <c r="W39" s="418"/>
      <c r="X39" s="418"/>
      <c r="Y39" s="418"/>
      <c r="Z39" s="418"/>
      <c r="AA39" s="418"/>
      <c r="AB39" s="418"/>
    </row>
    <row r="40" spans="2:28" x14ac:dyDescent="0.55000000000000004">
      <c r="B40" s="614"/>
      <c r="C40" s="615"/>
      <c r="D40" s="405">
        <v>13.6</v>
      </c>
      <c r="S40" s="418"/>
      <c r="T40" s="418"/>
      <c r="U40" s="418"/>
      <c r="V40" s="418"/>
      <c r="W40" s="418"/>
      <c r="X40" s="418"/>
      <c r="Y40" s="418"/>
      <c r="Z40" s="418"/>
      <c r="AA40" s="418"/>
      <c r="AB40" s="418"/>
    </row>
    <row r="41" spans="2:28" x14ac:dyDescent="0.55000000000000004">
      <c r="S41" s="418"/>
      <c r="T41" s="418"/>
      <c r="U41" s="418"/>
      <c r="V41" s="418"/>
      <c r="W41" s="418"/>
      <c r="X41" s="418"/>
      <c r="Y41" s="418"/>
      <c r="Z41" s="418"/>
      <c r="AA41" s="418"/>
      <c r="AB41" s="418"/>
    </row>
    <row r="42" spans="2:28" ht="14.7" thickBot="1" x14ac:dyDescent="0.6">
      <c r="S42" s="418"/>
      <c r="T42" s="418"/>
      <c r="U42" s="446"/>
      <c r="V42" s="446"/>
      <c r="W42" s="446"/>
      <c r="X42" s="446"/>
      <c r="Y42" s="446"/>
      <c r="Z42" s="446"/>
      <c r="AA42" s="418"/>
      <c r="AB42" s="418"/>
    </row>
    <row r="43" spans="2:28" ht="14.7" thickBot="1" x14ac:dyDescent="0.6">
      <c r="F43" s="603" t="s">
        <v>318</v>
      </c>
      <c r="G43" s="604"/>
      <c r="H43" s="604"/>
      <c r="I43" s="605"/>
      <c r="J43" s="238"/>
      <c r="K43" s="603" t="s">
        <v>318</v>
      </c>
      <c r="L43" s="604"/>
      <c r="M43" s="604"/>
      <c r="N43" s="605"/>
      <c r="S43" s="418"/>
      <c r="T43" s="418"/>
      <c r="U43" s="446"/>
      <c r="V43" s="446"/>
      <c r="W43" s="446"/>
      <c r="X43" s="446"/>
      <c r="Y43" s="446"/>
      <c r="Z43" s="446"/>
      <c r="AA43" s="418"/>
      <c r="AB43" s="418"/>
    </row>
    <row r="44" spans="2:28" x14ac:dyDescent="0.55000000000000004">
      <c r="F44" s="599" t="s">
        <v>311</v>
      </c>
      <c r="G44" s="239" t="s">
        <v>305</v>
      </c>
      <c r="H44" s="593" t="s">
        <v>308</v>
      </c>
      <c r="I44" s="594"/>
      <c r="J44" s="235"/>
      <c r="K44" s="599" t="s">
        <v>311</v>
      </c>
      <c r="L44" s="239" t="s">
        <v>305</v>
      </c>
      <c r="M44" s="593" t="s">
        <v>308</v>
      </c>
      <c r="N44" s="594"/>
      <c r="S44" s="418"/>
      <c r="T44" s="418"/>
      <c r="U44" s="446"/>
      <c r="V44" s="446"/>
      <c r="W44" s="446"/>
      <c r="X44" s="446"/>
      <c r="Y44" s="446"/>
      <c r="Z44" s="446"/>
      <c r="AA44" s="418"/>
      <c r="AB44" s="418"/>
    </row>
    <row r="45" spans="2:28" ht="14.7" thickBot="1" x14ac:dyDescent="0.6">
      <c r="F45" s="600"/>
      <c r="G45" s="232">
        <v>1.866265990429492</v>
      </c>
      <c r="H45" s="597">
        <v>1.0152825727437316</v>
      </c>
      <c r="I45" s="598"/>
      <c r="J45" s="235"/>
      <c r="K45" s="600"/>
      <c r="L45" s="232">
        <v>4.6485194464947588</v>
      </c>
      <c r="M45" s="597">
        <v>1.013688526203292</v>
      </c>
      <c r="N45" s="598"/>
      <c r="S45" s="418"/>
      <c r="T45" s="418"/>
      <c r="U45" s="446"/>
      <c r="V45" s="446"/>
      <c r="W45" s="446"/>
      <c r="X45" s="446"/>
      <c r="Y45" s="446"/>
      <c r="Z45" s="446"/>
      <c r="AA45" s="418"/>
      <c r="AB45" s="418"/>
    </row>
    <row r="46" spans="2:28" x14ac:dyDescent="0.55000000000000004">
      <c r="F46" s="599" t="s">
        <v>303</v>
      </c>
      <c r="G46" s="585">
        <v>0.79291789160158044</v>
      </c>
      <c r="H46" s="593" t="s">
        <v>312</v>
      </c>
      <c r="I46" s="594"/>
      <c r="J46" s="235"/>
      <c r="K46" s="599" t="s">
        <v>303</v>
      </c>
      <c r="L46" s="585">
        <v>0.90609030842693761</v>
      </c>
      <c r="M46" s="593" t="s">
        <v>312</v>
      </c>
      <c r="N46" s="594"/>
      <c r="S46" s="418"/>
      <c r="T46" s="418"/>
      <c r="U46" s="446"/>
      <c r="V46" s="446"/>
      <c r="W46" s="447"/>
      <c r="X46" s="447"/>
      <c r="Y46" s="447"/>
      <c r="Z46" s="447"/>
      <c r="AA46" s="418"/>
      <c r="AB46" s="418"/>
    </row>
    <row r="47" spans="2:28" ht="14.7" thickBot="1" x14ac:dyDescent="0.6">
      <c r="F47" s="600"/>
      <c r="G47" s="586"/>
      <c r="H47" s="606">
        <v>-1.2852169656465184E-2</v>
      </c>
      <c r="I47" s="607"/>
      <c r="J47" s="235"/>
      <c r="K47" s="600"/>
      <c r="L47" s="586"/>
      <c r="M47" s="606">
        <v>1.1444753683192754E-2</v>
      </c>
      <c r="N47" s="607"/>
      <c r="S47" s="418"/>
      <c r="T47" s="418"/>
      <c r="U47" s="446"/>
      <c r="V47" s="446"/>
      <c r="W47" s="447"/>
      <c r="X47" s="447"/>
      <c r="Y47" s="447"/>
      <c r="Z47" s="447"/>
      <c r="AA47" s="418"/>
      <c r="AB47" s="418"/>
    </row>
    <row r="48" spans="2:28" x14ac:dyDescent="0.55000000000000004">
      <c r="F48" s="599" t="s">
        <v>304</v>
      </c>
      <c r="G48" s="585">
        <v>1584073.48764541</v>
      </c>
      <c r="H48" s="587" t="s">
        <v>314</v>
      </c>
      <c r="I48" s="588"/>
      <c r="J48" s="235"/>
      <c r="K48" s="599" t="s">
        <v>304</v>
      </c>
      <c r="L48" s="585">
        <v>6025473.5221382724</v>
      </c>
      <c r="M48" s="587" t="s">
        <v>314</v>
      </c>
      <c r="N48" s="588"/>
      <c r="S48" s="418"/>
      <c r="T48" s="418"/>
      <c r="U48" s="446"/>
      <c r="V48" s="446"/>
      <c r="W48" s="447"/>
      <c r="X48" s="447"/>
      <c r="Y48" s="447"/>
      <c r="Z48" s="447"/>
      <c r="AA48" s="418"/>
      <c r="AB48" s="418"/>
    </row>
    <row r="49" spans="6:28" ht="14.7" thickBot="1" x14ac:dyDescent="0.6">
      <c r="F49" s="600"/>
      <c r="G49" s="586"/>
      <c r="H49" s="601">
        <v>0.45990677176579364</v>
      </c>
      <c r="I49" s="602"/>
      <c r="J49" s="235" t="s">
        <v>484</v>
      </c>
      <c r="K49" s="600"/>
      <c r="L49" s="586"/>
      <c r="M49" s="601">
        <v>0.53165848172920782</v>
      </c>
      <c r="N49" s="602"/>
      <c r="S49" s="418"/>
      <c r="T49" s="418"/>
      <c r="U49" s="446"/>
      <c r="V49" s="446"/>
      <c r="W49" s="448"/>
      <c r="X49" s="448"/>
      <c r="Y49" s="448"/>
      <c r="Z49" s="448"/>
      <c r="AA49" s="418"/>
      <c r="AB49" s="418"/>
    </row>
    <row r="50" spans="6:28" ht="14.7" x14ac:dyDescent="0.55000000000000004">
      <c r="F50" s="599" t="s">
        <v>313</v>
      </c>
      <c r="G50" s="585">
        <v>6.5080147324787882E-2</v>
      </c>
      <c r="H50" s="587" t="s">
        <v>327</v>
      </c>
      <c r="I50" s="588"/>
      <c r="J50" s="235"/>
      <c r="K50" s="599" t="s">
        <v>313</v>
      </c>
      <c r="L50" s="585">
        <v>0.11871324891291707</v>
      </c>
      <c r="M50" s="587" t="s">
        <v>327</v>
      </c>
      <c r="N50" s="588"/>
      <c r="S50" s="418"/>
      <c r="T50" s="418"/>
      <c r="U50" s="446"/>
      <c r="V50" s="446"/>
      <c r="W50" s="448"/>
      <c r="X50" s="448"/>
      <c r="Y50" s="448"/>
      <c r="Z50" s="448"/>
      <c r="AA50" s="418"/>
      <c r="AB50" s="418"/>
    </row>
    <row r="51" spans="6:28" ht="14.7" thickBot="1" x14ac:dyDescent="0.6">
      <c r="F51" s="600"/>
      <c r="G51" s="586"/>
      <c r="H51" s="597">
        <v>1.0399955546984287</v>
      </c>
      <c r="I51" s="598"/>
      <c r="J51" s="235"/>
      <c r="K51" s="600"/>
      <c r="L51" s="586"/>
      <c r="M51" s="597">
        <v>1.0030643174904312</v>
      </c>
      <c r="N51" s="598"/>
      <c r="S51" s="418"/>
      <c r="T51" s="418"/>
      <c r="U51" s="446"/>
      <c r="V51" s="446"/>
      <c r="W51" s="448"/>
      <c r="X51" s="448"/>
      <c r="Y51" s="448"/>
      <c r="Z51" s="448"/>
      <c r="AA51" s="418"/>
      <c r="AB51" s="418"/>
    </row>
    <row r="52" spans="6:28" ht="14.7" x14ac:dyDescent="0.55000000000000004">
      <c r="F52" s="583" t="s">
        <v>316</v>
      </c>
      <c r="G52" s="585">
        <v>2.163283596079796</v>
      </c>
      <c r="H52" s="587" t="s">
        <v>328</v>
      </c>
      <c r="I52" s="588"/>
      <c r="J52" s="235"/>
      <c r="K52" s="583" t="s">
        <v>316</v>
      </c>
      <c r="L52" s="585">
        <v>3.9587406647249139</v>
      </c>
      <c r="M52" s="587" t="s">
        <v>328</v>
      </c>
      <c r="N52" s="588"/>
      <c r="S52" s="418"/>
      <c r="T52" s="418"/>
      <c r="U52" s="446"/>
      <c r="V52" s="446"/>
      <c r="W52" s="448"/>
      <c r="X52" s="448"/>
      <c r="Y52" s="448"/>
      <c r="Z52" s="448"/>
      <c r="AA52" s="418"/>
      <c r="AB52" s="418"/>
    </row>
    <row r="53" spans="6:28" ht="14.7" thickBot="1" x14ac:dyDescent="0.6">
      <c r="F53" s="584"/>
      <c r="G53" s="586"/>
      <c r="H53" s="597">
        <v>1.0345349274168452</v>
      </c>
      <c r="I53" s="598"/>
      <c r="J53" s="235"/>
      <c r="K53" s="584"/>
      <c r="L53" s="586"/>
      <c r="M53" s="597">
        <v>0.99709657854129519</v>
      </c>
      <c r="N53" s="598"/>
      <c r="S53" s="418"/>
      <c r="T53" s="418"/>
      <c r="U53" s="446"/>
      <c r="V53" s="446"/>
      <c r="W53" s="448"/>
      <c r="X53" s="448"/>
      <c r="Y53" s="448"/>
      <c r="Z53" s="448"/>
      <c r="AA53" s="418"/>
      <c r="AB53" s="418"/>
    </row>
    <row r="54" spans="6:28" x14ac:dyDescent="0.55000000000000004">
      <c r="F54" s="583" t="s">
        <v>333</v>
      </c>
      <c r="G54" s="585">
        <v>18.621757056162053</v>
      </c>
      <c r="H54" s="587" t="s">
        <v>334</v>
      </c>
      <c r="I54" s="588"/>
      <c r="J54" s="235"/>
      <c r="K54" s="583" t="s">
        <v>333</v>
      </c>
      <c r="L54" s="585">
        <v>44.057717727317744</v>
      </c>
      <c r="M54" s="587" t="s">
        <v>334</v>
      </c>
      <c r="N54" s="588"/>
      <c r="S54" s="418"/>
      <c r="T54" s="418"/>
      <c r="U54" s="446"/>
      <c r="V54" s="446"/>
      <c r="W54" s="448"/>
      <c r="X54" s="448"/>
      <c r="Y54" s="448"/>
      <c r="Z54" s="448"/>
      <c r="AA54" s="418"/>
      <c r="AB54" s="418"/>
    </row>
    <row r="55" spans="6:28" ht="14.7" thickBot="1" x14ac:dyDescent="0.6">
      <c r="F55" s="584"/>
      <c r="G55" s="586"/>
      <c r="H55" s="597">
        <v>0.53897994373840963</v>
      </c>
      <c r="I55" s="598"/>
      <c r="J55" s="236"/>
      <c r="K55" s="584"/>
      <c r="L55" s="586"/>
      <c r="M55" s="597">
        <v>0.52814334365041649</v>
      </c>
      <c r="N55" s="598"/>
      <c r="S55" s="418"/>
      <c r="T55" s="418"/>
      <c r="U55" s="446"/>
      <c r="V55" s="446"/>
      <c r="W55" s="448"/>
      <c r="X55" s="448"/>
      <c r="Y55" s="448"/>
      <c r="Z55" s="448"/>
      <c r="AA55" s="418"/>
      <c r="AB55" s="418"/>
    </row>
    <row r="56" spans="6:28" x14ac:dyDescent="0.55000000000000004">
      <c r="F56" s="583" t="s">
        <v>335</v>
      </c>
      <c r="G56" s="585">
        <v>34.837971954036881</v>
      </c>
      <c r="H56" s="587" t="s">
        <v>336</v>
      </c>
      <c r="I56" s="588"/>
      <c r="J56" s="234"/>
      <c r="K56" s="583" t="s">
        <v>335</v>
      </c>
      <c r="L56" s="585">
        <v>82.424098322948936</v>
      </c>
      <c r="M56" s="587" t="s">
        <v>336</v>
      </c>
      <c r="N56" s="588"/>
      <c r="S56" s="418"/>
      <c r="T56" s="418"/>
      <c r="U56" s="446"/>
      <c r="V56" s="446"/>
      <c r="W56" s="448"/>
      <c r="X56" s="448"/>
      <c r="Y56" s="448"/>
      <c r="Z56" s="448"/>
      <c r="AA56" s="418"/>
      <c r="AB56" s="418"/>
    </row>
    <row r="57" spans="6:28" ht="14.7" thickBot="1" x14ac:dyDescent="0.6">
      <c r="F57" s="584"/>
      <c r="G57" s="586"/>
      <c r="H57" s="589">
        <v>1.0083349335466534</v>
      </c>
      <c r="I57" s="590"/>
      <c r="J57" s="234"/>
      <c r="K57" s="584"/>
      <c r="L57" s="586"/>
      <c r="M57" s="589">
        <v>0.98806159581573882</v>
      </c>
      <c r="N57" s="590"/>
      <c r="S57" s="418"/>
      <c r="T57" s="418"/>
      <c r="U57" s="446"/>
      <c r="V57" s="446"/>
      <c r="W57" s="448"/>
      <c r="X57" s="448"/>
      <c r="Y57" s="448"/>
      <c r="Z57" s="448"/>
      <c r="AA57" s="418"/>
      <c r="AB57" s="418"/>
    </row>
    <row r="58" spans="6:28" x14ac:dyDescent="0.55000000000000004">
      <c r="F58" s="583" t="s">
        <v>315</v>
      </c>
      <c r="G58" s="585">
        <v>349.19867230786002</v>
      </c>
      <c r="H58" s="587" t="s">
        <v>317</v>
      </c>
      <c r="I58" s="588"/>
      <c r="J58" s="234"/>
      <c r="K58" s="583" t="s">
        <v>315</v>
      </c>
      <c r="L58" s="585">
        <v>3547.3090034002084</v>
      </c>
      <c r="M58" s="587" t="s">
        <v>317</v>
      </c>
      <c r="N58" s="588"/>
      <c r="S58" s="418"/>
      <c r="T58" s="418"/>
      <c r="U58" s="446"/>
      <c r="V58" s="446"/>
      <c r="W58" s="447"/>
      <c r="X58" s="447"/>
      <c r="Y58" s="447"/>
      <c r="Z58" s="447"/>
      <c r="AA58" s="418"/>
      <c r="AB58" s="418"/>
    </row>
    <row r="59" spans="6:28" ht="14.7" thickBot="1" x14ac:dyDescent="0.6">
      <c r="F59" s="584"/>
      <c r="G59" s="586"/>
      <c r="H59" s="597">
        <v>0.59592529076904477</v>
      </c>
      <c r="I59" s="598"/>
      <c r="J59" s="234"/>
      <c r="K59" s="584"/>
      <c r="L59" s="586"/>
      <c r="M59" s="597">
        <v>0.46895116079966204</v>
      </c>
      <c r="N59" s="598"/>
      <c r="S59" s="418"/>
      <c r="T59" s="418"/>
      <c r="U59" s="446"/>
      <c r="V59" s="446"/>
      <c r="W59" s="449"/>
      <c r="X59" s="418"/>
      <c r="Y59" s="418"/>
      <c r="Z59" s="418"/>
      <c r="AA59" s="418"/>
      <c r="AB59" s="418"/>
    </row>
    <row r="60" spans="6:28" x14ac:dyDescent="0.55000000000000004">
      <c r="F60" s="583" t="s">
        <v>337</v>
      </c>
      <c r="G60" s="585">
        <v>776.29134447976526</v>
      </c>
      <c r="H60" s="587" t="s">
        <v>338</v>
      </c>
      <c r="I60" s="588"/>
      <c r="J60" s="234"/>
      <c r="K60" s="583" t="s">
        <v>337</v>
      </c>
      <c r="L60" s="585">
        <v>7407.3239962043008</v>
      </c>
      <c r="M60" s="587" t="s">
        <v>338</v>
      </c>
      <c r="N60" s="588"/>
      <c r="S60" s="418"/>
      <c r="T60" s="418"/>
      <c r="U60" s="418"/>
      <c r="V60" s="449"/>
      <c r="W60" s="449"/>
      <c r="X60" s="418"/>
      <c r="Y60" s="418"/>
      <c r="Z60" s="418"/>
      <c r="AA60" s="418"/>
      <c r="AB60" s="418"/>
    </row>
    <row r="61" spans="6:28" ht="14.7" thickBot="1" x14ac:dyDescent="0.6">
      <c r="F61" s="584"/>
      <c r="G61" s="586"/>
      <c r="H61" s="589">
        <v>1.3247806531542303</v>
      </c>
      <c r="I61" s="590"/>
      <c r="J61" s="234"/>
      <c r="K61" s="584"/>
      <c r="L61" s="586"/>
      <c r="M61" s="589">
        <v>0.97924178105419402</v>
      </c>
      <c r="N61" s="590"/>
      <c r="S61" s="418"/>
      <c r="T61" s="418"/>
      <c r="U61" s="418"/>
      <c r="V61" s="449"/>
      <c r="W61" s="449"/>
      <c r="X61" s="418"/>
      <c r="Y61" s="418"/>
      <c r="Z61" s="418"/>
      <c r="AA61" s="418"/>
      <c r="AB61" s="418"/>
    </row>
    <row r="62" spans="6:28" x14ac:dyDescent="0.55000000000000004">
      <c r="F62" s="583" t="s">
        <v>350</v>
      </c>
      <c r="G62" s="591">
        <v>0.69259343752995617</v>
      </c>
      <c r="H62" s="593" t="s">
        <v>358</v>
      </c>
      <c r="I62" s="594"/>
      <c r="J62" s="234"/>
      <c r="K62" s="583" t="s">
        <v>350</v>
      </c>
      <c r="L62" s="591">
        <v>0.87544725767536669</v>
      </c>
      <c r="M62" s="593" t="s">
        <v>358</v>
      </c>
      <c r="N62" s="594"/>
      <c r="S62" s="418"/>
      <c r="T62" s="418"/>
      <c r="U62" s="418"/>
      <c r="V62" s="418"/>
      <c r="W62" s="418"/>
      <c r="X62" s="418"/>
      <c r="Y62" s="418"/>
      <c r="Z62" s="418"/>
      <c r="AA62" s="418"/>
      <c r="AB62" s="418"/>
    </row>
    <row r="63" spans="6:28" ht="14.7" thickBot="1" x14ac:dyDescent="0.6">
      <c r="F63" s="584"/>
      <c r="G63" s="592"/>
      <c r="H63" s="595">
        <v>0.69541791203236125</v>
      </c>
      <c r="I63" s="596"/>
      <c r="J63" s="234"/>
      <c r="K63" s="584"/>
      <c r="L63" s="592"/>
      <c r="M63" s="595">
        <v>0.8760332780928809</v>
      </c>
      <c r="N63" s="596"/>
      <c r="S63" s="418"/>
      <c r="T63" s="418"/>
      <c r="U63" s="418"/>
      <c r="V63" s="418"/>
      <c r="W63" s="418"/>
      <c r="X63" s="418"/>
      <c r="Y63" s="418"/>
      <c r="Z63" s="418"/>
      <c r="AA63" s="418"/>
      <c r="AB63" s="418"/>
    </row>
    <row r="64" spans="6:28" x14ac:dyDescent="0.55000000000000004">
      <c r="S64" s="418"/>
      <c r="T64" s="418"/>
      <c r="U64" s="418"/>
      <c r="V64" s="418"/>
      <c r="W64" s="418"/>
      <c r="X64" s="418"/>
      <c r="Y64" s="418"/>
      <c r="Z64" s="418"/>
      <c r="AA64" s="418"/>
      <c r="AB64" s="418"/>
    </row>
    <row r="65" spans="19:28" x14ac:dyDescent="0.55000000000000004">
      <c r="S65" s="418"/>
      <c r="T65" s="418"/>
      <c r="U65" s="418"/>
      <c r="V65" s="418"/>
      <c r="W65" s="418"/>
      <c r="X65" s="418"/>
      <c r="Y65" s="418"/>
      <c r="Z65" s="418"/>
      <c r="AA65" s="418"/>
      <c r="AB65" s="418"/>
    </row>
    <row r="66" spans="19:28" x14ac:dyDescent="0.55000000000000004">
      <c r="S66" s="418"/>
      <c r="T66" s="418"/>
      <c r="U66" s="418"/>
      <c r="V66" s="418"/>
      <c r="W66" s="418"/>
      <c r="X66" s="418"/>
      <c r="Y66" s="418"/>
      <c r="Z66" s="418"/>
      <c r="AA66" s="418"/>
      <c r="AB66" s="418"/>
    </row>
    <row r="67" spans="19:28" x14ac:dyDescent="0.55000000000000004">
      <c r="S67" s="418"/>
      <c r="T67" s="418"/>
      <c r="U67" s="418"/>
      <c r="V67" s="418"/>
      <c r="W67" s="418"/>
      <c r="X67" s="418"/>
      <c r="Y67" s="418"/>
      <c r="Z67" s="418"/>
      <c r="AA67" s="418"/>
      <c r="AB67" s="418"/>
    </row>
    <row r="68" spans="19:28" x14ac:dyDescent="0.55000000000000004">
      <c r="S68" s="418"/>
      <c r="T68" s="418"/>
      <c r="U68" s="418"/>
      <c r="V68" s="418"/>
      <c r="W68" s="418"/>
      <c r="X68" s="418"/>
      <c r="Y68" s="418"/>
      <c r="Z68" s="418"/>
      <c r="AA68" s="418"/>
      <c r="AB68" s="418"/>
    </row>
    <row r="256" spans="8:8" x14ac:dyDescent="0.55000000000000004">
      <c r="H256">
        <v>1.0117164058519745</v>
      </c>
    </row>
  </sheetData>
  <mergeCells count="20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F43:I43"/>
    <mergeCell ref="K43:N43"/>
    <mergeCell ref="F44:F45"/>
    <mergeCell ref="H44:I44"/>
    <mergeCell ref="K44:K45"/>
    <mergeCell ref="M44:N44"/>
    <mergeCell ref="H45:I45"/>
    <mergeCell ref="M45:N45"/>
    <mergeCell ref="F46:F47"/>
    <mergeCell ref="G46:G47"/>
    <mergeCell ref="H46:I46"/>
    <mergeCell ref="K46:K47"/>
    <mergeCell ref="L46:L47"/>
    <mergeCell ref="M46:N46"/>
    <mergeCell ref="H47:I47"/>
    <mergeCell ref="M47:N47"/>
    <mergeCell ref="K48:K49"/>
    <mergeCell ref="L48:L49"/>
    <mergeCell ref="M48:N48"/>
    <mergeCell ref="H49:I49"/>
    <mergeCell ref="M49:N49"/>
    <mergeCell ref="F50:F51"/>
    <mergeCell ref="G50:G51"/>
    <mergeCell ref="H50:I50"/>
    <mergeCell ref="K50:K51"/>
    <mergeCell ref="L50:L51"/>
    <mergeCell ref="M50:N50"/>
    <mergeCell ref="H51:I51"/>
    <mergeCell ref="M51:N51"/>
    <mergeCell ref="F48:F49"/>
    <mergeCell ref="G48:G49"/>
    <mergeCell ref="H48:I48"/>
    <mergeCell ref="F52:F53"/>
    <mergeCell ref="G52:G53"/>
    <mergeCell ref="H52:I52"/>
    <mergeCell ref="K52:K53"/>
    <mergeCell ref="L52:L53"/>
    <mergeCell ref="M52:N52"/>
    <mergeCell ref="H53:I53"/>
    <mergeCell ref="M53:N53"/>
    <mergeCell ref="F54:F55"/>
    <mergeCell ref="G54:G55"/>
    <mergeCell ref="H54:I54"/>
    <mergeCell ref="K54:K55"/>
    <mergeCell ref="L54:L55"/>
    <mergeCell ref="M54:N54"/>
    <mergeCell ref="H55:I55"/>
    <mergeCell ref="M55:N55"/>
    <mergeCell ref="F56:F57"/>
    <mergeCell ref="G56:G57"/>
    <mergeCell ref="H56:I56"/>
    <mergeCell ref="K56:K57"/>
    <mergeCell ref="L56:L57"/>
    <mergeCell ref="M56:N56"/>
    <mergeCell ref="H57:I57"/>
    <mergeCell ref="M57:N57"/>
    <mergeCell ref="F58:F59"/>
    <mergeCell ref="G58:G59"/>
    <mergeCell ref="H58:I58"/>
    <mergeCell ref="K58:K59"/>
    <mergeCell ref="L58:L59"/>
    <mergeCell ref="M58:N58"/>
    <mergeCell ref="H59:I59"/>
    <mergeCell ref="M59:N59"/>
    <mergeCell ref="F60:F61"/>
    <mergeCell ref="G60:G61"/>
    <mergeCell ref="H60:I60"/>
    <mergeCell ref="K60:K61"/>
    <mergeCell ref="L60:L61"/>
    <mergeCell ref="M60:N60"/>
    <mergeCell ref="H61:I61"/>
    <mergeCell ref="M61:N61"/>
    <mergeCell ref="F62:F63"/>
    <mergeCell ref="G62:G63"/>
    <mergeCell ref="H62:I62"/>
    <mergeCell ref="K62:K63"/>
    <mergeCell ref="L62:L63"/>
    <mergeCell ref="M62:N62"/>
    <mergeCell ref="H63:I63"/>
    <mergeCell ref="M63:N63"/>
  </mergeCells>
  <conditionalFormatting sqref="H19:I19">
    <cfRule type="cellIs" dxfId="109" priority="46" operator="between">
      <formula>1.05</formula>
      <formula>1000</formula>
    </cfRule>
    <cfRule type="cellIs" dxfId="108" priority="47" operator="between">
      <formula>-100</formula>
      <formula>0.95</formula>
    </cfRule>
    <cfRule type="cellIs" dxfId="107" priority="48" operator="between">
      <formula>0.95</formula>
      <formula>1.05</formula>
    </cfRule>
    <cfRule type="cellIs" dxfId="106" priority="49" operator="between">
      <formula>0.95</formula>
      <formula>1.05</formula>
    </cfRule>
  </conditionalFormatting>
  <conditionalFormatting sqref="H25:I25">
    <cfRule type="cellIs" dxfId="105" priority="43" operator="between">
      <formula>1.04</formula>
      <formula>1000</formula>
    </cfRule>
    <cfRule type="cellIs" dxfId="104" priority="44" operator="between">
      <formula>-100</formula>
      <formula>0.96</formula>
    </cfRule>
    <cfRule type="cellIs" dxfId="103" priority="45" operator="between">
      <formula>0.96</formula>
      <formula>1.04</formula>
    </cfRule>
  </conditionalFormatting>
  <conditionalFormatting sqref="G22:G23">
    <cfRule type="cellIs" dxfId="102" priority="42" operator="lessThan">
      <formula>90000</formula>
    </cfRule>
  </conditionalFormatting>
  <conditionalFormatting sqref="M19:N19">
    <cfRule type="cellIs" dxfId="101" priority="38" operator="between">
      <formula>1.05</formula>
      <formula>1000</formula>
    </cfRule>
    <cfRule type="cellIs" dxfId="100" priority="39" operator="between">
      <formula>-100</formula>
      <formula>0.95</formula>
    </cfRule>
    <cfRule type="cellIs" dxfId="99" priority="40" operator="between">
      <formula>0.95</formula>
      <formula>1.05</formula>
    </cfRule>
    <cfRule type="cellIs" dxfId="98" priority="41" operator="between">
      <formula>0.95</formula>
      <formula>1.05</formula>
    </cfRule>
  </conditionalFormatting>
  <conditionalFormatting sqref="M25:N25">
    <cfRule type="cellIs" dxfId="97" priority="35" operator="between">
      <formula>1.04</formula>
      <formula>1000</formula>
    </cfRule>
    <cfRule type="cellIs" dxfId="96" priority="36" operator="between">
      <formula>-100</formula>
      <formula>0.96</formula>
    </cfRule>
    <cfRule type="cellIs" dxfId="95" priority="37" operator="between">
      <formula>0.96</formula>
      <formula>1.04</formula>
    </cfRule>
  </conditionalFormatting>
  <conditionalFormatting sqref="L22:L23">
    <cfRule type="cellIs" dxfId="94" priority="34" operator="lessThan">
      <formula>90000</formula>
    </cfRule>
  </conditionalFormatting>
  <conditionalFormatting sqref="D24">
    <cfRule type="expression" dxfId="93" priority="28">
      <formula>IF($C$23="No",TRUE,FALSE)</formula>
    </cfRule>
    <cfRule type="expression" dxfId="92" priority="29">
      <formula>"C23=No"</formula>
    </cfRule>
  </conditionalFormatting>
  <conditionalFormatting sqref="R23:S24">
    <cfRule type="expression" dxfId="91" priority="17">
      <formula>AND(R23="Calculando...",R23="Calculando...")</formula>
    </cfRule>
    <cfRule type="expression" dxfId="90" priority="18">
      <formula>AND(R23="Carregando script...",R23="Carregando script...")</formula>
    </cfRule>
    <cfRule type="cellIs" dxfId="89" priority="19" operator="equal">
      <formula>"Carregando bibliotecas..."</formula>
    </cfRule>
    <cfRule type="cellIs" dxfId="88" priority="20" operator="equal">
      <formula>"ERRO!"</formula>
    </cfRule>
    <cfRule type="expression" dxfId="87" priority="21">
      <formula>AND(R23="Calculado",R23="Calculado")</formula>
    </cfRule>
  </conditionalFormatting>
  <conditionalFormatting sqref="H45:I45">
    <cfRule type="cellIs" dxfId="86" priority="13" operator="between">
      <formula>1.05</formula>
      <formula>1000</formula>
    </cfRule>
    <cfRule type="cellIs" dxfId="85" priority="14" operator="between">
      <formula>-100</formula>
      <formula>0.95</formula>
    </cfRule>
    <cfRule type="cellIs" dxfId="84" priority="15" operator="between">
      <formula>0.95</formula>
      <formula>1.05</formula>
    </cfRule>
    <cfRule type="cellIs" dxfId="83" priority="16" operator="between">
      <formula>0.95</formula>
      <formula>1.05</formula>
    </cfRule>
  </conditionalFormatting>
  <conditionalFormatting sqref="H51:I51">
    <cfRule type="cellIs" dxfId="82" priority="10" operator="between">
      <formula>1.04</formula>
      <formula>1000</formula>
    </cfRule>
    <cfRule type="cellIs" dxfId="81" priority="11" operator="between">
      <formula>-100</formula>
      <formula>0.96</formula>
    </cfRule>
    <cfRule type="cellIs" dxfId="80" priority="12" operator="between">
      <formula>0.96</formula>
      <formula>1.04</formula>
    </cfRule>
  </conditionalFormatting>
  <conditionalFormatting sqref="G48:G49">
    <cfRule type="cellIs" dxfId="79" priority="9" operator="lessThan">
      <formula>90000</formula>
    </cfRule>
  </conditionalFormatting>
  <conditionalFormatting sqref="M45:N45">
    <cfRule type="cellIs" dxfId="78" priority="5" operator="between">
      <formula>1.05</formula>
      <formula>1000</formula>
    </cfRule>
    <cfRule type="cellIs" dxfId="77" priority="6" operator="between">
      <formula>-100</formula>
      <formula>0.95</formula>
    </cfRule>
    <cfRule type="cellIs" dxfId="76" priority="7" operator="between">
      <formula>0.95</formula>
      <formula>1.05</formula>
    </cfRule>
    <cfRule type="cellIs" dxfId="75" priority="8" operator="between">
      <formula>0.95</formula>
      <formula>1.05</formula>
    </cfRule>
  </conditionalFormatting>
  <conditionalFormatting sqref="M51:N51">
    <cfRule type="cellIs" dxfId="74" priority="2" operator="between">
      <formula>1.04</formula>
      <formula>1000</formula>
    </cfRule>
    <cfRule type="cellIs" dxfId="73" priority="3" operator="between">
      <formula>-100</formula>
      <formula>0.96</formula>
    </cfRule>
    <cfRule type="cellIs" dxfId="72" priority="4" operator="between">
      <formula>0.96</formula>
      <formula>1.04</formula>
    </cfRule>
  </conditionalFormatting>
  <conditionalFormatting sqref="L48:L49">
    <cfRule type="cellIs" dxfId="71" priority="1" operator="lessThan">
      <formula>90000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60"/>
  <sheetViews>
    <sheetView showGridLines="0" zoomScale="70" zoomScaleNormal="70" workbookViewId="0">
      <selection activeCell="AQ25" sqref="AQ25"/>
    </sheetView>
  </sheetViews>
  <sheetFormatPr defaultRowHeight="14.4" x14ac:dyDescent="0.55000000000000004"/>
  <cols>
    <col min="1" max="1" width="7" customWidth="1"/>
    <col min="2" max="2" width="16.3125" customWidth="1"/>
    <col min="4" max="4" width="27.89453125" customWidth="1"/>
    <col min="5" max="5" width="7.15625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  <col min="30" max="30" width="6.9453125" customWidth="1"/>
  </cols>
  <sheetData>
    <row r="1" spans="1:42" x14ac:dyDescent="0.55000000000000004">
      <c r="A1" s="417"/>
      <c r="B1" s="418"/>
      <c r="C1" s="418"/>
      <c r="D1" s="418"/>
    </row>
    <row r="2" spans="1:42" ht="14.7" thickBot="1" x14ac:dyDescent="0.6">
      <c r="A2" s="418"/>
      <c r="B2" s="419"/>
      <c r="C2" s="419"/>
      <c r="D2" s="420"/>
    </row>
    <row r="3" spans="1:42" ht="13.5" customHeight="1" thickBot="1" x14ac:dyDescent="0.6">
      <c r="A3" s="418"/>
      <c r="B3" s="413" t="s">
        <v>352</v>
      </c>
      <c r="C3" s="414"/>
      <c r="D3" s="415"/>
      <c r="F3" s="665" t="s">
        <v>388</v>
      </c>
      <c r="G3" s="666"/>
      <c r="H3" s="666"/>
      <c r="I3" s="666"/>
      <c r="J3" s="666"/>
      <c r="K3" s="666"/>
      <c r="L3" s="666"/>
      <c r="M3" s="666"/>
      <c r="N3" s="666"/>
      <c r="O3" s="666"/>
      <c r="P3" s="666"/>
      <c r="Q3" s="666"/>
      <c r="R3" s="666"/>
      <c r="S3" s="666"/>
      <c r="T3" s="666"/>
      <c r="U3" s="666"/>
      <c r="V3" s="666"/>
      <c r="W3" s="666"/>
      <c r="X3" s="666"/>
      <c r="Y3" s="666"/>
      <c r="Z3" s="667"/>
      <c r="AE3" s="668" t="s">
        <v>489</v>
      </c>
      <c r="AF3" s="669"/>
      <c r="AG3" s="669"/>
      <c r="AH3" s="669"/>
      <c r="AI3" s="669"/>
      <c r="AJ3" s="669"/>
      <c r="AK3" s="669"/>
      <c r="AL3" s="669"/>
      <c r="AM3" s="669"/>
      <c r="AN3" s="669"/>
      <c r="AO3" s="666"/>
      <c r="AP3" s="667"/>
    </row>
    <row r="4" spans="1:42" ht="14.7" customHeight="1" thickBot="1" x14ac:dyDescent="0.6">
      <c r="A4" s="418"/>
      <c r="B4" s="608" t="s">
        <v>353</v>
      </c>
      <c r="C4" s="611" t="s">
        <v>354</v>
      </c>
      <c r="D4" s="439" t="s">
        <v>488</v>
      </c>
      <c r="F4" s="322"/>
      <c r="G4" s="326" t="s">
        <v>298</v>
      </c>
      <c r="H4" s="326">
        <v>3774</v>
      </c>
      <c r="I4" s="326" t="s">
        <v>300</v>
      </c>
      <c r="J4" s="326"/>
      <c r="K4" s="326"/>
      <c r="L4" s="325"/>
      <c r="M4" s="335"/>
      <c r="N4" s="326"/>
      <c r="O4" s="336"/>
      <c r="P4" s="335"/>
      <c r="Q4" s="335"/>
      <c r="R4" s="325"/>
      <c r="S4" s="410"/>
      <c r="T4" s="450"/>
      <c r="U4" s="410"/>
      <c r="V4" s="450"/>
      <c r="W4" s="410"/>
      <c r="X4" s="410"/>
      <c r="Y4" s="410"/>
      <c r="Z4" s="410"/>
      <c r="AE4" s="465"/>
      <c r="AF4" s="326" t="s">
        <v>298</v>
      </c>
      <c r="AG4" s="326">
        <v>3774</v>
      </c>
      <c r="AH4" s="326" t="s">
        <v>300</v>
      </c>
      <c r="AI4" s="326"/>
      <c r="AJ4" s="326"/>
      <c r="AK4" s="325"/>
      <c r="AL4" s="466"/>
      <c r="AM4" s="467"/>
      <c r="AN4" s="466"/>
      <c r="AO4" s="464"/>
      <c r="AP4" s="410"/>
    </row>
    <row r="5" spans="1:42" ht="15" customHeight="1" x14ac:dyDescent="0.55000000000000004">
      <c r="A5" s="418"/>
      <c r="B5" s="609"/>
      <c r="C5" s="612"/>
      <c r="D5" s="440">
        <v>0.01</v>
      </c>
      <c r="F5" s="322"/>
      <c r="G5" s="460" t="s">
        <v>379</v>
      </c>
      <c r="H5" s="324" t="s">
        <v>378</v>
      </c>
      <c r="I5" s="324" t="s">
        <v>377</v>
      </c>
      <c r="J5" s="324" t="s">
        <v>376</v>
      </c>
      <c r="K5" s="324" t="s">
        <v>375</v>
      </c>
      <c r="L5" s="324" t="s">
        <v>374</v>
      </c>
      <c r="M5" s="324" t="s">
        <v>418</v>
      </c>
      <c r="N5" s="324" t="s">
        <v>420</v>
      </c>
      <c r="O5" s="324" t="s">
        <v>417</v>
      </c>
      <c r="P5" s="324" t="s">
        <v>425</v>
      </c>
      <c r="Q5" s="324" t="s">
        <v>424</v>
      </c>
      <c r="R5" s="324" t="s">
        <v>374</v>
      </c>
      <c r="S5" s="324" t="s">
        <v>374</v>
      </c>
      <c r="T5" s="324" t="s">
        <v>417</v>
      </c>
      <c r="U5" s="324" t="s">
        <v>429</v>
      </c>
      <c r="V5" s="324" t="s">
        <v>431</v>
      </c>
      <c r="W5" s="324" t="s">
        <v>430</v>
      </c>
      <c r="X5" s="324" t="s">
        <v>419</v>
      </c>
      <c r="Y5" s="670" t="s">
        <v>421</v>
      </c>
      <c r="Z5" s="323" t="s">
        <v>298</v>
      </c>
      <c r="AE5" s="322"/>
      <c r="AF5" s="460" t="s">
        <v>379</v>
      </c>
      <c r="AG5" s="324" t="s">
        <v>378</v>
      </c>
      <c r="AH5" s="324" t="s">
        <v>377</v>
      </c>
      <c r="AI5" s="324" t="s">
        <v>376</v>
      </c>
      <c r="AJ5" s="324" t="s">
        <v>375</v>
      </c>
      <c r="AK5" s="324" t="s">
        <v>374</v>
      </c>
      <c r="AL5" s="324" t="s">
        <v>417</v>
      </c>
      <c r="AM5" s="324" t="s">
        <v>418</v>
      </c>
      <c r="AN5" s="324" t="s">
        <v>420</v>
      </c>
      <c r="AO5" s="670" t="s">
        <v>421</v>
      </c>
      <c r="AP5" s="323" t="s">
        <v>298</v>
      </c>
    </row>
    <row r="6" spans="1:42" ht="26.1" customHeight="1" thickBot="1" x14ac:dyDescent="0.6">
      <c r="A6" s="418"/>
      <c r="B6" s="609"/>
      <c r="C6" s="612"/>
      <c r="D6" s="439" t="s">
        <v>487</v>
      </c>
      <c r="F6" s="322"/>
      <c r="G6" s="229" t="s">
        <v>299</v>
      </c>
      <c r="H6" s="231" t="s">
        <v>309</v>
      </c>
      <c r="I6" s="231" t="s">
        <v>342</v>
      </c>
      <c r="J6" s="231" t="s">
        <v>301</v>
      </c>
      <c r="K6" s="231" t="s">
        <v>342</v>
      </c>
      <c r="L6" s="231" t="s">
        <v>301</v>
      </c>
      <c r="M6" s="231" t="s">
        <v>299</v>
      </c>
      <c r="N6" s="231" t="s">
        <v>301</v>
      </c>
      <c r="O6" s="231" t="s">
        <v>299</v>
      </c>
      <c r="P6" s="231" t="s">
        <v>342</v>
      </c>
      <c r="Q6" s="231" t="s">
        <v>301</v>
      </c>
      <c r="R6" s="231" t="s">
        <v>301</v>
      </c>
      <c r="S6" s="231" t="s">
        <v>301</v>
      </c>
      <c r="T6" s="231" t="s">
        <v>299</v>
      </c>
      <c r="U6" s="231" t="s">
        <v>299</v>
      </c>
      <c r="V6" s="231" t="s">
        <v>342</v>
      </c>
      <c r="W6" s="231" t="s">
        <v>301</v>
      </c>
      <c r="X6" s="231"/>
      <c r="Y6" s="671"/>
      <c r="Z6" s="230" t="s">
        <v>300</v>
      </c>
      <c r="AE6" s="322"/>
      <c r="AF6" s="229" t="s">
        <v>299</v>
      </c>
      <c r="AG6" s="231" t="s">
        <v>309</v>
      </c>
      <c r="AH6" s="231" t="s">
        <v>342</v>
      </c>
      <c r="AI6" s="231" t="s">
        <v>301</v>
      </c>
      <c r="AJ6" s="231" t="s">
        <v>342</v>
      </c>
      <c r="AK6" s="231" t="s">
        <v>301</v>
      </c>
      <c r="AL6" s="231" t="s">
        <v>299</v>
      </c>
      <c r="AM6" s="231" t="s">
        <v>299</v>
      </c>
      <c r="AN6" s="231" t="s">
        <v>301</v>
      </c>
      <c r="AO6" s="671"/>
      <c r="AP6" s="230" t="s">
        <v>300</v>
      </c>
    </row>
    <row r="7" spans="1:42" ht="14.4" customHeight="1" x14ac:dyDescent="0.55000000000000004">
      <c r="A7" s="418"/>
      <c r="B7" s="610"/>
      <c r="C7" s="613"/>
      <c r="D7" s="440">
        <v>0.01</v>
      </c>
      <c r="F7" s="462">
        <v>1</v>
      </c>
      <c r="G7" s="469"/>
      <c r="H7" s="321"/>
      <c r="I7" s="320">
        <v>94</v>
      </c>
      <c r="J7" s="320">
        <v>40</v>
      </c>
      <c r="K7" s="320">
        <v>220</v>
      </c>
      <c r="L7" s="320">
        <v>77</v>
      </c>
      <c r="M7" s="403"/>
      <c r="N7" s="406"/>
      <c r="O7" s="403"/>
      <c r="P7" s="320"/>
      <c r="Q7" s="320"/>
      <c r="R7" s="403"/>
      <c r="S7" s="403"/>
      <c r="T7" s="403"/>
      <c r="U7" s="320"/>
      <c r="V7" s="320"/>
      <c r="W7" s="320"/>
      <c r="X7" s="320"/>
      <c r="Y7" s="468">
        <v>1</v>
      </c>
      <c r="Z7" s="407">
        <v>3774</v>
      </c>
      <c r="AB7" s="679" t="s">
        <v>390</v>
      </c>
      <c r="AC7" s="680"/>
      <c r="AE7" s="462">
        <v>1</v>
      </c>
      <c r="AF7" s="469"/>
      <c r="AG7" s="321"/>
      <c r="AH7" s="320">
        <v>94</v>
      </c>
      <c r="AI7" s="320">
        <v>40</v>
      </c>
      <c r="AJ7" s="320">
        <v>220</v>
      </c>
      <c r="AK7" s="320">
        <v>77</v>
      </c>
      <c r="AL7" s="403"/>
      <c r="AM7" s="403"/>
      <c r="AN7" s="320"/>
      <c r="AO7" s="468">
        <v>1</v>
      </c>
      <c r="AP7" s="407">
        <v>3774</v>
      </c>
    </row>
    <row r="8" spans="1:42" ht="14.4" customHeight="1" x14ac:dyDescent="0.55000000000000004">
      <c r="A8" s="418"/>
      <c r="B8" s="608" t="s">
        <v>356</v>
      </c>
      <c r="C8" s="611" t="s">
        <v>354</v>
      </c>
      <c r="D8" s="439" t="s">
        <v>479</v>
      </c>
      <c r="F8" s="462">
        <v>2</v>
      </c>
      <c r="G8" s="469"/>
      <c r="H8" s="321"/>
      <c r="I8" s="320">
        <v>98</v>
      </c>
      <c r="J8" s="320">
        <v>40</v>
      </c>
      <c r="K8" s="320">
        <v>220</v>
      </c>
      <c r="L8" s="320">
        <v>73</v>
      </c>
      <c r="M8" s="403"/>
      <c r="N8" s="406"/>
      <c r="O8" s="403"/>
      <c r="P8" s="320"/>
      <c r="Q8" s="320"/>
      <c r="R8" s="403"/>
      <c r="S8" s="403"/>
      <c r="T8" s="403"/>
      <c r="U8" s="320"/>
      <c r="V8" s="320"/>
      <c r="W8" s="320"/>
      <c r="X8" s="320"/>
      <c r="Y8" s="468">
        <v>1</v>
      </c>
      <c r="Z8" s="407">
        <v>3774</v>
      </c>
      <c r="AB8" s="681"/>
      <c r="AC8" s="682"/>
      <c r="AE8" s="462">
        <v>2</v>
      </c>
      <c r="AF8" s="469"/>
      <c r="AG8" s="321"/>
      <c r="AH8" s="320">
        <v>98</v>
      </c>
      <c r="AI8" s="320">
        <v>40</v>
      </c>
      <c r="AJ8" s="320">
        <v>220</v>
      </c>
      <c r="AK8" s="320">
        <v>73</v>
      </c>
      <c r="AL8" s="403"/>
      <c r="AM8" s="403"/>
      <c r="AN8" s="320"/>
      <c r="AO8" s="468">
        <v>1</v>
      </c>
      <c r="AP8" s="407">
        <v>3774</v>
      </c>
    </row>
    <row r="9" spans="1:42" ht="14.4" customHeight="1" x14ac:dyDescent="0.55000000000000004">
      <c r="A9" s="418"/>
      <c r="B9" s="609"/>
      <c r="C9" s="612"/>
      <c r="D9" s="405">
        <v>5</v>
      </c>
      <c r="F9" s="462">
        <v>3</v>
      </c>
      <c r="G9" s="469"/>
      <c r="H9" s="321"/>
      <c r="I9" s="320">
        <v>102.5</v>
      </c>
      <c r="J9" s="320">
        <v>40</v>
      </c>
      <c r="K9" s="320">
        <v>220</v>
      </c>
      <c r="L9" s="320">
        <v>72</v>
      </c>
      <c r="M9" s="403"/>
      <c r="N9" s="406"/>
      <c r="O9" s="403"/>
      <c r="P9" s="320"/>
      <c r="Q9" s="320"/>
      <c r="R9" s="403"/>
      <c r="S9" s="403"/>
      <c r="T9" s="403"/>
      <c r="U9" s="320"/>
      <c r="V9" s="320"/>
      <c r="W9" s="320"/>
      <c r="X9" s="320"/>
      <c r="Y9" s="468">
        <v>1</v>
      </c>
      <c r="Z9" s="407">
        <v>3774</v>
      </c>
      <c r="AB9" s="683" t="s">
        <v>484</v>
      </c>
      <c r="AC9" s="684"/>
      <c r="AE9" s="462">
        <v>3</v>
      </c>
      <c r="AF9" s="469"/>
      <c r="AG9" s="321"/>
      <c r="AH9" s="320">
        <v>102.5</v>
      </c>
      <c r="AI9" s="320">
        <v>40</v>
      </c>
      <c r="AJ9" s="320">
        <v>220</v>
      </c>
      <c r="AK9" s="320">
        <v>72</v>
      </c>
      <c r="AL9" s="403"/>
      <c r="AM9" s="403"/>
      <c r="AN9" s="320"/>
      <c r="AO9" s="468">
        <v>1</v>
      </c>
      <c r="AP9" s="407">
        <v>3774</v>
      </c>
    </row>
    <row r="10" spans="1:42" ht="14.4" customHeight="1" thickBot="1" x14ac:dyDescent="0.6">
      <c r="A10" s="418"/>
      <c r="B10" s="609"/>
      <c r="C10" s="612"/>
      <c r="D10" s="441" t="s">
        <v>480</v>
      </c>
      <c r="F10" s="462">
        <v>4</v>
      </c>
      <c r="G10" s="469"/>
      <c r="H10" s="321"/>
      <c r="I10" s="320">
        <v>108</v>
      </c>
      <c r="J10" s="320">
        <v>40</v>
      </c>
      <c r="K10" s="320">
        <v>220</v>
      </c>
      <c r="L10" s="320">
        <v>71</v>
      </c>
      <c r="M10" s="403"/>
      <c r="N10" s="406"/>
      <c r="O10" s="403"/>
      <c r="P10" s="320"/>
      <c r="Q10" s="320"/>
      <c r="R10" s="403"/>
      <c r="S10" s="403"/>
      <c r="T10" s="403"/>
      <c r="U10" s="320"/>
      <c r="V10" s="320"/>
      <c r="W10" s="320"/>
      <c r="X10" s="320"/>
      <c r="Y10" s="468">
        <v>1</v>
      </c>
      <c r="Z10" s="407">
        <v>3774</v>
      </c>
      <c r="AB10" s="685"/>
      <c r="AC10" s="686"/>
      <c r="AE10" s="462">
        <v>4</v>
      </c>
      <c r="AF10" s="469"/>
      <c r="AG10" s="321"/>
      <c r="AH10" s="320">
        <v>108</v>
      </c>
      <c r="AI10" s="320">
        <v>40</v>
      </c>
      <c r="AJ10" s="320">
        <v>220</v>
      </c>
      <c r="AK10" s="320">
        <v>71</v>
      </c>
      <c r="AL10" s="403"/>
      <c r="AM10" s="403"/>
      <c r="AN10" s="320"/>
      <c r="AO10" s="468">
        <v>1</v>
      </c>
      <c r="AP10" s="407">
        <v>3774</v>
      </c>
    </row>
    <row r="11" spans="1:42" ht="15" customHeight="1" x14ac:dyDescent="0.55000000000000004">
      <c r="A11" s="418"/>
      <c r="B11" s="609"/>
      <c r="C11" s="612"/>
      <c r="D11" s="405"/>
      <c r="F11" s="462">
        <v>5</v>
      </c>
      <c r="G11" s="469"/>
      <c r="H11" s="321"/>
      <c r="I11" s="320">
        <v>111</v>
      </c>
      <c r="J11" s="320">
        <v>40</v>
      </c>
      <c r="K11" s="320">
        <v>220</v>
      </c>
      <c r="L11" s="320">
        <v>70.5</v>
      </c>
      <c r="M11" s="403"/>
      <c r="N11" s="406"/>
      <c r="O11" s="403"/>
      <c r="P11" s="320"/>
      <c r="Q11" s="320"/>
      <c r="R11" s="403"/>
      <c r="S11" s="403"/>
      <c r="T11" s="403"/>
      <c r="U11" s="320"/>
      <c r="V11" s="320"/>
      <c r="W11" s="320"/>
      <c r="X11" s="320"/>
      <c r="Y11" s="468">
        <v>1</v>
      </c>
      <c r="Z11" s="407">
        <v>3774</v>
      </c>
      <c r="AE11" s="462">
        <v>5</v>
      </c>
      <c r="AF11" s="469"/>
      <c r="AG11" s="321"/>
      <c r="AH11" s="320">
        <v>111</v>
      </c>
      <c r="AI11" s="320">
        <v>40</v>
      </c>
      <c r="AJ11" s="320">
        <v>220</v>
      </c>
      <c r="AK11" s="320">
        <v>70.5</v>
      </c>
      <c r="AL11" s="403"/>
      <c r="AM11" s="403"/>
      <c r="AN11" s="320"/>
      <c r="AO11" s="468">
        <v>1</v>
      </c>
      <c r="AP11" s="407">
        <v>3774</v>
      </c>
    </row>
    <row r="12" spans="1:42" ht="14.7" customHeight="1" x14ac:dyDescent="0.55000000000000004">
      <c r="A12" s="418"/>
      <c r="B12" s="609"/>
      <c r="C12" s="612"/>
      <c r="D12" s="441" t="s">
        <v>481</v>
      </c>
      <c r="F12" s="462">
        <v>6</v>
      </c>
      <c r="G12" s="469"/>
      <c r="H12" s="321"/>
      <c r="I12" s="320">
        <v>134</v>
      </c>
      <c r="J12" s="320">
        <v>40</v>
      </c>
      <c r="K12" s="320">
        <v>220</v>
      </c>
      <c r="L12" s="320">
        <v>68</v>
      </c>
      <c r="M12" s="403"/>
      <c r="N12" s="406"/>
      <c r="O12" s="403"/>
      <c r="P12" s="320"/>
      <c r="Q12" s="320"/>
      <c r="R12" s="403"/>
      <c r="S12" s="403"/>
      <c r="T12" s="403"/>
      <c r="U12" s="320"/>
      <c r="V12" s="320"/>
      <c r="W12" s="320"/>
      <c r="X12" s="320"/>
      <c r="Y12" s="468">
        <v>1</v>
      </c>
      <c r="Z12" s="407">
        <v>3774</v>
      </c>
      <c r="AE12" s="462">
        <v>6</v>
      </c>
      <c r="AF12" s="469"/>
      <c r="AG12" s="321"/>
      <c r="AH12" s="320">
        <v>134</v>
      </c>
      <c r="AI12" s="320">
        <v>40</v>
      </c>
      <c r="AJ12" s="320">
        <v>220</v>
      </c>
      <c r="AK12" s="320">
        <v>68</v>
      </c>
      <c r="AL12" s="403"/>
      <c r="AM12" s="403"/>
      <c r="AN12" s="320"/>
      <c r="AO12" s="468">
        <v>1</v>
      </c>
      <c r="AP12" s="407">
        <v>3774</v>
      </c>
    </row>
    <row r="13" spans="1:42" x14ac:dyDescent="0.55000000000000004">
      <c r="A13" s="418"/>
      <c r="B13" s="609"/>
      <c r="C13" s="612"/>
      <c r="D13" s="405">
        <v>25</v>
      </c>
      <c r="F13" s="462">
        <v>7</v>
      </c>
      <c r="G13" s="469"/>
      <c r="H13" s="321"/>
      <c r="I13" s="320"/>
      <c r="J13" s="320"/>
      <c r="K13" s="320"/>
      <c r="L13" s="320"/>
      <c r="M13" s="403"/>
      <c r="N13" s="406"/>
      <c r="O13" s="403"/>
      <c r="P13" s="320"/>
      <c r="Q13" s="320"/>
      <c r="R13" s="403"/>
      <c r="S13" s="403"/>
      <c r="T13" s="403"/>
      <c r="U13" s="320"/>
      <c r="V13" s="320"/>
      <c r="W13" s="320"/>
      <c r="X13" s="320"/>
      <c r="Y13" s="468"/>
      <c r="Z13" s="407"/>
      <c r="AE13" s="462">
        <v>7</v>
      </c>
      <c r="AF13" s="469"/>
      <c r="AG13" s="321"/>
      <c r="AH13" s="320"/>
      <c r="AI13" s="320"/>
      <c r="AJ13" s="320"/>
      <c r="AK13" s="320"/>
      <c r="AL13" s="403"/>
      <c r="AM13" s="403"/>
      <c r="AN13" s="320"/>
      <c r="AO13" s="468"/>
      <c r="AP13" s="407"/>
    </row>
    <row r="14" spans="1:42" x14ac:dyDescent="0.55000000000000004">
      <c r="A14" s="418"/>
      <c r="B14" s="609"/>
      <c r="C14" s="612"/>
      <c r="D14" s="441" t="s">
        <v>483</v>
      </c>
      <c r="F14" s="462">
        <v>8</v>
      </c>
      <c r="G14" s="469"/>
      <c r="H14" s="321"/>
      <c r="I14" s="320"/>
      <c r="J14" s="320"/>
      <c r="K14" s="320"/>
      <c r="L14" s="320"/>
      <c r="M14" s="403"/>
      <c r="N14" s="406"/>
      <c r="O14" s="403"/>
      <c r="P14" s="320"/>
      <c r="Q14" s="320"/>
      <c r="R14" s="403"/>
      <c r="S14" s="403"/>
      <c r="T14" s="403"/>
      <c r="U14" s="320"/>
      <c r="V14" s="320"/>
      <c r="W14" s="320"/>
      <c r="X14" s="320"/>
      <c r="Y14" s="468"/>
      <c r="Z14" s="407"/>
      <c r="AE14" s="462">
        <v>8</v>
      </c>
      <c r="AF14" s="469"/>
      <c r="AG14" s="321"/>
      <c r="AH14" s="320"/>
      <c r="AI14" s="320"/>
      <c r="AJ14" s="320"/>
      <c r="AK14" s="320"/>
      <c r="AL14" s="403"/>
      <c r="AM14" s="403"/>
      <c r="AN14" s="320"/>
      <c r="AO14" s="468"/>
      <c r="AP14" s="407"/>
    </row>
    <row r="15" spans="1:42" x14ac:dyDescent="0.55000000000000004">
      <c r="A15" s="418"/>
      <c r="B15" s="610"/>
      <c r="C15" s="613"/>
      <c r="D15" s="405">
        <v>13.6</v>
      </c>
      <c r="F15" s="462">
        <v>9</v>
      </c>
      <c r="G15" s="469"/>
      <c r="H15" s="321"/>
      <c r="I15" s="320"/>
      <c r="J15" s="320"/>
      <c r="K15" s="320"/>
      <c r="L15" s="320"/>
      <c r="M15" s="403"/>
      <c r="N15" s="406"/>
      <c r="O15" s="403"/>
      <c r="P15" s="320"/>
      <c r="Q15" s="320"/>
      <c r="R15" s="403"/>
      <c r="S15" s="403"/>
      <c r="T15" s="403"/>
      <c r="U15" s="320"/>
      <c r="V15" s="320"/>
      <c r="W15" s="320"/>
      <c r="X15" s="320"/>
      <c r="Y15" s="468"/>
      <c r="Z15" s="407"/>
      <c r="AE15" s="462">
        <v>9</v>
      </c>
      <c r="AF15" s="469"/>
      <c r="AG15" s="321"/>
      <c r="AH15" s="320"/>
      <c r="AI15" s="320"/>
      <c r="AJ15" s="320"/>
      <c r="AK15" s="320"/>
      <c r="AL15" s="403"/>
      <c r="AM15" s="403"/>
      <c r="AN15" s="320"/>
      <c r="AO15" s="468"/>
      <c r="AP15" s="407"/>
    </row>
    <row r="16" spans="1:42" ht="14.7" thickBot="1" x14ac:dyDescent="0.6">
      <c r="A16" s="418"/>
      <c r="B16" s="614" t="s">
        <v>357</v>
      </c>
      <c r="C16" s="615" t="s">
        <v>354</v>
      </c>
      <c r="D16" s="439" t="s">
        <v>479</v>
      </c>
      <c r="F16" s="463">
        <v>10</v>
      </c>
      <c r="G16" s="221"/>
      <c r="H16" s="319"/>
      <c r="I16" s="224"/>
      <c r="J16" s="224"/>
      <c r="K16" s="224"/>
      <c r="L16" s="224"/>
      <c r="M16" s="404"/>
      <c r="N16" s="408"/>
      <c r="O16" s="404"/>
      <c r="P16" s="224"/>
      <c r="Q16" s="224"/>
      <c r="R16" s="404"/>
      <c r="S16" s="404"/>
      <c r="T16" s="404"/>
      <c r="U16" s="224"/>
      <c r="V16" s="224"/>
      <c r="W16" s="224"/>
      <c r="X16" s="224"/>
      <c r="Y16" s="470"/>
      <c r="Z16" s="409"/>
      <c r="AE16" s="463">
        <v>10</v>
      </c>
      <c r="AF16" s="221"/>
      <c r="AG16" s="319"/>
      <c r="AH16" s="224"/>
      <c r="AI16" s="224"/>
      <c r="AJ16" s="224"/>
      <c r="AK16" s="224"/>
      <c r="AL16" s="404"/>
      <c r="AM16" s="404"/>
      <c r="AN16" s="224"/>
      <c r="AO16" s="470"/>
      <c r="AP16" s="409"/>
    </row>
    <row r="17" spans="1:28" x14ac:dyDescent="0.55000000000000004">
      <c r="A17" s="418"/>
      <c r="B17" s="614"/>
      <c r="C17" s="615"/>
      <c r="D17" s="405">
        <v>5</v>
      </c>
    </row>
    <row r="18" spans="1:28" ht="16.5" customHeight="1" thickBot="1" x14ac:dyDescent="0.6">
      <c r="A18" s="418"/>
      <c r="B18" s="614"/>
      <c r="C18" s="615"/>
      <c r="D18" s="441" t="s">
        <v>480</v>
      </c>
    </row>
    <row r="19" spans="1:28" ht="14.7" thickBot="1" x14ac:dyDescent="0.6">
      <c r="A19" s="418"/>
      <c r="B19" s="614"/>
      <c r="C19" s="615"/>
      <c r="D19" s="405"/>
      <c r="F19" s="603" t="s">
        <v>387</v>
      </c>
      <c r="G19" s="659"/>
      <c r="H19" s="659"/>
      <c r="I19" s="659"/>
      <c r="J19" s="659"/>
      <c r="K19" s="604"/>
      <c r="L19" s="604"/>
      <c r="M19" s="604"/>
      <c r="N19" s="604"/>
      <c r="O19" s="604"/>
      <c r="P19" s="604"/>
      <c r="Q19" s="604"/>
      <c r="R19" s="604"/>
      <c r="S19" s="604"/>
      <c r="T19" s="604"/>
      <c r="U19" s="604"/>
      <c r="V19" s="604"/>
      <c r="W19" s="604"/>
      <c r="X19" s="604"/>
      <c r="Y19" s="604"/>
      <c r="Z19" s="604"/>
      <c r="AA19" s="604"/>
      <c r="AB19" s="605"/>
    </row>
    <row r="20" spans="1:28" ht="14.7" customHeight="1" thickBot="1" x14ac:dyDescent="0.6">
      <c r="A20" s="418"/>
      <c r="B20" s="614"/>
      <c r="C20" s="615"/>
      <c r="D20" s="441" t="s">
        <v>481</v>
      </c>
      <c r="F20" s="318"/>
      <c r="G20" s="691" t="s">
        <v>311</v>
      </c>
      <c r="H20" s="692"/>
      <c r="I20" s="693" t="s">
        <v>303</v>
      </c>
      <c r="J20" s="692"/>
      <c r="K20" s="676" t="s">
        <v>304</v>
      </c>
      <c r="L20" s="677"/>
      <c r="M20" s="676" t="s">
        <v>313</v>
      </c>
      <c r="N20" s="676"/>
      <c r="O20" s="678" t="s">
        <v>398</v>
      </c>
      <c r="P20" s="677"/>
      <c r="Q20" s="676" t="s">
        <v>333</v>
      </c>
      <c r="R20" s="676"/>
      <c r="S20" s="678" t="s">
        <v>335</v>
      </c>
      <c r="T20" s="677"/>
      <c r="U20" s="678" t="s">
        <v>373</v>
      </c>
      <c r="V20" s="677"/>
      <c r="W20" s="676" t="s">
        <v>315</v>
      </c>
      <c r="X20" s="676"/>
      <c r="Y20" s="678" t="s">
        <v>337</v>
      </c>
      <c r="Z20" s="677"/>
      <c r="AA20" s="676" t="s">
        <v>372</v>
      </c>
      <c r="AB20" s="677"/>
    </row>
    <row r="21" spans="1:28" ht="15" customHeight="1" thickBot="1" x14ac:dyDescent="0.6">
      <c r="B21" s="614"/>
      <c r="C21" s="615"/>
      <c r="D21" s="405">
        <v>25</v>
      </c>
      <c r="F21" s="317"/>
      <c r="G21" s="310" t="s">
        <v>305</v>
      </c>
      <c r="H21" s="315" t="s">
        <v>308</v>
      </c>
      <c r="I21" s="312" t="s">
        <v>371</v>
      </c>
      <c r="J21" s="315" t="s">
        <v>370</v>
      </c>
      <c r="K21" s="316" t="s">
        <v>369</v>
      </c>
      <c r="L21" s="308" t="s">
        <v>314</v>
      </c>
      <c r="M21" s="310" t="s">
        <v>368</v>
      </c>
      <c r="N21" s="314" t="s">
        <v>327</v>
      </c>
      <c r="O21" s="310" t="s">
        <v>399</v>
      </c>
      <c r="P21" s="313" t="s">
        <v>400</v>
      </c>
      <c r="Q21" s="312" t="s">
        <v>367</v>
      </c>
      <c r="R21" s="314" t="s">
        <v>334</v>
      </c>
      <c r="S21" s="310" t="s">
        <v>366</v>
      </c>
      <c r="T21" s="308" t="s">
        <v>336</v>
      </c>
      <c r="U21" s="310" t="s">
        <v>365</v>
      </c>
      <c r="V21" s="313" t="s">
        <v>364</v>
      </c>
      <c r="W21" s="312" t="s">
        <v>363</v>
      </c>
      <c r="X21" s="311" t="s">
        <v>317</v>
      </c>
      <c r="Y21" s="310" t="s">
        <v>362</v>
      </c>
      <c r="Z21" s="308" t="s">
        <v>338</v>
      </c>
      <c r="AA21" s="309" t="s">
        <v>361</v>
      </c>
      <c r="AB21" s="308" t="s">
        <v>358</v>
      </c>
    </row>
    <row r="22" spans="1:28" x14ac:dyDescent="0.55000000000000004">
      <c r="B22" s="614"/>
      <c r="C22" s="615"/>
      <c r="D22" s="441" t="s">
        <v>483</v>
      </c>
      <c r="F22" s="341">
        <v>1</v>
      </c>
      <c r="G22" s="307">
        <v>2.112466134761855</v>
      </c>
      <c r="H22" s="299">
        <v>1.149219919954412</v>
      </c>
      <c r="I22" s="306">
        <v>0.79120838499138291</v>
      </c>
      <c r="J22" s="305">
        <v>-1.4561676266662715E-2</v>
      </c>
      <c r="K22" s="302">
        <v>1349569.133571781</v>
      </c>
      <c r="L22" s="305">
        <v>0.39182272055972528</v>
      </c>
      <c r="M22" s="302">
        <v>3.6682093372355784E-2</v>
      </c>
      <c r="N22" s="299">
        <v>0.58618819428751279</v>
      </c>
      <c r="O22" s="300">
        <v>4.1258691633078932</v>
      </c>
      <c r="P22" s="297">
        <v>1.1845734031891739</v>
      </c>
      <c r="Q22" s="302">
        <v>22.506117235275429</v>
      </c>
      <c r="R22" s="304">
        <v>0.65140715586904274</v>
      </c>
      <c r="S22" s="300">
        <v>42.104914089046112</v>
      </c>
      <c r="T22" s="299">
        <v>1.2186661096684837</v>
      </c>
      <c r="U22" s="300">
        <v>8206.6772655007953</v>
      </c>
      <c r="V22" s="303">
        <v>0.58618819428751279</v>
      </c>
      <c r="W22" s="302">
        <v>198.9566263561081</v>
      </c>
      <c r="X22" s="301">
        <v>0.33952959966343838</v>
      </c>
      <c r="Y22" s="300">
        <v>521.1377351854976</v>
      </c>
      <c r="Z22" s="299">
        <v>0.88934804453478677</v>
      </c>
      <c r="AA22" s="298">
        <v>0.7056731612812156</v>
      </c>
      <c r="AB22" s="297">
        <v>0.7056731612812156</v>
      </c>
    </row>
    <row r="23" spans="1:28" ht="15" customHeight="1" x14ac:dyDescent="0.55000000000000004">
      <c r="B23" s="614"/>
      <c r="C23" s="615"/>
      <c r="D23" s="405">
        <v>13.6</v>
      </c>
      <c r="F23" s="295">
        <v>2</v>
      </c>
      <c r="G23" s="286">
        <v>2.0505113308060468</v>
      </c>
      <c r="H23" s="294">
        <v>1.1155153820821817</v>
      </c>
      <c r="I23" s="288">
        <v>0.79163419486664</v>
      </c>
      <c r="J23" s="293">
        <v>-1.4135866391405627E-2</v>
      </c>
      <c r="K23" s="288">
        <v>1408061.2762814097</v>
      </c>
      <c r="L23" s="293">
        <v>0.40880484464491235</v>
      </c>
      <c r="M23" s="288">
        <v>4.8909457829807712E-2</v>
      </c>
      <c r="N23" s="292">
        <v>0.78158425905001705</v>
      </c>
      <c r="O23" s="286">
        <v>3.9547687373451215</v>
      </c>
      <c r="P23" s="291">
        <v>1.1354489627749416</v>
      </c>
      <c r="Q23" s="288">
        <v>21.25792961808888</v>
      </c>
      <c r="R23" s="290">
        <v>0.61528016260749285</v>
      </c>
      <c r="S23" s="286">
        <v>39.769778630572723</v>
      </c>
      <c r="T23" s="285">
        <v>1.1510789762828573</v>
      </c>
      <c r="U23" s="286">
        <v>10942.236354001061</v>
      </c>
      <c r="V23" s="289">
        <v>0.78158425905001705</v>
      </c>
      <c r="W23" s="288">
        <v>244.6740432310126</v>
      </c>
      <c r="X23" s="287">
        <v>0.4175486962548714</v>
      </c>
      <c r="Y23" s="286">
        <v>614.30239650767908</v>
      </c>
      <c r="Z23" s="285">
        <v>1.0483382764302673</v>
      </c>
      <c r="AA23" s="284">
        <v>0.75393349234841445</v>
      </c>
      <c r="AB23" s="283">
        <v>0.75393349234841445</v>
      </c>
    </row>
    <row r="24" spans="1:28" x14ac:dyDescent="0.55000000000000004">
      <c r="B24" s="614" t="s">
        <v>423</v>
      </c>
      <c r="C24" s="615" t="s">
        <v>389</v>
      </c>
      <c r="D24" s="672"/>
      <c r="F24" s="295">
        <v>3</v>
      </c>
      <c r="G24" s="286">
        <v>1.9651958632964308</v>
      </c>
      <c r="H24" s="294">
        <v>1.0691022192253357</v>
      </c>
      <c r="I24" s="288">
        <v>0.7921144757464188</v>
      </c>
      <c r="J24" s="293">
        <v>-1.3655585511626822E-2</v>
      </c>
      <c r="K24" s="288">
        <v>1473971.4661628488</v>
      </c>
      <c r="L24" s="293">
        <v>0.42794066308468698</v>
      </c>
      <c r="M24" s="288">
        <v>5.502314005853369E-2</v>
      </c>
      <c r="N24" s="292">
        <v>0.87928229143126935</v>
      </c>
      <c r="O24" s="286">
        <v>3.7708543455778019</v>
      </c>
      <c r="P24" s="291">
        <v>1.0826455198328457</v>
      </c>
      <c r="Q24" s="288">
        <v>20.036256180650728</v>
      </c>
      <c r="R24" s="290">
        <v>0.57992058409987624</v>
      </c>
      <c r="S24" s="286">
        <v>37.484246453232963</v>
      </c>
      <c r="T24" s="285">
        <v>1.0849275384437904</v>
      </c>
      <c r="U24" s="296">
        <v>12310.015898251195</v>
      </c>
      <c r="V24" s="289">
        <v>0.87928229143126935</v>
      </c>
      <c r="W24" s="288">
        <v>279.28496270724111</v>
      </c>
      <c r="X24" s="287">
        <v>0.47661399027887508</v>
      </c>
      <c r="Y24" s="286">
        <v>669.8909964654589</v>
      </c>
      <c r="Z24" s="285">
        <v>1.143203048894462</v>
      </c>
      <c r="AA24" s="284">
        <v>0.73309328068200297</v>
      </c>
      <c r="AB24" s="283">
        <v>0.73309328068200297</v>
      </c>
    </row>
    <row r="25" spans="1:28" ht="15" customHeight="1" x14ac:dyDescent="0.55000000000000004">
      <c r="B25" s="614"/>
      <c r="C25" s="615"/>
      <c r="D25" s="672"/>
      <c r="F25" s="295">
        <v>4</v>
      </c>
      <c r="G25" s="286">
        <v>1.8692886176220738</v>
      </c>
      <c r="H25" s="294">
        <v>1.0169269367991594</v>
      </c>
      <c r="I25" s="288">
        <v>0.79270328564720505</v>
      </c>
      <c r="J25" s="293">
        <v>-1.3066775610840575E-2</v>
      </c>
      <c r="K25" s="288">
        <v>1554682.1041788224</v>
      </c>
      <c r="L25" s="293">
        <v>0.45137352100863265</v>
      </c>
      <c r="M25" s="288">
        <v>6.113682228725964E-2</v>
      </c>
      <c r="N25" s="292">
        <v>0.97698032381252131</v>
      </c>
      <c r="O25" s="286">
        <v>3.5682645368622432</v>
      </c>
      <c r="P25" s="291">
        <v>1.0244802000752924</v>
      </c>
      <c r="Q25" s="288">
        <v>18.624629930714438</v>
      </c>
      <c r="R25" s="290">
        <v>0.53906309495555527</v>
      </c>
      <c r="S25" s="286">
        <v>34.843346587739902</v>
      </c>
      <c r="T25" s="285">
        <v>1.0084904945800259</v>
      </c>
      <c r="U25" s="286">
        <v>13677.795442501325</v>
      </c>
      <c r="V25" s="289">
        <v>0.97698032381252131</v>
      </c>
      <c r="W25" s="288">
        <v>317.13386135680338</v>
      </c>
      <c r="X25" s="287">
        <v>0.54120506041084715</v>
      </c>
      <c r="Y25" s="286">
        <v>718.38036600915382</v>
      </c>
      <c r="Z25" s="285">
        <v>1.2259526236667819</v>
      </c>
      <c r="AA25" s="284">
        <v>0.70324888959426568</v>
      </c>
      <c r="AB25" s="283">
        <v>0.70605330835331781</v>
      </c>
    </row>
    <row r="26" spans="1:28" ht="15.75" customHeight="1" x14ac:dyDescent="0.55000000000000004">
      <c r="B26" s="614" t="s">
        <v>426</v>
      </c>
      <c r="C26" s="615" t="s">
        <v>389</v>
      </c>
      <c r="D26" s="672"/>
      <c r="F26" s="295">
        <v>5</v>
      </c>
      <c r="G26" s="286">
        <v>1.820727833245958</v>
      </c>
      <c r="H26" s="294">
        <v>0.99050898868850967</v>
      </c>
      <c r="I26" s="288">
        <v>0.79302529356933382</v>
      </c>
      <c r="J26" s="293">
        <v>-1.27447676887118E-2</v>
      </c>
      <c r="K26" s="288">
        <v>1598777.6102321758</v>
      </c>
      <c r="L26" s="293">
        <v>0.46417584488851843</v>
      </c>
      <c r="M26" s="288">
        <v>6.4193663401622622E-2</v>
      </c>
      <c r="N26" s="292">
        <v>1.0258293400031473</v>
      </c>
      <c r="O26" s="286">
        <v>3.4662225487895264</v>
      </c>
      <c r="P26" s="291">
        <v>0.99518304587698148</v>
      </c>
      <c r="Q26" s="288">
        <v>17.887559972609495</v>
      </c>
      <c r="R26" s="290">
        <v>0.51772966635628048</v>
      </c>
      <c r="S26" s="286">
        <v>33.464420718866208</v>
      </c>
      <c r="T26" s="285">
        <v>0.96857947087890606</v>
      </c>
      <c r="U26" s="286">
        <v>14361.685214626392</v>
      </c>
      <c r="V26" s="289">
        <v>1.0258293400031473</v>
      </c>
      <c r="W26" s="288">
        <v>337.00066534739199</v>
      </c>
      <c r="X26" s="287">
        <v>0.57510877163202134</v>
      </c>
      <c r="Y26" s="286">
        <v>742.24860042036823</v>
      </c>
      <c r="Z26" s="285">
        <v>1.266684979370319</v>
      </c>
      <c r="AA26" s="284">
        <v>0.68627861470732698</v>
      </c>
      <c r="AB26" s="283">
        <v>0.68912072120134127</v>
      </c>
    </row>
    <row r="27" spans="1:28" ht="14.4" customHeight="1" x14ac:dyDescent="0.55000000000000004">
      <c r="B27" s="614"/>
      <c r="C27" s="615"/>
      <c r="D27" s="672"/>
      <c r="F27" s="295">
        <v>6</v>
      </c>
      <c r="G27" s="286">
        <v>1.5142799754334948</v>
      </c>
      <c r="H27" s="294">
        <v>0.82379579180919404</v>
      </c>
      <c r="I27" s="288">
        <v>0.79551394604184722</v>
      </c>
      <c r="J27" s="293">
        <v>-1.0256115216198403E-2</v>
      </c>
      <c r="K27" s="288">
        <v>1938534.3825596469</v>
      </c>
      <c r="L27" s="293">
        <v>0.56281801115503094</v>
      </c>
      <c r="M27" s="288">
        <v>7.9477868973437532E-2</v>
      </c>
      <c r="N27" s="292">
        <v>1.2700744209562775</v>
      </c>
      <c r="O27" s="286">
        <v>2.8409417944211057</v>
      </c>
      <c r="P27" s="291">
        <v>0.81565942992279805</v>
      </c>
      <c r="Q27" s="288">
        <v>12.882046739837762</v>
      </c>
      <c r="R27" s="290">
        <v>0.37285229348300319</v>
      </c>
      <c r="S27" s="286">
        <v>24.10000203952584</v>
      </c>
      <c r="T27" s="285">
        <v>0.69753985642621819</v>
      </c>
      <c r="U27" s="286">
        <v>17781.134075251724</v>
      </c>
      <c r="V27" s="289">
        <v>1.2700744209562778</v>
      </c>
      <c r="W27" s="288">
        <v>467.68593621733208</v>
      </c>
      <c r="X27" s="287">
        <v>0.79812983161400541</v>
      </c>
      <c r="Y27" s="286">
        <v>853.35690060675029</v>
      </c>
      <c r="Z27" s="285">
        <v>1.4562969434073705</v>
      </c>
      <c r="AA27" s="284">
        <v>0.53444351606358975</v>
      </c>
      <c r="AB27" s="283">
        <v>0.53444351606358975</v>
      </c>
    </row>
    <row r="28" spans="1:28" ht="20.100000000000001" customHeight="1" x14ac:dyDescent="0.55000000000000004">
      <c r="B28" s="614" t="s">
        <v>427</v>
      </c>
      <c r="C28" s="615" t="s">
        <v>389</v>
      </c>
      <c r="D28" s="672"/>
      <c r="F28" s="295">
        <v>7</v>
      </c>
      <c r="G28" s="286"/>
      <c r="H28" s="294"/>
      <c r="I28" s="288"/>
      <c r="J28" s="293"/>
      <c r="K28" s="288"/>
      <c r="L28" s="293"/>
      <c r="M28" s="288"/>
      <c r="N28" s="292"/>
      <c r="O28" s="286"/>
      <c r="P28" s="291"/>
      <c r="Q28" s="288"/>
      <c r="R28" s="290"/>
      <c r="S28" s="286"/>
      <c r="T28" s="285"/>
      <c r="U28" s="286"/>
      <c r="V28" s="289"/>
      <c r="W28" s="288"/>
      <c r="X28" s="287"/>
      <c r="Y28" s="286"/>
      <c r="Z28" s="285"/>
      <c r="AA28" s="284"/>
      <c r="AB28" s="283"/>
    </row>
    <row r="29" spans="1:28" x14ac:dyDescent="0.55000000000000004">
      <c r="B29" s="614"/>
      <c r="C29" s="615"/>
      <c r="D29" s="672"/>
      <c r="F29" s="295">
        <v>8</v>
      </c>
      <c r="G29" s="286"/>
      <c r="H29" s="294"/>
      <c r="I29" s="288"/>
      <c r="J29" s="293"/>
      <c r="K29" s="288"/>
      <c r="L29" s="293"/>
      <c r="M29" s="288"/>
      <c r="N29" s="292"/>
      <c r="O29" s="286"/>
      <c r="P29" s="291"/>
      <c r="Q29" s="288"/>
      <c r="R29" s="290"/>
      <c r="S29" s="286"/>
      <c r="T29" s="285"/>
      <c r="U29" s="286"/>
      <c r="V29" s="289"/>
      <c r="W29" s="288"/>
      <c r="X29" s="287"/>
      <c r="Y29" s="286"/>
      <c r="Z29" s="285"/>
      <c r="AA29" s="284"/>
      <c r="AB29" s="283"/>
    </row>
    <row r="30" spans="1:28" ht="15" customHeight="1" x14ac:dyDescent="0.55000000000000004">
      <c r="A30" s="416"/>
      <c r="B30" s="614" t="s">
        <v>428</v>
      </c>
      <c r="C30" s="615" t="s">
        <v>389</v>
      </c>
      <c r="D30" s="672"/>
      <c r="F30" s="295">
        <v>9</v>
      </c>
      <c r="G30" s="286"/>
      <c r="H30" s="294"/>
      <c r="I30" s="288"/>
      <c r="J30" s="293"/>
      <c r="K30" s="288"/>
      <c r="L30" s="293"/>
      <c r="M30" s="288"/>
      <c r="N30" s="292"/>
      <c r="O30" s="286"/>
      <c r="P30" s="291"/>
      <c r="Q30" s="288"/>
      <c r="R30" s="290"/>
      <c r="S30" s="286"/>
      <c r="T30" s="285"/>
      <c r="U30" s="286"/>
      <c r="V30" s="289"/>
      <c r="W30" s="288"/>
      <c r="X30" s="287"/>
      <c r="Y30" s="286"/>
      <c r="Z30" s="285"/>
      <c r="AA30" s="284"/>
      <c r="AB30" s="283"/>
    </row>
    <row r="31" spans="1:28" ht="25.2" customHeight="1" thickBot="1" x14ac:dyDescent="0.6">
      <c r="A31" s="647"/>
      <c r="B31" s="614"/>
      <c r="C31" s="615"/>
      <c r="D31" s="672"/>
      <c r="F31" s="282">
        <v>10</v>
      </c>
      <c r="G31" s="273"/>
      <c r="H31" s="281"/>
      <c r="I31" s="275"/>
      <c r="J31" s="280"/>
      <c r="K31" s="275"/>
      <c r="L31" s="280"/>
      <c r="M31" s="275"/>
      <c r="N31" s="279"/>
      <c r="O31" s="273"/>
      <c r="P31" s="278"/>
      <c r="Q31" s="275"/>
      <c r="R31" s="277"/>
      <c r="S31" s="273"/>
      <c r="T31" s="272"/>
      <c r="U31" s="273"/>
      <c r="V31" s="276"/>
      <c r="W31" s="275"/>
      <c r="X31" s="274"/>
      <c r="Y31" s="273"/>
      <c r="Z31" s="272"/>
      <c r="AA31" s="271"/>
      <c r="AB31" s="270"/>
    </row>
    <row r="32" spans="1:28" ht="15" customHeight="1" thickBot="1" x14ac:dyDescent="0.6">
      <c r="A32" s="647"/>
      <c r="B32" s="614" t="s">
        <v>482</v>
      </c>
      <c r="C32" s="615" t="s">
        <v>389</v>
      </c>
      <c r="D32" s="672"/>
      <c r="F32" s="269" t="s">
        <v>360</v>
      </c>
      <c r="G32" s="261">
        <v>1.8464047681831024</v>
      </c>
      <c r="H32" s="258">
        <v>1.0044777073475031</v>
      </c>
      <c r="I32" s="263">
        <v>0.79285502909416172</v>
      </c>
      <c r="J32" s="268">
        <v>-1.2915032163883915E-2</v>
      </c>
      <c r="K32" s="263">
        <v>1575461.7298464114</v>
      </c>
      <c r="L32" s="268">
        <v>0.45740650535804417</v>
      </c>
      <c r="M32" s="263">
        <v>6.2577332211443348E-2</v>
      </c>
      <c r="N32" s="267">
        <v>1</v>
      </c>
      <c r="O32" s="261">
        <v>3.5201781329560933</v>
      </c>
      <c r="P32" s="266">
        <v>1.0106741696687032</v>
      </c>
      <c r="Q32" s="263">
        <v>18.277292090851244</v>
      </c>
      <c r="R32" s="265">
        <v>0.52900990132709813</v>
      </c>
      <c r="S32" s="261">
        <v>34.19353970393</v>
      </c>
      <c r="T32" s="260">
        <v>0.98968277001244553</v>
      </c>
      <c r="U32" s="261">
        <v>14000.07257989163</v>
      </c>
      <c r="V32" s="264">
        <v>1</v>
      </c>
      <c r="W32" s="263">
        <v>326.49592082917445</v>
      </c>
      <c r="X32" s="262">
        <v>0.55718189095375137</v>
      </c>
      <c r="Y32" s="261">
        <v>729.62806494271854</v>
      </c>
      <c r="Z32" s="260">
        <v>1.2451473938334849</v>
      </c>
      <c r="AA32" s="259">
        <v>0.69525179439821549</v>
      </c>
      <c r="AB32" s="258">
        <v>0.69807397317625519</v>
      </c>
    </row>
    <row r="33" spans="1:28" ht="15" customHeight="1" thickBot="1" x14ac:dyDescent="0.6">
      <c r="A33" s="647"/>
      <c r="B33" s="674"/>
      <c r="C33" s="675"/>
      <c r="D33" s="673"/>
      <c r="F33" s="337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9"/>
      <c r="AA33" s="339"/>
      <c r="AB33" s="340"/>
    </row>
    <row r="34" spans="1:28" ht="14.7" thickBot="1" x14ac:dyDescent="0.6">
      <c r="A34" s="647"/>
      <c r="F34" s="603" t="s">
        <v>386</v>
      </c>
      <c r="G34" s="659"/>
      <c r="H34" s="659"/>
      <c r="I34" s="659"/>
      <c r="J34" s="659"/>
      <c r="K34" s="604"/>
      <c r="L34" s="604"/>
      <c r="M34" s="604"/>
      <c r="N34" s="604"/>
      <c r="O34" s="604"/>
      <c r="P34" s="604"/>
      <c r="Q34" s="604"/>
      <c r="R34" s="604"/>
      <c r="S34" s="604"/>
      <c r="T34" s="604"/>
      <c r="U34" s="604"/>
      <c r="V34" s="604"/>
      <c r="W34" s="604"/>
      <c r="X34" s="604"/>
      <c r="Y34" s="604"/>
      <c r="Z34" s="604"/>
      <c r="AA34" s="604"/>
      <c r="AB34" s="605"/>
    </row>
    <row r="35" spans="1:28" ht="15.75" customHeight="1" thickBot="1" x14ac:dyDescent="0.6">
      <c r="A35" s="647"/>
      <c r="F35" s="318"/>
      <c r="G35" s="691" t="s">
        <v>311</v>
      </c>
      <c r="H35" s="692"/>
      <c r="I35" s="693" t="s">
        <v>303</v>
      </c>
      <c r="J35" s="692"/>
      <c r="K35" s="676" t="s">
        <v>304</v>
      </c>
      <c r="L35" s="677"/>
      <c r="M35" s="676" t="s">
        <v>313</v>
      </c>
      <c r="N35" s="676"/>
      <c r="O35" s="678" t="s">
        <v>398</v>
      </c>
      <c r="P35" s="677"/>
      <c r="Q35" s="676" t="s">
        <v>333</v>
      </c>
      <c r="R35" s="676"/>
      <c r="S35" s="678" t="s">
        <v>335</v>
      </c>
      <c r="T35" s="677"/>
      <c r="U35" s="678" t="s">
        <v>373</v>
      </c>
      <c r="V35" s="677"/>
      <c r="W35" s="676" t="s">
        <v>315</v>
      </c>
      <c r="X35" s="676"/>
      <c r="Y35" s="678" t="s">
        <v>337</v>
      </c>
      <c r="Z35" s="677"/>
      <c r="AA35" s="676" t="s">
        <v>372</v>
      </c>
      <c r="AB35" s="677"/>
    </row>
    <row r="36" spans="1:28" ht="15" thickBot="1" x14ac:dyDescent="0.6">
      <c r="A36" s="647"/>
      <c r="F36" s="317" t="s">
        <v>484</v>
      </c>
      <c r="G36" s="310" t="s">
        <v>305</v>
      </c>
      <c r="H36" s="315" t="s">
        <v>308</v>
      </c>
      <c r="I36" s="312" t="s">
        <v>371</v>
      </c>
      <c r="J36" s="315" t="s">
        <v>370</v>
      </c>
      <c r="K36" s="316" t="s">
        <v>369</v>
      </c>
      <c r="L36" s="308" t="s">
        <v>314</v>
      </c>
      <c r="M36" s="310" t="s">
        <v>368</v>
      </c>
      <c r="N36" s="314" t="s">
        <v>327</v>
      </c>
      <c r="O36" s="310" t="s">
        <v>399</v>
      </c>
      <c r="P36" s="313" t="s">
        <v>400</v>
      </c>
      <c r="Q36" s="312" t="s">
        <v>367</v>
      </c>
      <c r="R36" s="314" t="s">
        <v>334</v>
      </c>
      <c r="S36" s="310" t="s">
        <v>366</v>
      </c>
      <c r="T36" s="308" t="s">
        <v>336</v>
      </c>
      <c r="U36" s="310" t="s">
        <v>365</v>
      </c>
      <c r="V36" s="313" t="s">
        <v>364</v>
      </c>
      <c r="W36" s="312" t="s">
        <v>363</v>
      </c>
      <c r="X36" s="311" t="s">
        <v>317</v>
      </c>
      <c r="Y36" s="310" t="s">
        <v>362</v>
      </c>
      <c r="Z36" s="308" t="s">
        <v>338</v>
      </c>
      <c r="AA36" s="309" t="s">
        <v>361</v>
      </c>
      <c r="AB36" s="308" t="s">
        <v>358</v>
      </c>
    </row>
    <row r="37" spans="1:28" x14ac:dyDescent="0.55000000000000004">
      <c r="A37" s="416"/>
      <c r="F37" s="341">
        <v>1</v>
      </c>
      <c r="G37" s="307">
        <v>5.189947159576243</v>
      </c>
      <c r="H37" s="299">
        <v>1.1317560242177498</v>
      </c>
      <c r="I37" s="306">
        <v>0.90512213294560062</v>
      </c>
      <c r="J37" s="305">
        <v>1.0476578201855768E-2</v>
      </c>
      <c r="K37" s="302">
        <v>5901659.1996348454</v>
      </c>
      <c r="L37" s="305">
        <v>0.52073370802027907</v>
      </c>
      <c r="M37" s="302">
        <v>6.5355322613017408E-2</v>
      </c>
      <c r="N37" s="299">
        <v>0.55221799311787023</v>
      </c>
      <c r="O37" s="300">
        <v>24.768379335509746</v>
      </c>
      <c r="P37" s="297">
        <v>1.4130750419619893</v>
      </c>
      <c r="Q37" s="302">
        <v>49.1193437036424</v>
      </c>
      <c r="R37" s="304">
        <v>0.58881975190173097</v>
      </c>
      <c r="S37" s="300">
        <v>91.893493894655847</v>
      </c>
      <c r="T37" s="299">
        <v>1.1015762873969772</v>
      </c>
      <c r="U37" s="300">
        <v>21494.671999772527</v>
      </c>
      <c r="V37" s="303">
        <v>0.55221799311787034</v>
      </c>
      <c r="W37" s="302">
        <v>2445.3874499592671</v>
      </c>
      <c r="X37" s="301">
        <v>0.32327809112882772</v>
      </c>
      <c r="Y37" s="300">
        <v>6228.5415317734214</v>
      </c>
      <c r="Z37" s="299">
        <v>0.82340776589079012</v>
      </c>
      <c r="AA37" s="298">
        <v>0.7641962163031073</v>
      </c>
      <c r="AB37" s="297">
        <v>0.7641962163031073</v>
      </c>
    </row>
    <row r="38" spans="1:28" x14ac:dyDescent="0.55000000000000004">
      <c r="A38" s="416"/>
      <c r="F38" s="295">
        <v>2</v>
      </c>
      <c r="G38" s="286">
        <v>5.2521216739043712</v>
      </c>
      <c r="H38" s="294">
        <v>1.1453142318410847</v>
      </c>
      <c r="I38" s="288">
        <v>0.90590959377154567</v>
      </c>
      <c r="J38" s="293">
        <v>1.1264039027800821E-2</v>
      </c>
      <c r="K38" s="288">
        <v>5920947.1991705243</v>
      </c>
      <c r="L38" s="293">
        <v>0.52243558730180872</v>
      </c>
      <c r="M38" s="288">
        <v>8.7606479116863159E-2</v>
      </c>
      <c r="N38" s="292">
        <v>0.74022852535657013</v>
      </c>
      <c r="O38" s="286">
        <v>23.508383754810627</v>
      </c>
      <c r="P38" s="291">
        <v>1.3411903100645042</v>
      </c>
      <c r="Q38" s="288">
        <v>48.338996990024711</v>
      </c>
      <c r="R38" s="290">
        <v>0.57946531994755102</v>
      </c>
      <c r="S38" s="286">
        <v>90.433604967878011</v>
      </c>
      <c r="T38" s="285">
        <v>1.0840758207609447</v>
      </c>
      <c r="U38" s="286">
        <v>28812.841225219905</v>
      </c>
      <c r="V38" s="289">
        <v>0.74022852535657013</v>
      </c>
      <c r="W38" s="288">
        <v>2978.9018934081764</v>
      </c>
      <c r="X38" s="287">
        <v>0.39380823590024022</v>
      </c>
      <c r="Y38" s="286">
        <v>7244.3009790202404</v>
      </c>
      <c r="Z38" s="285">
        <v>0.95769028016373059</v>
      </c>
      <c r="AA38" s="284">
        <v>0.82899347513665866</v>
      </c>
      <c r="AB38" s="283">
        <v>0.82899347513665866</v>
      </c>
    </row>
    <row r="39" spans="1:28" x14ac:dyDescent="0.55000000000000004">
      <c r="F39" s="295">
        <v>3</v>
      </c>
      <c r="G39" s="286">
        <v>5.0852395444010581</v>
      </c>
      <c r="H39" s="294">
        <v>1.1089227523919793</v>
      </c>
      <c r="I39" s="288">
        <v>0.90585211859480819</v>
      </c>
      <c r="J39" s="293">
        <v>1.1206563851063334E-2</v>
      </c>
      <c r="K39" s="288">
        <v>5919538.1270575672</v>
      </c>
      <c r="L39" s="293">
        <v>0.52231125763087594</v>
      </c>
      <c r="M39" s="288">
        <v>9.9352304061411337E-2</v>
      </c>
      <c r="N39" s="292">
        <v>0.83947454877227101</v>
      </c>
      <c r="O39" s="286">
        <v>21.373635574316989</v>
      </c>
      <c r="P39" s="291">
        <v>1.2193995649427767</v>
      </c>
      <c r="Q39" s="288">
        <v>47.110900779831042</v>
      </c>
      <c r="R39" s="290">
        <v>0.56474347614278397</v>
      </c>
      <c r="S39" s="286">
        <v>88.136056933149007</v>
      </c>
      <c r="T39" s="285">
        <v>1.0565338879543156</v>
      </c>
      <c r="U39" s="296">
        <v>32675.918392549538</v>
      </c>
      <c r="V39" s="289">
        <v>0.83947454877227112</v>
      </c>
      <c r="W39" s="288">
        <v>3218.4456167883459</v>
      </c>
      <c r="X39" s="287">
        <v>0.42547570750582281</v>
      </c>
      <c r="Y39" s="286">
        <v>7442.2352286795449</v>
      </c>
      <c r="Z39" s="285">
        <v>0.98385701558226013</v>
      </c>
      <c r="AA39" s="284">
        <v>0.84795263393430254</v>
      </c>
      <c r="AB39" s="283">
        <v>0.84795263393430254</v>
      </c>
    </row>
    <row r="40" spans="1:28" x14ac:dyDescent="0.55000000000000004">
      <c r="F40" s="295">
        <v>4</v>
      </c>
      <c r="G40" s="286">
        <v>4.8001838205855165</v>
      </c>
      <c r="H40" s="294">
        <v>1.0467615159195194</v>
      </c>
      <c r="I40" s="288">
        <v>0.90595395822810398</v>
      </c>
      <c r="J40" s="293">
        <v>1.1308403484359131E-2</v>
      </c>
      <c r="K40" s="288">
        <v>5922034.9842175459</v>
      </c>
      <c r="L40" s="293">
        <v>0.52253156816446167</v>
      </c>
      <c r="M40" s="288">
        <v>0.11392747368535715</v>
      </c>
      <c r="N40" s="292">
        <v>0.96262704190195492</v>
      </c>
      <c r="O40" s="286">
        <v>18.819176389734931</v>
      </c>
      <c r="P40" s="291">
        <v>1.0736636461510116</v>
      </c>
      <c r="Q40" s="288">
        <v>45.330955502494255</v>
      </c>
      <c r="R40" s="290">
        <v>0.54340632345353934</v>
      </c>
      <c r="S40" s="286">
        <v>84.806098140079044</v>
      </c>
      <c r="T40" s="285">
        <v>1.0166158971479147</v>
      </c>
      <c r="U40" s="286">
        <v>37469.536997461182</v>
      </c>
      <c r="V40" s="289">
        <v>0.96262704190195492</v>
      </c>
      <c r="W40" s="288">
        <v>3533.9398937364881</v>
      </c>
      <c r="X40" s="287">
        <v>0.46718377614564677</v>
      </c>
      <c r="Y40" s="286">
        <v>7702.1706962336611</v>
      </c>
      <c r="Z40" s="285">
        <v>1.0182202580079027</v>
      </c>
      <c r="AA40" s="284">
        <v>0.85227570908016359</v>
      </c>
      <c r="AB40" s="283">
        <v>0.85299435746816832</v>
      </c>
    </row>
    <row r="41" spans="1:28" x14ac:dyDescent="0.55000000000000004">
      <c r="F41" s="295">
        <v>5</v>
      </c>
      <c r="G41" s="286">
        <v>4.674692042411654</v>
      </c>
      <c r="H41" s="294">
        <v>1.0193959047540944</v>
      </c>
      <c r="I41" s="288">
        <v>0.90586444084644213</v>
      </c>
      <c r="J41" s="293">
        <v>1.1218886102697279E-2</v>
      </c>
      <c r="K41" s="288">
        <v>5919840.2046998059</v>
      </c>
      <c r="L41" s="293">
        <v>0.52233791149302411</v>
      </c>
      <c r="M41" s="288">
        <v>0.11983346182019032</v>
      </c>
      <c r="N41" s="292">
        <v>1.012529525506954</v>
      </c>
      <c r="O41" s="286">
        <v>17.746532435615965</v>
      </c>
      <c r="P41" s="291">
        <v>1.0124676195581908</v>
      </c>
      <c r="Q41" s="288">
        <v>44.74451962964244</v>
      </c>
      <c r="R41" s="290">
        <v>0.53637640409544995</v>
      </c>
      <c r="S41" s="286">
        <v>83.708981663388045</v>
      </c>
      <c r="T41" s="285">
        <v>1.0034641772163515</v>
      </c>
      <c r="U41" s="286">
        <v>39411.953815513916</v>
      </c>
      <c r="V41" s="289">
        <v>1.012529525506954</v>
      </c>
      <c r="W41" s="288">
        <v>3733.6307363418105</v>
      </c>
      <c r="X41" s="287">
        <v>0.49358273162177435</v>
      </c>
      <c r="Y41" s="286">
        <v>7894.0526447703423</v>
      </c>
      <c r="Z41" s="285">
        <v>1.0435868844891385</v>
      </c>
      <c r="AA41" s="284">
        <v>0.83736886508892427</v>
      </c>
      <c r="AB41" s="283">
        <v>0.83816059160406153</v>
      </c>
    </row>
    <row r="42" spans="1:28" x14ac:dyDescent="0.55000000000000004">
      <c r="F42" s="295">
        <v>6</v>
      </c>
      <c r="G42" s="286">
        <v>3.6216969225633298</v>
      </c>
      <c r="H42" s="294">
        <v>0.78977245508923544</v>
      </c>
      <c r="I42" s="288">
        <v>0.90505354932177928</v>
      </c>
      <c r="J42" s="293">
        <v>1.040799457803443E-2</v>
      </c>
      <c r="K42" s="288">
        <v>5899981.1097362265</v>
      </c>
      <c r="L42" s="293">
        <v>0.52058564152817233</v>
      </c>
      <c r="M42" s="288">
        <v>0.15173894684950548</v>
      </c>
      <c r="N42" s="292">
        <v>1.2821140399414581</v>
      </c>
      <c r="O42" s="286">
        <v>11.183832142965628</v>
      </c>
      <c r="P42" s="291">
        <v>0.63805523408064968</v>
      </c>
      <c r="Q42" s="288">
        <v>38.564601824858116</v>
      </c>
      <c r="R42" s="290">
        <v>0.4622944356851848</v>
      </c>
      <c r="S42" s="286">
        <v>72.147462387198857</v>
      </c>
      <c r="T42" s="285">
        <v>0.86487008375927665</v>
      </c>
      <c r="U42" s="286">
        <v>49905.329232838922</v>
      </c>
      <c r="V42" s="289">
        <v>1.2821140399414581</v>
      </c>
      <c r="W42" s="288">
        <v>4720.9817801831105</v>
      </c>
      <c r="X42" s="287">
        <v>0.62410967970617204</v>
      </c>
      <c r="Y42" s="286">
        <v>8133.3263268819674</v>
      </c>
      <c r="Z42" s="285">
        <v>1.0752186568742059</v>
      </c>
      <c r="AA42" s="284">
        <v>0.72145108693428051</v>
      </c>
      <c r="AB42" s="283">
        <v>0.72145108693428051</v>
      </c>
    </row>
    <row r="43" spans="1:28" x14ac:dyDescent="0.55000000000000004">
      <c r="F43" s="295">
        <v>7</v>
      </c>
      <c r="G43" s="286"/>
      <c r="H43" s="294"/>
      <c r="I43" s="288"/>
      <c r="J43" s="293"/>
      <c r="K43" s="288"/>
      <c r="L43" s="293"/>
      <c r="M43" s="288"/>
      <c r="N43" s="292"/>
      <c r="O43" s="286"/>
      <c r="P43" s="291"/>
      <c r="Q43" s="288"/>
      <c r="R43" s="290"/>
      <c r="S43" s="286"/>
      <c r="T43" s="285"/>
      <c r="U43" s="286"/>
      <c r="V43" s="289"/>
      <c r="W43" s="288"/>
      <c r="X43" s="287"/>
      <c r="Y43" s="286"/>
      <c r="Z43" s="285"/>
      <c r="AA43" s="284"/>
      <c r="AB43" s="283"/>
    </row>
    <row r="44" spans="1:28" x14ac:dyDescent="0.55000000000000004">
      <c r="F44" s="295">
        <v>8</v>
      </c>
      <c r="G44" s="286"/>
      <c r="H44" s="294"/>
      <c r="I44" s="288"/>
      <c r="J44" s="293"/>
      <c r="K44" s="288"/>
      <c r="L44" s="293"/>
      <c r="M44" s="288"/>
      <c r="N44" s="292"/>
      <c r="O44" s="286"/>
      <c r="P44" s="291"/>
      <c r="Q44" s="288"/>
      <c r="R44" s="290"/>
      <c r="S44" s="286"/>
      <c r="T44" s="285"/>
      <c r="U44" s="286"/>
      <c r="V44" s="289"/>
      <c r="W44" s="288"/>
      <c r="X44" s="287"/>
      <c r="Y44" s="286"/>
      <c r="Z44" s="285"/>
      <c r="AA44" s="284"/>
      <c r="AB44" s="283"/>
    </row>
    <row r="45" spans="1:28" x14ac:dyDescent="0.55000000000000004">
      <c r="F45" s="295">
        <v>9</v>
      </c>
      <c r="G45" s="286"/>
      <c r="H45" s="294"/>
      <c r="I45" s="288"/>
      <c r="J45" s="293"/>
      <c r="K45" s="288"/>
      <c r="L45" s="293"/>
      <c r="M45" s="288"/>
      <c r="N45" s="292"/>
      <c r="O45" s="286"/>
      <c r="P45" s="291"/>
      <c r="Q45" s="288"/>
      <c r="R45" s="290"/>
      <c r="S45" s="286"/>
      <c r="T45" s="285"/>
      <c r="U45" s="286"/>
      <c r="V45" s="289"/>
      <c r="W45" s="288"/>
      <c r="X45" s="287"/>
      <c r="Y45" s="286"/>
      <c r="Z45" s="285"/>
      <c r="AA45" s="284"/>
      <c r="AB45" s="283"/>
    </row>
    <row r="46" spans="1:28" ht="14.7" thickBot="1" x14ac:dyDescent="0.6">
      <c r="F46" s="282">
        <v>10</v>
      </c>
      <c r="G46" s="273"/>
      <c r="H46" s="281"/>
      <c r="I46" s="275"/>
      <c r="J46" s="280"/>
      <c r="K46" s="275"/>
      <c r="L46" s="280"/>
      <c r="M46" s="275"/>
      <c r="N46" s="279"/>
      <c r="O46" s="273"/>
      <c r="P46" s="278"/>
      <c r="Q46" s="275"/>
      <c r="R46" s="277"/>
      <c r="S46" s="273"/>
      <c r="T46" s="272"/>
      <c r="U46" s="273"/>
      <c r="V46" s="276"/>
      <c r="W46" s="275"/>
      <c r="X46" s="274"/>
      <c r="Y46" s="273"/>
      <c r="Z46" s="272"/>
      <c r="AA46" s="271"/>
      <c r="AB46" s="270"/>
    </row>
    <row r="47" spans="1:28" ht="14.7" thickBot="1" x14ac:dyDescent="0.6">
      <c r="F47" s="269" t="s">
        <v>360</v>
      </c>
      <c r="G47" s="261">
        <v>4.7062005430303469</v>
      </c>
      <c r="H47" s="258">
        <v>1.0262668678473266</v>
      </c>
      <c r="I47" s="263">
        <v>0.90588691688843082</v>
      </c>
      <c r="J47" s="268">
        <v>1.1241362144686009E-2</v>
      </c>
      <c r="K47" s="263">
        <v>5920391.2703775652</v>
      </c>
      <c r="L47" s="268">
        <v>0.52238653484859843</v>
      </c>
      <c r="M47" s="263">
        <v>0.11835058514485493</v>
      </c>
      <c r="N47" s="267">
        <v>1</v>
      </c>
      <c r="O47" s="261">
        <v>18.015852092917896</v>
      </c>
      <c r="P47" s="266">
        <v>1.0278327300843164</v>
      </c>
      <c r="Q47" s="263">
        <v>44.891762065214394</v>
      </c>
      <c r="R47" s="265">
        <v>0.53814147764582099</v>
      </c>
      <c r="S47" s="261">
        <v>83.984445886523872</v>
      </c>
      <c r="T47" s="260">
        <v>1.0067663136720675</v>
      </c>
      <c r="U47" s="261">
        <v>38924.251414575898</v>
      </c>
      <c r="V47" s="264">
        <v>1</v>
      </c>
      <c r="W47" s="263">
        <v>3683.4923198707338</v>
      </c>
      <c r="X47" s="262">
        <v>0.4869544766312362</v>
      </c>
      <c r="Y47" s="261">
        <v>7845.8748869748661</v>
      </c>
      <c r="Z47" s="260">
        <v>1.0372178268679226</v>
      </c>
      <c r="AA47" s="259">
        <v>0.84111167844256074</v>
      </c>
      <c r="AB47" s="258">
        <v>0.84188505648700551</v>
      </c>
    </row>
    <row r="48" spans="1:28" x14ac:dyDescent="0.55000000000000004">
      <c r="Y48" s="689" t="s">
        <v>359</v>
      </c>
      <c r="Z48" s="689"/>
      <c r="AA48" s="689"/>
      <c r="AB48" s="689"/>
    </row>
    <row r="49" spans="1:28" x14ac:dyDescent="0.55000000000000004">
      <c r="Y49" s="690"/>
      <c r="Z49" s="690"/>
      <c r="AA49" s="690"/>
      <c r="AB49" s="690"/>
    </row>
    <row r="50" spans="1:28" x14ac:dyDescent="0.55000000000000004">
      <c r="Y50" s="690"/>
      <c r="Z50" s="690"/>
      <c r="AA50" s="690"/>
      <c r="AB50" s="690"/>
    </row>
    <row r="51" spans="1:28" x14ac:dyDescent="0.55000000000000004">
      <c r="R51" s="372"/>
    </row>
    <row r="52" spans="1:28" x14ac:dyDescent="0.55000000000000004">
      <c r="A52" s="442"/>
      <c r="B52" s="442"/>
      <c r="C52" s="442"/>
      <c r="D52" s="442"/>
    </row>
    <row r="53" spans="1:28" x14ac:dyDescent="0.55000000000000004">
      <c r="A53" s="442"/>
      <c r="B53" s="687"/>
      <c r="C53" s="688"/>
      <c r="D53" s="442"/>
    </row>
    <row r="54" spans="1:28" x14ac:dyDescent="0.55000000000000004">
      <c r="A54" s="442"/>
      <c r="B54" s="687"/>
      <c r="C54" s="688"/>
      <c r="D54" s="442"/>
    </row>
    <row r="55" spans="1:28" x14ac:dyDescent="0.55000000000000004">
      <c r="A55" s="442"/>
      <c r="B55" s="687"/>
      <c r="C55" s="688"/>
      <c r="D55" s="442"/>
    </row>
    <row r="56" spans="1:28" x14ac:dyDescent="0.55000000000000004">
      <c r="A56" s="442"/>
      <c r="B56" s="687"/>
      <c r="C56" s="688"/>
      <c r="D56" s="442"/>
    </row>
    <row r="57" spans="1:28" x14ac:dyDescent="0.55000000000000004">
      <c r="A57" s="442"/>
      <c r="B57" s="687"/>
      <c r="C57" s="688"/>
      <c r="D57" s="442"/>
    </row>
    <row r="58" spans="1:28" x14ac:dyDescent="0.55000000000000004">
      <c r="A58" s="442"/>
      <c r="B58" s="687"/>
      <c r="C58" s="688"/>
      <c r="D58" s="442"/>
    </row>
    <row r="59" spans="1:28" x14ac:dyDescent="0.55000000000000004">
      <c r="A59" s="442"/>
      <c r="B59" s="687"/>
      <c r="C59" s="688"/>
      <c r="D59" s="442"/>
    </row>
    <row r="60" spans="1:28" x14ac:dyDescent="0.55000000000000004">
      <c r="A60" s="442"/>
      <c r="B60" s="687"/>
      <c r="C60" s="688"/>
      <c r="D60" s="442"/>
    </row>
  </sheetData>
  <mergeCells count="57">
    <mergeCell ref="A31:A36"/>
    <mergeCell ref="Y20:Z20"/>
    <mergeCell ref="F19:AB19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C59:C60"/>
    <mergeCell ref="B55:B56"/>
    <mergeCell ref="C55:C56"/>
    <mergeCell ref="B57:B58"/>
    <mergeCell ref="C57:C58"/>
    <mergeCell ref="B59:B60"/>
    <mergeCell ref="B53:B54"/>
    <mergeCell ref="C53:C54"/>
    <mergeCell ref="AO5:AO6"/>
    <mergeCell ref="Y48:AB50"/>
    <mergeCell ref="S20:T20"/>
    <mergeCell ref="U20:V20"/>
    <mergeCell ref="F34:AB34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Y35:Z35"/>
    <mergeCell ref="O20:P20"/>
    <mergeCell ref="Q20:R20"/>
    <mergeCell ref="AB7:AC8"/>
    <mergeCell ref="AB9:AC10"/>
    <mergeCell ref="F3:Z3"/>
    <mergeCell ref="AE3:AP3"/>
    <mergeCell ref="Y5:Y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T11:T12 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AB9">
    <cfRule type="expression" dxfId="19" priority="11">
      <formula>AND(AB9="Calculando...",AB9="Calculando...")</formula>
    </cfRule>
    <cfRule type="expression" dxfId="18" priority="12">
      <formula>AND(AB9="Carregando script...",AB9="Carregando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AND(AB9="Calculado",AB9="Calculado")</formula>
    </cfRule>
  </conditionalFormatting>
  <conditionalFormatting sqref="AL11:AM12">
    <cfRule type="expression" dxfId="14" priority="6">
      <formula>AND(AL11="Calculando...",AL11="Calculando...")</formula>
    </cfRule>
    <cfRule type="expression" dxfId="13" priority="7">
      <formula>AND(AL11="Carregando script...",AL11="Carregando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AND(AL11="Calculado",AL11="Calculado")</formula>
    </cfRule>
  </conditionalFormatting>
  <conditionalFormatting sqref="O11:O12">
    <cfRule type="expression" dxfId="9" priority="1">
      <formula>AND(O11="Calculando...",O11="Calculando...")</formula>
    </cfRule>
    <cfRule type="expression" dxfId="8" priority="2">
      <formula>AND(O11="Carregando script...",O11="Carregando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AND(O11="Calculado",O11="Calculado")</formula>
    </cfRule>
  </conditionalFormatting>
  <dataValidations count="4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F6 X6 M6 O6 T6:U6 AL6:AM6" xr:uid="{538D2325-0C42-48B1-AD4B-6E2D1C38C337}">
      <formula1>Vazão_mássica</formula1>
    </dataValidation>
    <dataValidation type="list" allowBlank="1" showInputMessage="1" showErrorMessage="1" sqref="AG6 H6" xr:uid="{706BDEAB-670C-49CF-A5F7-444CF1E7C3FB}">
      <formula1>Vazão_vol.</formula1>
    </dataValidation>
    <dataValidation type="list" allowBlank="1" showInputMessage="1" showErrorMessage="1" sqref="AJ6 I6 K6 V6 AH6 P6" xr:uid="{DFF2F6C6-FBB8-45F1-8C85-361C42244203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27</xdr:col>
                    <xdr:colOff>45720</xdr:colOff>
                    <xdr:row>11</xdr:row>
                    <xdr:rowOff>83820</xdr:rowOff>
                  </from>
                  <to>
                    <xdr:col>28</xdr:col>
                    <xdr:colOff>560070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Y7:Y16 AO7:AO16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AK6 Q6:S6 J6 W6 AI6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Z6 AP6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H35" sqref="H35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416" customFormat="1" ht="14.7" thickBot="1" x14ac:dyDescent="0.6"/>
    <row r="3" spans="2:32" ht="14.7" thickBot="1" x14ac:dyDescent="0.6">
      <c r="B3" s="694" t="s">
        <v>422</v>
      </c>
      <c r="C3" s="695"/>
      <c r="D3" s="401">
        <v>1</v>
      </c>
      <c r="F3" s="698" t="s">
        <v>422</v>
      </c>
      <c r="G3" s="699"/>
      <c r="H3" s="401">
        <v>2</v>
      </c>
      <c r="J3" s="694" t="s">
        <v>422</v>
      </c>
      <c r="K3" s="695"/>
      <c r="L3" s="401">
        <v>3</v>
      </c>
      <c r="N3" s="698" t="s">
        <v>422</v>
      </c>
      <c r="O3" s="699"/>
      <c r="P3" s="401">
        <v>4</v>
      </c>
      <c r="R3" s="694" t="s">
        <v>422</v>
      </c>
      <c r="S3" s="695"/>
      <c r="T3" s="401">
        <v>5</v>
      </c>
      <c r="V3" s="698" t="s">
        <v>422</v>
      </c>
      <c r="W3" s="699"/>
      <c r="X3" s="401">
        <v>6</v>
      </c>
      <c r="Z3" s="694" t="s">
        <v>422</v>
      </c>
      <c r="AA3" s="695"/>
      <c r="AB3" s="401">
        <v>7</v>
      </c>
      <c r="AD3" s="698" t="s">
        <v>422</v>
      </c>
      <c r="AE3" s="699"/>
      <c r="AF3" s="401">
        <v>8</v>
      </c>
    </row>
    <row r="4" spans="2:32" x14ac:dyDescent="0.55000000000000004">
      <c r="B4" s="696"/>
      <c r="C4" s="697"/>
      <c r="D4" s="402" t="s">
        <v>291</v>
      </c>
      <c r="F4" s="696"/>
      <c r="G4" s="697"/>
      <c r="H4" s="402" t="s">
        <v>291</v>
      </c>
      <c r="J4" s="696"/>
      <c r="K4" s="697"/>
      <c r="L4" s="402" t="s">
        <v>291</v>
      </c>
      <c r="N4" s="696"/>
      <c r="O4" s="697"/>
      <c r="P4" s="402" t="s">
        <v>291</v>
      </c>
      <c r="R4" s="696"/>
      <c r="S4" s="697"/>
      <c r="T4" s="402" t="s">
        <v>291</v>
      </c>
      <c r="V4" s="696"/>
      <c r="W4" s="697"/>
      <c r="X4" s="402" t="s">
        <v>291</v>
      </c>
      <c r="Z4" s="696"/>
      <c r="AA4" s="697"/>
      <c r="AB4" s="402" t="s">
        <v>291</v>
      </c>
      <c r="AD4" s="696"/>
      <c r="AE4" s="697"/>
      <c r="AF4" s="402" t="s">
        <v>291</v>
      </c>
    </row>
    <row r="5" spans="2:32" x14ac:dyDescent="0.55000000000000004">
      <c r="B5" s="621" t="s">
        <v>493</v>
      </c>
      <c r="C5" s="621"/>
      <c r="D5" s="215">
        <v>0</v>
      </c>
      <c r="F5" s="621" t="s">
        <v>493</v>
      </c>
      <c r="G5" s="621"/>
      <c r="H5" s="215">
        <v>0</v>
      </c>
      <c r="J5" s="621" t="s">
        <v>493</v>
      </c>
      <c r="K5" s="621"/>
      <c r="L5" s="215">
        <v>0</v>
      </c>
      <c r="N5" s="621" t="s">
        <v>493</v>
      </c>
      <c r="O5" s="621"/>
      <c r="P5" s="215">
        <v>0</v>
      </c>
      <c r="R5" s="621" t="s">
        <v>493</v>
      </c>
      <c r="S5" s="621"/>
      <c r="T5" s="215">
        <v>0</v>
      </c>
      <c r="V5" s="621" t="s">
        <v>493</v>
      </c>
      <c r="W5" s="621"/>
      <c r="X5" s="215">
        <v>0</v>
      </c>
      <c r="Z5" s="621" t="s">
        <v>493</v>
      </c>
      <c r="AA5" s="621"/>
      <c r="AB5" s="215">
        <v>0</v>
      </c>
      <c r="AD5" s="621" t="s">
        <v>493</v>
      </c>
      <c r="AE5" s="621"/>
      <c r="AF5" s="215">
        <v>0</v>
      </c>
    </row>
    <row r="6" spans="2:32" x14ac:dyDescent="0.55000000000000004">
      <c r="B6" s="621" t="s">
        <v>95</v>
      </c>
      <c r="C6" s="621"/>
      <c r="D6" s="215">
        <v>0</v>
      </c>
      <c r="F6" s="621" t="s">
        <v>95</v>
      </c>
      <c r="G6" s="621"/>
      <c r="H6" s="215">
        <v>0</v>
      </c>
      <c r="J6" s="621" t="s">
        <v>95</v>
      </c>
      <c r="K6" s="621"/>
      <c r="L6" s="215">
        <v>0</v>
      </c>
      <c r="N6" s="621" t="s">
        <v>95</v>
      </c>
      <c r="O6" s="621"/>
      <c r="P6" s="215">
        <v>0</v>
      </c>
      <c r="R6" s="621" t="s">
        <v>95</v>
      </c>
      <c r="S6" s="621"/>
      <c r="T6" s="215">
        <v>0</v>
      </c>
      <c r="V6" s="621" t="s">
        <v>95</v>
      </c>
      <c r="W6" s="621"/>
      <c r="X6" s="215">
        <v>0</v>
      </c>
      <c r="Z6" s="621" t="s">
        <v>95</v>
      </c>
      <c r="AA6" s="621"/>
      <c r="AB6" s="215">
        <v>0</v>
      </c>
      <c r="AD6" s="621" t="s">
        <v>95</v>
      </c>
      <c r="AE6" s="621"/>
      <c r="AF6" s="215">
        <v>0</v>
      </c>
    </row>
    <row r="7" spans="2:32" x14ac:dyDescent="0.55000000000000004">
      <c r="B7" s="621" t="s">
        <v>494</v>
      </c>
      <c r="C7" s="621"/>
      <c r="D7" s="215">
        <v>0</v>
      </c>
      <c r="F7" s="621" t="s">
        <v>494</v>
      </c>
      <c r="G7" s="621"/>
      <c r="H7" s="215">
        <v>0</v>
      </c>
      <c r="J7" s="621" t="s">
        <v>494</v>
      </c>
      <c r="K7" s="621"/>
      <c r="L7" s="215">
        <v>0</v>
      </c>
      <c r="N7" s="621" t="s">
        <v>494</v>
      </c>
      <c r="O7" s="621"/>
      <c r="P7" s="215">
        <v>0</v>
      </c>
      <c r="R7" s="621" t="s">
        <v>494</v>
      </c>
      <c r="S7" s="621"/>
      <c r="T7" s="215">
        <v>0</v>
      </c>
      <c r="V7" s="621" t="s">
        <v>494</v>
      </c>
      <c r="W7" s="621"/>
      <c r="X7" s="215">
        <v>0</v>
      </c>
      <c r="Z7" s="621" t="s">
        <v>494</v>
      </c>
      <c r="AA7" s="621"/>
      <c r="AB7" s="215">
        <v>0</v>
      </c>
      <c r="AD7" s="621" t="s">
        <v>494</v>
      </c>
      <c r="AE7" s="621"/>
      <c r="AF7" s="215">
        <v>0</v>
      </c>
    </row>
    <row r="8" spans="2:32" x14ac:dyDescent="0.55000000000000004">
      <c r="B8" s="621" t="s">
        <v>96</v>
      </c>
      <c r="C8" s="621"/>
      <c r="D8" s="215">
        <v>0</v>
      </c>
      <c r="F8" s="621" t="s">
        <v>96</v>
      </c>
      <c r="G8" s="621"/>
      <c r="H8" s="215">
        <v>0</v>
      </c>
      <c r="J8" s="621" t="s">
        <v>96</v>
      </c>
      <c r="K8" s="621"/>
      <c r="L8" s="215">
        <v>0</v>
      </c>
      <c r="N8" s="621" t="s">
        <v>96</v>
      </c>
      <c r="O8" s="621"/>
      <c r="P8" s="215">
        <v>0</v>
      </c>
      <c r="R8" s="621" t="s">
        <v>96</v>
      </c>
      <c r="S8" s="621"/>
      <c r="T8" s="215">
        <v>0</v>
      </c>
      <c r="V8" s="621" t="s">
        <v>96</v>
      </c>
      <c r="W8" s="621"/>
      <c r="X8" s="215">
        <v>0</v>
      </c>
      <c r="Z8" s="621" t="s">
        <v>96</v>
      </c>
      <c r="AA8" s="621"/>
      <c r="AB8" s="215">
        <v>0</v>
      </c>
      <c r="AD8" s="621" t="s">
        <v>96</v>
      </c>
      <c r="AE8" s="621"/>
      <c r="AF8" s="215">
        <v>0</v>
      </c>
    </row>
    <row r="9" spans="2:32" x14ac:dyDescent="0.55000000000000004">
      <c r="B9" s="621" t="s">
        <v>495</v>
      </c>
      <c r="C9" s="621"/>
      <c r="D9" s="215">
        <v>0</v>
      </c>
      <c r="F9" s="621" t="s">
        <v>495</v>
      </c>
      <c r="G9" s="621"/>
      <c r="H9" s="215">
        <v>0</v>
      </c>
      <c r="J9" s="621" t="s">
        <v>495</v>
      </c>
      <c r="K9" s="621"/>
      <c r="L9" s="215">
        <v>0</v>
      </c>
      <c r="N9" s="621" t="s">
        <v>495</v>
      </c>
      <c r="O9" s="621"/>
      <c r="P9" s="215">
        <v>0</v>
      </c>
      <c r="R9" s="621" t="s">
        <v>495</v>
      </c>
      <c r="S9" s="621"/>
      <c r="T9" s="215">
        <v>0</v>
      </c>
      <c r="V9" s="621" t="s">
        <v>495</v>
      </c>
      <c r="W9" s="621"/>
      <c r="X9" s="215">
        <v>0</v>
      </c>
      <c r="Z9" s="621" t="s">
        <v>495</v>
      </c>
      <c r="AA9" s="621"/>
      <c r="AB9" s="215">
        <v>0</v>
      </c>
      <c r="AD9" s="621" t="s">
        <v>495</v>
      </c>
      <c r="AE9" s="621"/>
      <c r="AF9" s="215">
        <v>0</v>
      </c>
    </row>
    <row r="10" spans="2:32" x14ac:dyDescent="0.55000000000000004">
      <c r="B10" s="621" t="s">
        <v>98</v>
      </c>
      <c r="C10" s="621"/>
      <c r="D10" s="215">
        <v>0</v>
      </c>
      <c r="F10" s="621" t="s">
        <v>98</v>
      </c>
      <c r="G10" s="621"/>
      <c r="H10" s="215">
        <v>0</v>
      </c>
      <c r="J10" s="621" t="s">
        <v>98</v>
      </c>
      <c r="K10" s="621"/>
      <c r="L10" s="215">
        <v>0</v>
      </c>
      <c r="N10" s="621" t="s">
        <v>98</v>
      </c>
      <c r="O10" s="621"/>
      <c r="P10" s="215">
        <v>0</v>
      </c>
      <c r="R10" s="621" t="s">
        <v>98</v>
      </c>
      <c r="S10" s="621"/>
      <c r="T10" s="215">
        <v>0</v>
      </c>
      <c r="V10" s="621" t="s">
        <v>98</v>
      </c>
      <c r="W10" s="621"/>
      <c r="X10" s="215">
        <v>0</v>
      </c>
      <c r="Z10" s="621" t="s">
        <v>98</v>
      </c>
      <c r="AA10" s="621"/>
      <c r="AB10" s="215">
        <v>0</v>
      </c>
      <c r="AD10" s="621" t="s">
        <v>98</v>
      </c>
      <c r="AE10" s="621"/>
      <c r="AF10" s="215">
        <v>0</v>
      </c>
    </row>
    <row r="11" spans="2:32" x14ac:dyDescent="0.55000000000000004">
      <c r="B11" s="621" t="s">
        <v>97</v>
      </c>
      <c r="C11" s="621"/>
      <c r="D11" s="215">
        <v>0</v>
      </c>
      <c r="F11" s="621" t="s">
        <v>97</v>
      </c>
      <c r="G11" s="621"/>
      <c r="H11" s="215">
        <v>0</v>
      </c>
      <c r="J11" s="621" t="s">
        <v>97</v>
      </c>
      <c r="K11" s="621"/>
      <c r="L11" s="215">
        <v>0</v>
      </c>
      <c r="N11" s="621" t="s">
        <v>97</v>
      </c>
      <c r="O11" s="621"/>
      <c r="P11" s="215">
        <v>0</v>
      </c>
      <c r="R11" s="621" t="s">
        <v>97</v>
      </c>
      <c r="S11" s="621"/>
      <c r="T11" s="215">
        <v>0</v>
      </c>
      <c r="V11" s="621" t="s">
        <v>97</v>
      </c>
      <c r="W11" s="621"/>
      <c r="X11" s="215">
        <v>0</v>
      </c>
      <c r="Z11" s="621" t="s">
        <v>97</v>
      </c>
      <c r="AA11" s="621"/>
      <c r="AB11" s="215">
        <v>0</v>
      </c>
      <c r="AD11" s="621" t="s">
        <v>97</v>
      </c>
      <c r="AE11" s="621"/>
      <c r="AF11" s="215">
        <v>0</v>
      </c>
    </row>
    <row r="12" spans="2:32" x14ac:dyDescent="0.55000000000000004">
      <c r="B12" s="621" t="s">
        <v>100</v>
      </c>
      <c r="C12" s="621"/>
      <c r="D12" s="215">
        <v>0</v>
      </c>
      <c r="F12" s="621" t="s">
        <v>100</v>
      </c>
      <c r="G12" s="621"/>
      <c r="H12" s="215">
        <v>0</v>
      </c>
      <c r="J12" s="621" t="s">
        <v>100</v>
      </c>
      <c r="K12" s="621"/>
      <c r="L12" s="215">
        <v>0</v>
      </c>
      <c r="N12" s="621" t="s">
        <v>100</v>
      </c>
      <c r="O12" s="621"/>
      <c r="P12" s="215">
        <v>0</v>
      </c>
      <c r="R12" s="621" t="s">
        <v>100</v>
      </c>
      <c r="S12" s="621"/>
      <c r="T12" s="215">
        <v>0</v>
      </c>
      <c r="V12" s="621" t="s">
        <v>100</v>
      </c>
      <c r="W12" s="621"/>
      <c r="X12" s="215">
        <v>0</v>
      </c>
      <c r="Z12" s="621" t="s">
        <v>100</v>
      </c>
      <c r="AA12" s="621"/>
      <c r="AB12" s="215">
        <v>0</v>
      </c>
      <c r="AD12" s="621" t="s">
        <v>100</v>
      </c>
      <c r="AE12" s="621"/>
      <c r="AF12" s="215">
        <v>0</v>
      </c>
    </row>
    <row r="13" spans="2:32" x14ac:dyDescent="0.55000000000000004">
      <c r="B13" s="621" t="s">
        <v>99</v>
      </c>
      <c r="C13" s="621"/>
      <c r="D13" s="215">
        <v>0</v>
      </c>
      <c r="F13" s="621" t="s">
        <v>99</v>
      </c>
      <c r="G13" s="621"/>
      <c r="H13" s="215">
        <v>0</v>
      </c>
      <c r="J13" s="621" t="s">
        <v>99</v>
      </c>
      <c r="K13" s="621"/>
      <c r="L13" s="215">
        <v>0</v>
      </c>
      <c r="N13" s="621" t="s">
        <v>99</v>
      </c>
      <c r="O13" s="621"/>
      <c r="P13" s="215">
        <v>0</v>
      </c>
      <c r="R13" s="621" t="s">
        <v>99</v>
      </c>
      <c r="S13" s="621"/>
      <c r="T13" s="215">
        <v>0</v>
      </c>
      <c r="V13" s="621" t="s">
        <v>99</v>
      </c>
      <c r="W13" s="621"/>
      <c r="X13" s="215">
        <v>0</v>
      </c>
      <c r="Z13" s="621" t="s">
        <v>99</v>
      </c>
      <c r="AA13" s="621"/>
      <c r="AB13" s="215">
        <v>0</v>
      </c>
      <c r="AD13" s="621" t="s">
        <v>99</v>
      </c>
      <c r="AE13" s="621"/>
      <c r="AF13" s="215">
        <v>0</v>
      </c>
    </row>
    <row r="14" spans="2:32" x14ac:dyDescent="0.55000000000000004">
      <c r="B14" s="621" t="s">
        <v>102</v>
      </c>
      <c r="C14" s="621"/>
      <c r="D14" s="215">
        <v>0</v>
      </c>
      <c r="F14" s="621" t="s">
        <v>102</v>
      </c>
      <c r="G14" s="621"/>
      <c r="H14" s="215">
        <v>0</v>
      </c>
      <c r="J14" s="621" t="s">
        <v>102</v>
      </c>
      <c r="K14" s="621"/>
      <c r="L14" s="215">
        <v>0</v>
      </c>
      <c r="N14" s="621" t="s">
        <v>102</v>
      </c>
      <c r="O14" s="621"/>
      <c r="P14" s="215">
        <v>0</v>
      </c>
      <c r="R14" s="621" t="s">
        <v>102</v>
      </c>
      <c r="S14" s="621"/>
      <c r="T14" s="215">
        <v>0</v>
      </c>
      <c r="V14" s="621" t="s">
        <v>102</v>
      </c>
      <c r="W14" s="621"/>
      <c r="X14" s="215">
        <v>0</v>
      </c>
      <c r="Z14" s="621" t="s">
        <v>102</v>
      </c>
      <c r="AA14" s="621"/>
      <c r="AB14" s="215">
        <v>0</v>
      </c>
      <c r="AD14" s="621" t="s">
        <v>102</v>
      </c>
      <c r="AE14" s="621"/>
      <c r="AF14" s="215">
        <v>0</v>
      </c>
    </row>
    <row r="15" spans="2:32" x14ac:dyDescent="0.55000000000000004">
      <c r="B15" s="621" t="s">
        <v>485</v>
      </c>
      <c r="C15" s="621"/>
      <c r="D15" s="215">
        <v>0</v>
      </c>
      <c r="F15" s="621" t="s">
        <v>485</v>
      </c>
      <c r="G15" s="621"/>
      <c r="H15" s="215">
        <v>0</v>
      </c>
      <c r="J15" s="621" t="s">
        <v>485</v>
      </c>
      <c r="K15" s="621"/>
      <c r="L15" s="215">
        <v>0</v>
      </c>
      <c r="N15" s="621" t="s">
        <v>485</v>
      </c>
      <c r="O15" s="621"/>
      <c r="P15" s="215">
        <v>0</v>
      </c>
      <c r="R15" s="621" t="s">
        <v>485</v>
      </c>
      <c r="S15" s="621"/>
      <c r="T15" s="215">
        <v>0</v>
      </c>
      <c r="V15" s="621" t="s">
        <v>485</v>
      </c>
      <c r="W15" s="621"/>
      <c r="X15" s="215">
        <v>0</v>
      </c>
      <c r="Z15" s="621" t="s">
        <v>485</v>
      </c>
      <c r="AA15" s="621"/>
      <c r="AB15" s="215">
        <v>0</v>
      </c>
      <c r="AD15" s="621" t="s">
        <v>485</v>
      </c>
      <c r="AE15" s="621"/>
      <c r="AF15" s="215">
        <v>0</v>
      </c>
    </row>
    <row r="16" spans="2:32" x14ac:dyDescent="0.55000000000000004">
      <c r="B16" s="621" t="s">
        <v>491</v>
      </c>
      <c r="C16" s="621"/>
      <c r="D16" s="215">
        <v>1</v>
      </c>
      <c r="F16" s="621" t="s">
        <v>491</v>
      </c>
      <c r="G16" s="621"/>
      <c r="H16" s="215">
        <v>1</v>
      </c>
      <c r="J16" s="621" t="s">
        <v>491</v>
      </c>
      <c r="K16" s="621"/>
      <c r="L16" s="215">
        <v>1</v>
      </c>
      <c r="N16" s="621" t="s">
        <v>491</v>
      </c>
      <c r="O16" s="621"/>
      <c r="P16" s="215">
        <v>1</v>
      </c>
      <c r="R16" s="621" t="s">
        <v>491</v>
      </c>
      <c r="S16" s="621"/>
      <c r="T16" s="215">
        <v>1</v>
      </c>
      <c r="V16" s="621" t="s">
        <v>491</v>
      </c>
      <c r="W16" s="621"/>
      <c r="X16" s="215">
        <v>1</v>
      </c>
      <c r="Z16" s="621" t="s">
        <v>491</v>
      </c>
      <c r="AA16" s="621"/>
      <c r="AB16" s="215">
        <v>1</v>
      </c>
      <c r="AD16" s="621" t="s">
        <v>491</v>
      </c>
      <c r="AE16" s="621"/>
      <c r="AF16" s="215">
        <v>1</v>
      </c>
    </row>
    <row r="17" spans="2:32" x14ac:dyDescent="0.55000000000000004">
      <c r="B17" s="621" t="s">
        <v>492</v>
      </c>
      <c r="C17" s="621"/>
      <c r="D17" s="215">
        <v>0</v>
      </c>
      <c r="F17" s="621" t="s">
        <v>492</v>
      </c>
      <c r="G17" s="621"/>
      <c r="H17" s="215">
        <v>0</v>
      </c>
      <c r="J17" s="621" t="s">
        <v>492</v>
      </c>
      <c r="K17" s="621"/>
      <c r="L17" s="215">
        <v>0</v>
      </c>
      <c r="N17" s="621" t="s">
        <v>492</v>
      </c>
      <c r="O17" s="621"/>
      <c r="P17" s="215">
        <v>0</v>
      </c>
      <c r="R17" s="621" t="s">
        <v>492</v>
      </c>
      <c r="S17" s="621"/>
      <c r="T17" s="215">
        <v>0</v>
      </c>
      <c r="V17" s="621" t="s">
        <v>492</v>
      </c>
      <c r="W17" s="621"/>
      <c r="X17" s="215">
        <v>0</v>
      </c>
      <c r="Z17" s="621" t="s">
        <v>492</v>
      </c>
      <c r="AA17" s="621"/>
      <c r="AB17" s="215">
        <v>0</v>
      </c>
      <c r="AD17" s="621" t="s">
        <v>492</v>
      </c>
      <c r="AE17" s="621"/>
      <c r="AF17" s="215">
        <v>0</v>
      </c>
    </row>
    <row r="18" spans="2:32" x14ac:dyDescent="0.55000000000000004">
      <c r="B18" s="621" t="s">
        <v>104</v>
      </c>
      <c r="C18" s="621"/>
      <c r="D18" s="215">
        <v>0</v>
      </c>
      <c r="F18" s="621" t="s">
        <v>104</v>
      </c>
      <c r="G18" s="621"/>
      <c r="H18" s="215">
        <v>0</v>
      </c>
      <c r="J18" s="621" t="s">
        <v>104</v>
      </c>
      <c r="K18" s="621"/>
      <c r="L18" s="215">
        <v>0</v>
      </c>
      <c r="N18" s="621" t="s">
        <v>104</v>
      </c>
      <c r="O18" s="621"/>
      <c r="P18" s="215">
        <v>0</v>
      </c>
      <c r="R18" s="621" t="s">
        <v>104</v>
      </c>
      <c r="S18" s="621"/>
      <c r="T18" s="215">
        <v>0</v>
      </c>
      <c r="V18" s="621" t="s">
        <v>104</v>
      </c>
      <c r="W18" s="621"/>
      <c r="X18" s="215">
        <v>0</v>
      </c>
      <c r="Z18" s="621" t="s">
        <v>104</v>
      </c>
      <c r="AA18" s="621"/>
      <c r="AB18" s="215">
        <v>0</v>
      </c>
      <c r="AD18" s="621" t="s">
        <v>104</v>
      </c>
      <c r="AE18" s="621"/>
      <c r="AF18" s="215">
        <v>0</v>
      </c>
    </row>
    <row r="19" spans="2:32" x14ac:dyDescent="0.55000000000000004">
      <c r="B19" s="621" t="s">
        <v>105</v>
      </c>
      <c r="C19" s="621"/>
      <c r="D19" s="215">
        <v>0</v>
      </c>
      <c r="F19" s="621" t="s">
        <v>105</v>
      </c>
      <c r="G19" s="621"/>
      <c r="H19" s="215">
        <v>0</v>
      </c>
      <c r="J19" s="621" t="s">
        <v>105</v>
      </c>
      <c r="K19" s="621"/>
      <c r="L19" s="215">
        <v>0</v>
      </c>
      <c r="N19" s="621" t="s">
        <v>105</v>
      </c>
      <c r="O19" s="621"/>
      <c r="P19" s="215">
        <v>0</v>
      </c>
      <c r="R19" s="621" t="s">
        <v>105</v>
      </c>
      <c r="S19" s="621"/>
      <c r="T19" s="215">
        <v>0</v>
      </c>
      <c r="V19" s="621" t="s">
        <v>105</v>
      </c>
      <c r="W19" s="621"/>
      <c r="X19" s="215">
        <v>0</v>
      </c>
      <c r="Z19" s="621" t="s">
        <v>105</v>
      </c>
      <c r="AA19" s="621"/>
      <c r="AB19" s="215">
        <v>0</v>
      </c>
      <c r="AD19" s="621" t="s">
        <v>105</v>
      </c>
      <c r="AE19" s="621"/>
      <c r="AF19" s="215">
        <v>0</v>
      </c>
    </row>
    <row r="20" spans="2:32" x14ac:dyDescent="0.55000000000000004">
      <c r="B20" s="621" t="s">
        <v>496</v>
      </c>
      <c r="C20" s="621"/>
      <c r="D20" s="215">
        <v>0</v>
      </c>
      <c r="F20" s="621" t="s">
        <v>496</v>
      </c>
      <c r="G20" s="621"/>
      <c r="H20" s="215">
        <v>0</v>
      </c>
      <c r="J20" s="621" t="s">
        <v>496</v>
      </c>
      <c r="K20" s="621"/>
      <c r="L20" s="215">
        <v>0</v>
      </c>
      <c r="N20" s="621" t="s">
        <v>496</v>
      </c>
      <c r="O20" s="621"/>
      <c r="P20" s="215">
        <v>0</v>
      </c>
      <c r="R20" s="621" t="s">
        <v>496</v>
      </c>
      <c r="S20" s="621"/>
      <c r="T20" s="215">
        <v>0</v>
      </c>
      <c r="V20" s="621" t="s">
        <v>496</v>
      </c>
      <c r="W20" s="621"/>
      <c r="X20" s="215">
        <v>0</v>
      </c>
      <c r="Z20" s="621" t="s">
        <v>496</v>
      </c>
      <c r="AA20" s="621"/>
      <c r="AB20" s="215">
        <v>0</v>
      </c>
      <c r="AD20" s="621" t="s">
        <v>496</v>
      </c>
      <c r="AE20" s="621"/>
      <c r="AF20" s="215">
        <v>0</v>
      </c>
    </row>
    <row r="21" spans="2:32" x14ac:dyDescent="0.55000000000000004">
      <c r="B21" s="621" t="s">
        <v>497</v>
      </c>
      <c r="C21" s="621"/>
      <c r="D21" s="215">
        <v>0</v>
      </c>
      <c r="F21" s="621" t="s">
        <v>497</v>
      </c>
      <c r="G21" s="621"/>
      <c r="H21" s="215">
        <v>0</v>
      </c>
      <c r="J21" s="621" t="s">
        <v>497</v>
      </c>
      <c r="K21" s="621"/>
      <c r="L21" s="215">
        <v>0</v>
      </c>
      <c r="N21" s="621" t="s">
        <v>497</v>
      </c>
      <c r="O21" s="621"/>
      <c r="P21" s="215">
        <v>0</v>
      </c>
      <c r="R21" s="621" t="s">
        <v>497</v>
      </c>
      <c r="S21" s="621"/>
      <c r="T21" s="215">
        <v>0</v>
      </c>
      <c r="V21" s="621" t="s">
        <v>497</v>
      </c>
      <c r="W21" s="621"/>
      <c r="X21" s="215">
        <v>0</v>
      </c>
      <c r="Z21" s="621" t="s">
        <v>497</v>
      </c>
      <c r="AA21" s="621"/>
      <c r="AB21" s="215">
        <v>0</v>
      </c>
      <c r="AD21" s="621" t="s">
        <v>497</v>
      </c>
      <c r="AE21" s="621"/>
      <c r="AF21" s="215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700" t="s">
        <v>351</v>
      </c>
      <c r="C3" s="701"/>
      <c r="D3" s="702"/>
    </row>
    <row r="4" spans="1:4" ht="14.7" thickBot="1" x14ac:dyDescent="0.6">
      <c r="B4" s="249"/>
      <c r="C4" s="245" t="s">
        <v>349</v>
      </c>
      <c r="D4" s="246" t="s">
        <v>344</v>
      </c>
    </row>
    <row r="5" spans="1:4" x14ac:dyDescent="0.55000000000000004">
      <c r="A5" t="s">
        <v>1</v>
      </c>
      <c r="B5" s="250" t="s">
        <v>343</v>
      </c>
      <c r="C5" s="254">
        <v>16.84</v>
      </c>
      <c r="D5" s="244">
        <f>0.980665*C5+1.01325</f>
        <v>17.527648599999999</v>
      </c>
    </row>
    <row r="6" spans="1:4" x14ac:dyDescent="0.55000000000000004">
      <c r="B6" s="251"/>
      <c r="C6" s="248"/>
      <c r="D6" s="247"/>
    </row>
    <row r="7" spans="1:4" x14ac:dyDescent="0.55000000000000004">
      <c r="B7" s="252" t="s">
        <v>346</v>
      </c>
      <c r="C7" s="254">
        <v>0</v>
      </c>
      <c r="D7" s="244">
        <f>0.980665*C7</f>
        <v>0</v>
      </c>
    </row>
    <row r="8" spans="1:4" x14ac:dyDescent="0.55000000000000004">
      <c r="B8" s="251"/>
      <c r="C8" s="248"/>
      <c r="D8" s="247"/>
    </row>
    <row r="9" spans="1:4" x14ac:dyDescent="0.55000000000000004">
      <c r="B9" s="252" t="s">
        <v>345</v>
      </c>
      <c r="C9" s="254">
        <v>0</v>
      </c>
      <c r="D9" s="244">
        <f>C9+1.01325</f>
        <v>1.01325</v>
      </c>
    </row>
    <row r="10" spans="1:4" x14ac:dyDescent="0.55000000000000004">
      <c r="B10" s="251"/>
      <c r="C10" s="248"/>
      <c r="D10" s="247"/>
    </row>
    <row r="11" spans="1:4" x14ac:dyDescent="0.55000000000000004">
      <c r="B11" s="252" t="s">
        <v>347</v>
      </c>
      <c r="C11" s="254">
        <v>0</v>
      </c>
      <c r="D11" s="244">
        <f>C11/100000+1.01325</f>
        <v>1.01325</v>
      </c>
    </row>
    <row r="12" spans="1:4" x14ac:dyDescent="0.55000000000000004">
      <c r="B12" s="251"/>
      <c r="C12" s="248"/>
      <c r="D12" s="247"/>
    </row>
    <row r="13" spans="1:4" ht="14.7" thickBot="1" x14ac:dyDescent="0.6">
      <c r="B13" s="253" t="s">
        <v>348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2" spans="2:15" ht="14.7" thickBot="1" x14ac:dyDescent="0.6"/>
    <row r="3" spans="2:15" x14ac:dyDescent="0.55000000000000004">
      <c r="B3" s="703" t="s">
        <v>401</v>
      </c>
      <c r="C3" s="390" t="s">
        <v>92</v>
      </c>
      <c r="D3" s="390" t="s">
        <v>402</v>
      </c>
      <c r="E3" s="390" t="s">
        <v>403</v>
      </c>
      <c r="F3" s="390" t="s">
        <v>404</v>
      </c>
      <c r="G3" s="390" t="s">
        <v>405</v>
      </c>
      <c r="H3" s="705" t="s">
        <v>406</v>
      </c>
      <c r="I3" s="391" t="s">
        <v>292</v>
      </c>
      <c r="J3" s="707" t="s">
        <v>407</v>
      </c>
    </row>
    <row r="4" spans="2:15" ht="14.7" thickBot="1" x14ac:dyDescent="0.6">
      <c r="B4" s="704"/>
      <c r="C4" s="392" t="s">
        <v>408</v>
      </c>
      <c r="D4" s="392" t="s">
        <v>408</v>
      </c>
      <c r="E4" s="392" t="s">
        <v>342</v>
      </c>
      <c r="F4" s="392" t="s">
        <v>301</v>
      </c>
      <c r="G4" s="392" t="s">
        <v>409</v>
      </c>
      <c r="H4" s="706"/>
      <c r="I4" s="393" t="s">
        <v>299</v>
      </c>
      <c r="J4" s="708"/>
    </row>
    <row r="5" spans="2:15" ht="14.7" thickBot="1" x14ac:dyDescent="0.6">
      <c r="B5" s="394">
        <v>1</v>
      </c>
      <c r="C5" s="395">
        <v>250</v>
      </c>
      <c r="D5" s="395">
        <v>170</v>
      </c>
      <c r="E5" s="395">
        <v>1140</v>
      </c>
      <c r="F5" s="395">
        <v>203</v>
      </c>
      <c r="G5" s="395">
        <v>3700</v>
      </c>
      <c r="H5" s="396" t="s">
        <v>410</v>
      </c>
      <c r="I5" s="397"/>
      <c r="J5" s="320" t="s">
        <v>411</v>
      </c>
    </row>
    <row r="6" spans="2:15" x14ac:dyDescent="0.55000000000000004">
      <c r="B6" s="394">
        <v>2</v>
      </c>
      <c r="C6" s="395">
        <v>250</v>
      </c>
      <c r="D6" s="395">
        <v>170</v>
      </c>
      <c r="E6" s="395">
        <v>1140</v>
      </c>
      <c r="F6" s="395">
        <v>180</v>
      </c>
      <c r="G6" s="395">
        <v>7350</v>
      </c>
      <c r="H6" s="396" t="s">
        <v>410</v>
      </c>
      <c r="I6" s="397"/>
      <c r="J6" s="320" t="s">
        <v>412</v>
      </c>
      <c r="L6" s="650" t="s">
        <v>390</v>
      </c>
      <c r="M6" s="651"/>
    </row>
    <row r="7" spans="2:15" x14ac:dyDescent="0.55000000000000004">
      <c r="B7" s="394">
        <v>3</v>
      </c>
      <c r="C7" s="395">
        <v>250</v>
      </c>
      <c r="D7" s="395">
        <v>170</v>
      </c>
      <c r="E7" s="395">
        <v>1140</v>
      </c>
      <c r="F7" s="395">
        <v>161</v>
      </c>
      <c r="G7" s="395">
        <v>13900</v>
      </c>
      <c r="H7" s="396" t="s">
        <v>410</v>
      </c>
      <c r="I7" s="397"/>
      <c r="J7" s="320" t="s">
        <v>413</v>
      </c>
      <c r="L7" s="652"/>
      <c r="M7" s="653"/>
    </row>
    <row r="8" spans="2:15" x14ac:dyDescent="0.55000000000000004">
      <c r="B8" s="394">
        <v>4</v>
      </c>
      <c r="C8" s="395">
        <v>250</v>
      </c>
      <c r="D8" s="395">
        <v>170</v>
      </c>
      <c r="E8" s="395">
        <v>1140</v>
      </c>
      <c r="F8" s="395">
        <v>159</v>
      </c>
      <c r="G8" s="395">
        <v>14950</v>
      </c>
      <c r="H8" s="396" t="s">
        <v>410</v>
      </c>
      <c r="I8" s="397"/>
      <c r="J8" s="320" t="s">
        <v>414</v>
      </c>
      <c r="L8" s="654" t="s">
        <v>484</v>
      </c>
      <c r="M8" s="655"/>
    </row>
    <row r="9" spans="2:15" ht="14.7" thickBot="1" x14ac:dyDescent="0.6">
      <c r="B9" s="394">
        <v>5</v>
      </c>
      <c r="C9" s="395">
        <v>250</v>
      </c>
      <c r="D9" s="395">
        <v>170</v>
      </c>
      <c r="E9" s="395">
        <v>1140</v>
      </c>
      <c r="F9" s="395">
        <v>150</v>
      </c>
      <c r="G9" s="395">
        <v>29500</v>
      </c>
      <c r="H9" s="396" t="s">
        <v>410</v>
      </c>
      <c r="I9" s="397"/>
      <c r="J9" s="320" t="s">
        <v>415</v>
      </c>
      <c r="L9" s="656"/>
      <c r="M9" s="657"/>
    </row>
    <row r="10" spans="2:15" x14ac:dyDescent="0.55000000000000004">
      <c r="B10" s="394">
        <v>6</v>
      </c>
      <c r="C10" s="395"/>
      <c r="D10" s="395"/>
      <c r="E10" s="395"/>
      <c r="F10" s="395"/>
      <c r="G10" s="395"/>
      <c r="H10" s="396" t="s">
        <v>410</v>
      </c>
      <c r="I10" s="397"/>
      <c r="J10" s="320"/>
    </row>
    <row r="11" spans="2:15" x14ac:dyDescent="0.55000000000000004">
      <c r="B11" s="394">
        <v>7</v>
      </c>
      <c r="C11" s="395"/>
      <c r="D11" s="395"/>
      <c r="E11" s="395"/>
      <c r="F11" s="395"/>
      <c r="G11" s="395"/>
      <c r="H11" s="396" t="s">
        <v>410</v>
      </c>
      <c r="I11" s="397"/>
      <c r="J11" s="320"/>
    </row>
    <row r="12" spans="2:15" x14ac:dyDescent="0.55000000000000004">
      <c r="B12" s="394">
        <v>8</v>
      </c>
      <c r="C12" s="395"/>
      <c r="D12" s="395"/>
      <c r="E12" s="395"/>
      <c r="F12" s="395"/>
      <c r="G12" s="395"/>
      <c r="H12" s="396" t="s">
        <v>410</v>
      </c>
      <c r="I12" s="397"/>
      <c r="J12" s="320"/>
    </row>
    <row r="13" spans="2:15" x14ac:dyDescent="0.55000000000000004">
      <c r="B13" s="394">
        <v>9</v>
      </c>
      <c r="C13" s="395"/>
      <c r="D13" s="395"/>
      <c r="E13" s="395"/>
      <c r="F13" s="395"/>
      <c r="G13" s="395"/>
      <c r="H13" s="396" t="s">
        <v>410</v>
      </c>
      <c r="I13" s="397"/>
      <c r="J13" s="320"/>
    </row>
    <row r="14" spans="2:15" x14ac:dyDescent="0.55000000000000004">
      <c r="B14" s="394">
        <v>10</v>
      </c>
      <c r="C14" s="395"/>
      <c r="D14" s="395"/>
      <c r="E14" s="395"/>
      <c r="F14" s="395"/>
      <c r="G14" s="395"/>
      <c r="H14" s="396" t="s">
        <v>410</v>
      </c>
      <c r="I14" s="397"/>
      <c r="J14" s="320"/>
    </row>
    <row r="15" spans="2:15" x14ac:dyDescent="0.55000000000000004">
      <c r="B15" s="394">
        <v>11</v>
      </c>
      <c r="C15" s="395"/>
      <c r="D15" s="395"/>
      <c r="E15" s="395"/>
      <c r="F15" s="395"/>
      <c r="G15" s="395"/>
      <c r="H15" s="396" t="s">
        <v>410</v>
      </c>
      <c r="I15" s="397"/>
      <c r="J15" s="320"/>
      <c r="O15" t="s">
        <v>1</v>
      </c>
    </row>
    <row r="16" spans="2:15" x14ac:dyDescent="0.55000000000000004">
      <c r="B16" s="394">
        <v>12</v>
      </c>
      <c r="C16" s="395"/>
      <c r="D16" s="395"/>
      <c r="E16" s="395"/>
      <c r="F16" s="395"/>
      <c r="G16" s="395"/>
      <c r="H16" s="396" t="s">
        <v>410</v>
      </c>
      <c r="I16" s="397"/>
      <c r="J16" s="320"/>
    </row>
    <row r="17" spans="2:10" x14ac:dyDescent="0.55000000000000004">
      <c r="B17" s="394">
        <v>13</v>
      </c>
      <c r="C17" s="395"/>
      <c r="D17" s="395"/>
      <c r="E17" s="395"/>
      <c r="F17" s="395"/>
      <c r="G17" s="395"/>
      <c r="H17" s="396" t="s">
        <v>410</v>
      </c>
      <c r="I17" s="397"/>
      <c r="J17" s="320"/>
    </row>
    <row r="18" spans="2:10" x14ac:dyDescent="0.55000000000000004">
      <c r="B18" s="394">
        <v>14</v>
      </c>
      <c r="C18" s="395"/>
      <c r="D18" s="395"/>
      <c r="E18" s="395"/>
      <c r="F18" s="395"/>
      <c r="G18" s="395"/>
      <c r="H18" s="396" t="s">
        <v>410</v>
      </c>
      <c r="I18" s="397"/>
      <c r="J18" s="320"/>
    </row>
    <row r="19" spans="2:10" x14ac:dyDescent="0.55000000000000004">
      <c r="B19" s="394">
        <v>15</v>
      </c>
      <c r="C19" s="395"/>
      <c r="D19" s="395"/>
      <c r="E19" s="395"/>
      <c r="F19" s="395"/>
      <c r="G19" s="395"/>
      <c r="H19" s="396" t="s">
        <v>410</v>
      </c>
      <c r="I19" s="397"/>
      <c r="J19" s="320"/>
    </row>
    <row r="20" spans="2:10" x14ac:dyDescent="0.55000000000000004">
      <c r="B20" s="394">
        <v>16</v>
      </c>
      <c r="C20" s="395"/>
      <c r="D20" s="395"/>
      <c r="E20" s="395"/>
      <c r="F20" s="395"/>
      <c r="G20" s="395"/>
      <c r="H20" s="396" t="s">
        <v>410</v>
      </c>
      <c r="I20" s="397"/>
      <c r="J20" s="320"/>
    </row>
    <row r="21" spans="2:10" x14ac:dyDescent="0.55000000000000004">
      <c r="B21" s="394">
        <v>17</v>
      </c>
      <c r="C21" s="395"/>
      <c r="D21" s="395"/>
      <c r="E21" s="395"/>
      <c r="F21" s="395"/>
      <c r="G21" s="395"/>
      <c r="H21" s="396" t="s">
        <v>410</v>
      </c>
      <c r="I21" s="397"/>
      <c r="J21" s="320"/>
    </row>
    <row r="22" spans="2:10" x14ac:dyDescent="0.55000000000000004">
      <c r="B22" s="394">
        <v>18</v>
      </c>
      <c r="C22" s="395"/>
      <c r="D22" s="395"/>
      <c r="E22" s="395"/>
      <c r="F22" s="395"/>
      <c r="G22" s="395"/>
      <c r="H22" s="396" t="s">
        <v>410</v>
      </c>
      <c r="I22" s="397"/>
      <c r="J22" s="320"/>
    </row>
    <row r="23" spans="2:10" x14ac:dyDescent="0.55000000000000004">
      <c r="B23" s="394">
        <v>19</v>
      </c>
      <c r="C23" s="395"/>
      <c r="D23" s="395"/>
      <c r="E23" s="395"/>
      <c r="F23" s="395"/>
      <c r="G23" s="395"/>
      <c r="H23" s="396" t="s">
        <v>410</v>
      </c>
      <c r="I23" s="397"/>
      <c r="J23" s="320"/>
    </row>
    <row r="24" spans="2:10" x14ac:dyDescent="0.55000000000000004">
      <c r="B24" s="394">
        <v>20</v>
      </c>
      <c r="C24" s="395"/>
      <c r="D24" s="395"/>
      <c r="E24" s="395"/>
      <c r="F24" s="395"/>
      <c r="G24" s="395"/>
      <c r="H24" s="396" t="s">
        <v>410</v>
      </c>
      <c r="I24" s="397"/>
      <c r="J24" s="320"/>
    </row>
    <row r="25" spans="2:10" x14ac:dyDescent="0.55000000000000004">
      <c r="B25" s="394">
        <v>21</v>
      </c>
      <c r="C25" s="395"/>
      <c r="D25" s="395"/>
      <c r="E25" s="395"/>
      <c r="F25" s="395"/>
      <c r="G25" s="395"/>
      <c r="H25" s="396" t="s">
        <v>410</v>
      </c>
      <c r="I25" s="397"/>
      <c r="J25" s="320"/>
    </row>
    <row r="26" spans="2:10" x14ac:dyDescent="0.55000000000000004">
      <c r="B26" s="394">
        <v>22</v>
      </c>
      <c r="C26" s="395"/>
      <c r="D26" s="395"/>
      <c r="E26" s="395"/>
      <c r="F26" s="395"/>
      <c r="G26" s="395"/>
      <c r="H26" s="396" t="s">
        <v>410</v>
      </c>
      <c r="I26" s="397"/>
      <c r="J26" s="320"/>
    </row>
    <row r="27" spans="2:10" x14ac:dyDescent="0.55000000000000004">
      <c r="B27" s="394">
        <v>23</v>
      </c>
      <c r="C27" s="395"/>
      <c r="D27" s="395"/>
      <c r="E27" s="395"/>
      <c r="F27" s="395"/>
      <c r="G27" s="395"/>
      <c r="H27" s="396" t="s">
        <v>410</v>
      </c>
      <c r="I27" s="397"/>
      <c r="J27" s="320"/>
    </row>
    <row r="28" spans="2:10" x14ac:dyDescent="0.55000000000000004">
      <c r="B28" s="394">
        <v>24</v>
      </c>
      <c r="C28" s="395"/>
      <c r="D28" s="395"/>
      <c r="E28" s="395"/>
      <c r="F28" s="395"/>
      <c r="G28" s="395"/>
      <c r="H28" s="396" t="s">
        <v>410</v>
      </c>
      <c r="I28" s="397"/>
      <c r="J28" s="320"/>
    </row>
    <row r="29" spans="2:10" x14ac:dyDescent="0.55000000000000004">
      <c r="B29" s="394">
        <v>25</v>
      </c>
      <c r="C29" s="395"/>
      <c r="D29" s="395"/>
      <c r="E29" s="395"/>
      <c r="F29" s="395"/>
      <c r="G29" s="395"/>
      <c r="H29" s="396" t="s">
        <v>410</v>
      </c>
      <c r="I29" s="397"/>
      <c r="J29" s="320"/>
    </row>
    <row r="30" spans="2:10" x14ac:dyDescent="0.55000000000000004">
      <c r="B30" s="394">
        <v>26</v>
      </c>
      <c r="C30" s="395"/>
      <c r="D30" s="395"/>
      <c r="E30" s="395"/>
      <c r="F30" s="395"/>
      <c r="G30" s="395"/>
      <c r="H30" s="396" t="s">
        <v>410</v>
      </c>
      <c r="I30" s="397"/>
      <c r="J30" s="320"/>
    </row>
    <row r="31" spans="2:10" x14ac:dyDescent="0.55000000000000004">
      <c r="B31" s="394">
        <v>27</v>
      </c>
      <c r="C31" s="395"/>
      <c r="D31" s="395"/>
      <c r="E31" s="395"/>
      <c r="F31" s="395"/>
      <c r="G31" s="395"/>
      <c r="H31" s="396" t="s">
        <v>410</v>
      </c>
      <c r="I31" s="397"/>
      <c r="J31" s="320"/>
    </row>
    <row r="32" spans="2:10" x14ac:dyDescent="0.55000000000000004">
      <c r="B32" s="394">
        <v>28</v>
      </c>
      <c r="C32" s="395"/>
      <c r="D32" s="395"/>
      <c r="E32" s="395"/>
      <c r="F32" s="395"/>
      <c r="G32" s="395"/>
      <c r="H32" s="396" t="s">
        <v>410</v>
      </c>
      <c r="I32" s="397"/>
      <c r="J32" s="320"/>
    </row>
    <row r="33" spans="2:10" x14ac:dyDescent="0.55000000000000004">
      <c r="B33" s="394">
        <v>29</v>
      </c>
      <c r="C33" s="395"/>
      <c r="D33" s="395"/>
      <c r="E33" s="395"/>
      <c r="F33" s="395"/>
      <c r="G33" s="395"/>
      <c r="H33" s="396" t="s">
        <v>410</v>
      </c>
      <c r="I33" s="397"/>
      <c r="J33" s="320"/>
    </row>
    <row r="34" spans="2:10" x14ac:dyDescent="0.55000000000000004">
      <c r="B34" s="394">
        <v>30</v>
      </c>
      <c r="C34" s="395"/>
      <c r="D34" s="395"/>
      <c r="E34" s="395"/>
      <c r="F34" s="395"/>
      <c r="G34" s="395"/>
      <c r="H34" s="396" t="s">
        <v>410</v>
      </c>
      <c r="I34" s="397"/>
      <c r="J34" s="320"/>
    </row>
    <row r="35" spans="2:10" x14ac:dyDescent="0.55000000000000004">
      <c r="B35" s="394">
        <v>31</v>
      </c>
      <c r="C35" s="395"/>
      <c r="D35" s="395"/>
      <c r="E35" s="395"/>
      <c r="F35" s="395"/>
      <c r="G35" s="395"/>
      <c r="H35" s="396" t="s">
        <v>410</v>
      </c>
      <c r="I35" s="397"/>
      <c r="J35" s="320"/>
    </row>
    <row r="36" spans="2:10" x14ac:dyDescent="0.55000000000000004">
      <c r="B36" s="394">
        <v>32</v>
      </c>
      <c r="C36" s="395"/>
      <c r="D36" s="395"/>
      <c r="E36" s="395"/>
      <c r="F36" s="395"/>
      <c r="G36" s="395"/>
      <c r="H36" s="396" t="s">
        <v>410</v>
      </c>
      <c r="I36" s="397"/>
      <c r="J36" s="320"/>
    </row>
    <row r="37" spans="2:10" x14ac:dyDescent="0.55000000000000004">
      <c r="B37" s="394">
        <v>33</v>
      </c>
      <c r="C37" s="395"/>
      <c r="D37" s="395"/>
      <c r="E37" s="395"/>
      <c r="F37" s="395"/>
      <c r="G37" s="395"/>
      <c r="H37" s="396" t="s">
        <v>410</v>
      </c>
      <c r="I37" s="397"/>
      <c r="J37" s="320"/>
    </row>
    <row r="38" spans="2:10" x14ac:dyDescent="0.55000000000000004">
      <c r="B38" s="394">
        <v>34</v>
      </c>
      <c r="C38" s="395"/>
      <c r="D38" s="395"/>
      <c r="E38" s="395"/>
      <c r="F38" s="395"/>
      <c r="G38" s="395"/>
      <c r="H38" s="396" t="s">
        <v>410</v>
      </c>
      <c r="I38" s="397"/>
      <c r="J38" s="320"/>
    </row>
    <row r="39" spans="2:10" x14ac:dyDescent="0.55000000000000004">
      <c r="B39" s="394">
        <v>35</v>
      </c>
      <c r="C39" s="395"/>
      <c r="D39" s="395"/>
      <c r="E39" s="395"/>
      <c r="F39" s="395"/>
      <c r="G39" s="395"/>
      <c r="H39" s="396" t="s">
        <v>410</v>
      </c>
      <c r="I39" s="397"/>
      <c r="J39" s="320"/>
    </row>
    <row r="40" spans="2:10" x14ac:dyDescent="0.55000000000000004">
      <c r="B40" s="394">
        <v>36</v>
      </c>
      <c r="C40" s="395"/>
      <c r="D40" s="395"/>
      <c r="E40" s="395"/>
      <c r="F40" s="395"/>
      <c r="G40" s="395"/>
      <c r="H40" s="396" t="s">
        <v>410</v>
      </c>
      <c r="I40" s="397"/>
      <c r="J40" s="320"/>
    </row>
    <row r="41" spans="2:10" x14ac:dyDescent="0.55000000000000004">
      <c r="B41" s="394">
        <v>37</v>
      </c>
      <c r="C41" s="395"/>
      <c r="D41" s="395"/>
      <c r="E41" s="395"/>
      <c r="F41" s="395"/>
      <c r="G41" s="395"/>
      <c r="H41" s="396" t="s">
        <v>410</v>
      </c>
      <c r="I41" s="397"/>
      <c r="J41" s="320"/>
    </row>
    <row r="42" spans="2:10" x14ac:dyDescent="0.55000000000000004">
      <c r="B42" s="394">
        <v>38</v>
      </c>
      <c r="C42" s="395"/>
      <c r="D42" s="395"/>
      <c r="E42" s="395"/>
      <c r="F42" s="395"/>
      <c r="G42" s="395"/>
      <c r="H42" s="396" t="s">
        <v>410</v>
      </c>
      <c r="I42" s="397"/>
      <c r="J42" s="320"/>
    </row>
    <row r="43" spans="2:10" x14ac:dyDescent="0.55000000000000004">
      <c r="B43" s="394">
        <v>39</v>
      </c>
      <c r="C43" s="395"/>
      <c r="D43" s="395"/>
      <c r="E43" s="395"/>
      <c r="F43" s="395"/>
      <c r="G43" s="395"/>
      <c r="H43" s="396" t="s">
        <v>410</v>
      </c>
      <c r="I43" s="397"/>
      <c r="J43" s="320"/>
    </row>
    <row r="44" spans="2:10" x14ac:dyDescent="0.55000000000000004">
      <c r="B44" s="394">
        <v>40</v>
      </c>
      <c r="C44" s="395"/>
      <c r="D44" s="395"/>
      <c r="E44" s="395"/>
      <c r="F44" s="395"/>
      <c r="G44" s="395"/>
      <c r="H44" s="396" t="s">
        <v>410</v>
      </c>
      <c r="I44" s="397"/>
      <c r="J44" s="320"/>
    </row>
    <row r="45" spans="2:10" x14ac:dyDescent="0.55000000000000004">
      <c r="B45" s="394">
        <v>41</v>
      </c>
      <c r="C45" s="395"/>
      <c r="D45" s="395"/>
      <c r="E45" s="395"/>
      <c r="F45" s="395"/>
      <c r="G45" s="395"/>
      <c r="H45" s="396" t="s">
        <v>410</v>
      </c>
      <c r="I45" s="397"/>
      <c r="J45" s="320"/>
    </row>
    <row r="46" spans="2:10" x14ac:dyDescent="0.55000000000000004">
      <c r="B46" s="394">
        <v>42</v>
      </c>
      <c r="C46" s="395"/>
      <c r="D46" s="395"/>
      <c r="E46" s="395"/>
      <c r="F46" s="395"/>
      <c r="G46" s="395"/>
      <c r="H46" s="396" t="s">
        <v>410</v>
      </c>
      <c r="I46" s="397"/>
      <c r="J46" s="320"/>
    </row>
    <row r="47" spans="2:10" x14ac:dyDescent="0.55000000000000004">
      <c r="B47" s="394">
        <v>43</v>
      </c>
      <c r="C47" s="395"/>
      <c r="D47" s="395"/>
      <c r="E47" s="395"/>
      <c r="F47" s="395"/>
      <c r="G47" s="395"/>
      <c r="H47" s="396" t="s">
        <v>410</v>
      </c>
      <c r="I47" s="397"/>
      <c r="J47" s="320"/>
    </row>
    <row r="48" spans="2:10" x14ac:dyDescent="0.55000000000000004">
      <c r="B48" s="394">
        <v>44</v>
      </c>
      <c r="C48" s="395"/>
      <c r="D48" s="395"/>
      <c r="E48" s="395"/>
      <c r="F48" s="395"/>
      <c r="G48" s="395"/>
      <c r="H48" s="396" t="s">
        <v>410</v>
      </c>
      <c r="I48" s="397"/>
      <c r="J48" s="320"/>
    </row>
    <row r="49" spans="2:10" x14ac:dyDescent="0.55000000000000004">
      <c r="B49" s="394">
        <v>45</v>
      </c>
      <c r="C49" s="395"/>
      <c r="D49" s="395"/>
      <c r="E49" s="395"/>
      <c r="F49" s="395"/>
      <c r="G49" s="395"/>
      <c r="H49" s="396" t="s">
        <v>410</v>
      </c>
      <c r="I49" s="397"/>
      <c r="J49" s="320"/>
    </row>
    <row r="50" spans="2:10" x14ac:dyDescent="0.55000000000000004">
      <c r="B50" s="394">
        <v>46</v>
      </c>
      <c r="C50" s="395"/>
      <c r="D50" s="395"/>
      <c r="E50" s="395"/>
      <c r="F50" s="395"/>
      <c r="G50" s="395"/>
      <c r="H50" s="396" t="s">
        <v>410</v>
      </c>
      <c r="I50" s="397"/>
      <c r="J50" s="320"/>
    </row>
    <row r="51" spans="2:10" x14ac:dyDescent="0.55000000000000004">
      <c r="B51" s="394">
        <v>47</v>
      </c>
      <c r="C51" s="395"/>
      <c r="D51" s="395"/>
      <c r="E51" s="395"/>
      <c r="F51" s="395"/>
      <c r="G51" s="395"/>
      <c r="H51" s="396" t="s">
        <v>410</v>
      </c>
      <c r="I51" s="397"/>
      <c r="J51" s="320"/>
    </row>
    <row r="52" spans="2:10" x14ac:dyDescent="0.55000000000000004">
      <c r="B52" s="394">
        <v>48</v>
      </c>
      <c r="C52" s="395"/>
      <c r="D52" s="395"/>
      <c r="E52" s="395"/>
      <c r="F52" s="395"/>
      <c r="G52" s="395"/>
      <c r="H52" s="396" t="s">
        <v>410</v>
      </c>
      <c r="I52" s="397"/>
      <c r="J52" s="320"/>
    </row>
    <row r="53" spans="2:10" x14ac:dyDescent="0.55000000000000004">
      <c r="B53" s="394">
        <v>49</v>
      </c>
      <c r="C53" s="395"/>
      <c r="D53" s="395"/>
      <c r="E53" s="395"/>
      <c r="F53" s="395"/>
      <c r="G53" s="395"/>
      <c r="H53" s="396" t="s">
        <v>410</v>
      </c>
      <c r="I53" s="397"/>
      <c r="J53" s="320"/>
    </row>
    <row r="54" spans="2:10" x14ac:dyDescent="0.55000000000000004">
      <c r="B54" s="394">
        <v>50</v>
      </c>
      <c r="C54" s="395"/>
      <c r="D54" s="395"/>
      <c r="E54" s="395"/>
      <c r="F54" s="395"/>
      <c r="G54" s="395"/>
      <c r="H54" s="396" t="s">
        <v>410</v>
      </c>
      <c r="I54" s="397"/>
      <c r="J54" s="320"/>
    </row>
    <row r="55" spans="2:10" x14ac:dyDescent="0.55000000000000004">
      <c r="B55" s="394">
        <v>51</v>
      </c>
      <c r="C55" s="395"/>
      <c r="D55" s="395"/>
      <c r="E55" s="395"/>
      <c r="F55" s="395"/>
      <c r="G55" s="395"/>
      <c r="H55" s="396" t="s">
        <v>410</v>
      </c>
      <c r="I55" s="397"/>
      <c r="J55" s="320"/>
    </row>
    <row r="56" spans="2:10" x14ac:dyDescent="0.55000000000000004">
      <c r="B56" s="394">
        <v>52</v>
      </c>
      <c r="C56" s="395"/>
      <c r="D56" s="395"/>
      <c r="E56" s="395"/>
      <c r="F56" s="395"/>
      <c r="G56" s="395"/>
      <c r="H56" s="396" t="s">
        <v>410</v>
      </c>
      <c r="I56" s="397"/>
      <c r="J56" s="320"/>
    </row>
    <row r="57" spans="2:10" x14ac:dyDescent="0.55000000000000004">
      <c r="B57" s="394">
        <v>53</v>
      </c>
      <c r="C57" s="395"/>
      <c r="D57" s="395"/>
      <c r="E57" s="395"/>
      <c r="F57" s="395"/>
      <c r="G57" s="395"/>
      <c r="H57" s="396" t="s">
        <v>410</v>
      </c>
      <c r="I57" s="397"/>
      <c r="J57" s="320"/>
    </row>
    <row r="58" spans="2:10" x14ac:dyDescent="0.55000000000000004">
      <c r="B58" s="394">
        <v>54</v>
      </c>
      <c r="C58" s="395"/>
      <c r="D58" s="395"/>
      <c r="E58" s="395"/>
      <c r="F58" s="395"/>
      <c r="G58" s="395"/>
      <c r="H58" s="396" t="s">
        <v>410</v>
      </c>
      <c r="I58" s="397"/>
      <c r="J58" s="320"/>
    </row>
    <row r="59" spans="2:10" x14ac:dyDescent="0.55000000000000004">
      <c r="B59" s="394">
        <v>55</v>
      </c>
      <c r="C59" s="395"/>
      <c r="D59" s="395"/>
      <c r="E59" s="395"/>
      <c r="F59" s="395"/>
      <c r="G59" s="395"/>
      <c r="H59" s="396" t="s">
        <v>410</v>
      </c>
      <c r="I59" s="397"/>
      <c r="J59" s="320"/>
    </row>
    <row r="60" spans="2:10" x14ac:dyDescent="0.55000000000000004">
      <c r="B60" s="394">
        <v>56</v>
      </c>
      <c r="C60" s="395"/>
      <c r="D60" s="395"/>
      <c r="E60" s="395"/>
      <c r="F60" s="395"/>
      <c r="G60" s="395"/>
      <c r="H60" s="396" t="s">
        <v>410</v>
      </c>
      <c r="I60" s="397"/>
      <c r="J60" s="320"/>
    </row>
    <row r="61" spans="2:10" x14ac:dyDescent="0.55000000000000004">
      <c r="B61" s="394">
        <v>57</v>
      </c>
      <c r="C61" s="395"/>
      <c r="D61" s="395"/>
      <c r="E61" s="395"/>
      <c r="F61" s="395"/>
      <c r="G61" s="395"/>
      <c r="H61" s="396" t="s">
        <v>410</v>
      </c>
      <c r="I61" s="397"/>
      <c r="J61" s="320"/>
    </row>
    <row r="62" spans="2:10" x14ac:dyDescent="0.55000000000000004">
      <c r="B62" s="394">
        <v>58</v>
      </c>
      <c r="C62" s="395"/>
      <c r="D62" s="395"/>
      <c r="E62" s="395"/>
      <c r="F62" s="395"/>
      <c r="G62" s="395"/>
      <c r="H62" s="396" t="s">
        <v>410</v>
      </c>
      <c r="I62" s="397"/>
      <c r="J62" s="320"/>
    </row>
    <row r="63" spans="2:10" x14ac:dyDescent="0.55000000000000004">
      <c r="B63" s="394">
        <v>59</v>
      </c>
      <c r="C63" s="395"/>
      <c r="D63" s="395"/>
      <c r="E63" s="395"/>
      <c r="F63" s="395"/>
      <c r="G63" s="395"/>
      <c r="H63" s="396" t="s">
        <v>410</v>
      </c>
      <c r="I63" s="397"/>
      <c r="J63" s="320"/>
    </row>
    <row r="64" spans="2:10" x14ac:dyDescent="0.55000000000000004">
      <c r="B64" s="394">
        <v>60</v>
      </c>
      <c r="C64" s="395"/>
      <c r="D64" s="395"/>
      <c r="E64" s="395"/>
      <c r="F64" s="395"/>
      <c r="G64" s="395"/>
      <c r="H64" s="396" t="s">
        <v>410</v>
      </c>
      <c r="I64" s="397"/>
      <c r="J64" s="320"/>
    </row>
    <row r="65" spans="2:10" x14ac:dyDescent="0.55000000000000004">
      <c r="B65" s="394">
        <v>61</v>
      </c>
      <c r="C65" s="395"/>
      <c r="D65" s="395"/>
      <c r="E65" s="395"/>
      <c r="F65" s="395"/>
      <c r="G65" s="395"/>
      <c r="H65" s="396" t="s">
        <v>410</v>
      </c>
      <c r="I65" s="397"/>
      <c r="J65" s="320"/>
    </row>
    <row r="66" spans="2:10" x14ac:dyDescent="0.55000000000000004">
      <c r="B66" s="394">
        <v>62</v>
      </c>
      <c r="C66" s="395"/>
      <c r="D66" s="395"/>
      <c r="E66" s="395"/>
      <c r="F66" s="395"/>
      <c r="G66" s="395"/>
      <c r="H66" s="396" t="s">
        <v>410</v>
      </c>
      <c r="I66" s="397"/>
      <c r="J66" s="320"/>
    </row>
    <row r="67" spans="2:10" x14ac:dyDescent="0.55000000000000004">
      <c r="B67" s="394">
        <v>63</v>
      </c>
      <c r="C67" s="395"/>
      <c r="D67" s="395"/>
      <c r="E67" s="395"/>
      <c r="F67" s="395"/>
      <c r="G67" s="395"/>
      <c r="H67" s="396" t="s">
        <v>410</v>
      </c>
      <c r="I67" s="397"/>
      <c r="J67" s="320"/>
    </row>
    <row r="68" spans="2:10" x14ac:dyDescent="0.55000000000000004">
      <c r="B68" s="394">
        <v>64</v>
      </c>
      <c r="C68" s="395"/>
      <c r="D68" s="395"/>
      <c r="E68" s="395"/>
      <c r="F68" s="395"/>
      <c r="G68" s="395"/>
      <c r="H68" s="396" t="s">
        <v>410</v>
      </c>
      <c r="I68" s="397"/>
      <c r="J68" s="320"/>
    </row>
    <row r="69" spans="2:10" x14ac:dyDescent="0.55000000000000004">
      <c r="B69" s="394">
        <v>65</v>
      </c>
      <c r="C69" s="395"/>
      <c r="D69" s="395"/>
      <c r="E69" s="395"/>
      <c r="F69" s="395"/>
      <c r="G69" s="395"/>
      <c r="H69" s="396" t="s">
        <v>410</v>
      </c>
      <c r="I69" s="397"/>
      <c r="J69" s="320"/>
    </row>
    <row r="70" spans="2:10" x14ac:dyDescent="0.55000000000000004">
      <c r="B70" s="394">
        <v>66</v>
      </c>
      <c r="C70" s="395"/>
      <c r="D70" s="395"/>
      <c r="E70" s="395"/>
      <c r="F70" s="395"/>
      <c r="G70" s="395"/>
      <c r="H70" s="396" t="s">
        <v>410</v>
      </c>
      <c r="I70" s="397"/>
      <c r="J70" s="320"/>
    </row>
    <row r="71" spans="2:10" x14ac:dyDescent="0.55000000000000004">
      <c r="B71" s="394">
        <v>67</v>
      </c>
      <c r="C71" s="395"/>
      <c r="D71" s="395"/>
      <c r="E71" s="395"/>
      <c r="F71" s="395"/>
      <c r="G71" s="395"/>
      <c r="H71" s="396" t="s">
        <v>410</v>
      </c>
      <c r="I71" s="397"/>
      <c r="J71" s="320"/>
    </row>
    <row r="72" spans="2:10" x14ac:dyDescent="0.55000000000000004">
      <c r="B72" s="394">
        <v>68</v>
      </c>
      <c r="C72" s="395"/>
      <c r="D72" s="395"/>
      <c r="E72" s="395"/>
      <c r="F72" s="395"/>
      <c r="G72" s="395"/>
      <c r="H72" s="396" t="s">
        <v>410</v>
      </c>
      <c r="I72" s="397"/>
      <c r="J72" s="320"/>
    </row>
    <row r="73" spans="2:10" x14ac:dyDescent="0.55000000000000004">
      <c r="B73" s="394">
        <v>69</v>
      </c>
      <c r="C73" s="395"/>
      <c r="D73" s="395"/>
      <c r="E73" s="395"/>
      <c r="F73" s="395"/>
      <c r="G73" s="395"/>
      <c r="H73" s="396" t="s">
        <v>410</v>
      </c>
      <c r="I73" s="397"/>
      <c r="J73" s="320"/>
    </row>
    <row r="74" spans="2:10" x14ac:dyDescent="0.55000000000000004">
      <c r="B74" s="394">
        <v>70</v>
      </c>
      <c r="C74" s="395"/>
      <c r="D74" s="395"/>
      <c r="E74" s="395"/>
      <c r="F74" s="395"/>
      <c r="G74" s="395"/>
      <c r="H74" s="396" t="s">
        <v>410</v>
      </c>
      <c r="I74" s="397"/>
      <c r="J74" s="320"/>
    </row>
    <row r="75" spans="2:10" x14ac:dyDescent="0.55000000000000004">
      <c r="B75" s="394">
        <v>71</v>
      </c>
      <c r="C75" s="395"/>
      <c r="D75" s="395"/>
      <c r="E75" s="395"/>
      <c r="F75" s="395"/>
      <c r="G75" s="395"/>
      <c r="H75" s="396" t="s">
        <v>410</v>
      </c>
      <c r="I75" s="397"/>
      <c r="J75" s="320"/>
    </row>
    <row r="76" spans="2:10" x14ac:dyDescent="0.55000000000000004">
      <c r="B76" s="394">
        <v>72</v>
      </c>
      <c r="C76" s="395"/>
      <c r="D76" s="395"/>
      <c r="E76" s="395"/>
      <c r="F76" s="395"/>
      <c r="G76" s="395"/>
      <c r="H76" s="396" t="s">
        <v>410</v>
      </c>
      <c r="I76" s="397"/>
      <c r="J76" s="320"/>
    </row>
    <row r="77" spans="2:10" x14ac:dyDescent="0.55000000000000004">
      <c r="B77" s="394">
        <v>73</v>
      </c>
      <c r="C77" s="395"/>
      <c r="D77" s="395"/>
      <c r="E77" s="395"/>
      <c r="F77" s="395"/>
      <c r="G77" s="395"/>
      <c r="H77" s="396" t="s">
        <v>410</v>
      </c>
      <c r="I77" s="397"/>
      <c r="J77" s="320"/>
    </row>
    <row r="78" spans="2:10" x14ac:dyDescent="0.55000000000000004">
      <c r="B78" s="394">
        <v>74</v>
      </c>
      <c r="C78" s="395"/>
      <c r="D78" s="395"/>
      <c r="E78" s="395"/>
      <c r="F78" s="395"/>
      <c r="G78" s="395"/>
      <c r="H78" s="396" t="s">
        <v>410</v>
      </c>
      <c r="I78" s="397"/>
      <c r="J78" s="320"/>
    </row>
    <row r="79" spans="2:10" x14ac:dyDescent="0.55000000000000004">
      <c r="B79" s="394">
        <v>75</v>
      </c>
      <c r="C79" s="395"/>
      <c r="D79" s="395"/>
      <c r="E79" s="395"/>
      <c r="F79" s="395"/>
      <c r="G79" s="395"/>
      <c r="H79" s="396" t="s">
        <v>410</v>
      </c>
      <c r="I79" s="397"/>
      <c r="J79" s="320"/>
    </row>
    <row r="80" spans="2:10" x14ac:dyDescent="0.55000000000000004">
      <c r="B80" s="394">
        <v>76</v>
      </c>
      <c r="C80" s="395"/>
      <c r="D80" s="395"/>
      <c r="E80" s="395"/>
      <c r="F80" s="395"/>
      <c r="G80" s="395"/>
      <c r="H80" s="396" t="s">
        <v>410</v>
      </c>
      <c r="I80" s="397"/>
      <c r="J80" s="320"/>
    </row>
    <row r="81" spans="2:10" x14ac:dyDescent="0.55000000000000004">
      <c r="B81" s="394">
        <v>77</v>
      </c>
      <c r="C81" s="395"/>
      <c r="D81" s="395"/>
      <c r="E81" s="395"/>
      <c r="F81" s="395"/>
      <c r="G81" s="395"/>
      <c r="H81" s="396" t="s">
        <v>410</v>
      </c>
      <c r="I81" s="397"/>
      <c r="J81" s="320"/>
    </row>
    <row r="82" spans="2:10" x14ac:dyDescent="0.55000000000000004">
      <c r="B82" s="394">
        <v>78</v>
      </c>
      <c r="C82" s="395"/>
      <c r="D82" s="395"/>
      <c r="E82" s="395"/>
      <c r="F82" s="395"/>
      <c r="G82" s="395"/>
      <c r="H82" s="396" t="s">
        <v>410</v>
      </c>
      <c r="I82" s="397"/>
      <c r="J82" s="320"/>
    </row>
    <row r="83" spans="2:10" x14ac:dyDescent="0.55000000000000004">
      <c r="B83" s="394">
        <v>79</v>
      </c>
      <c r="C83" s="395"/>
      <c r="D83" s="395"/>
      <c r="E83" s="395"/>
      <c r="F83" s="395"/>
      <c r="G83" s="395"/>
      <c r="H83" s="396" t="s">
        <v>410</v>
      </c>
      <c r="I83" s="397"/>
      <c r="J83" s="320"/>
    </row>
    <row r="84" spans="2:10" x14ac:dyDescent="0.55000000000000004">
      <c r="B84" s="394">
        <v>80</v>
      </c>
      <c r="C84" s="395"/>
      <c r="D84" s="395"/>
      <c r="E84" s="395"/>
      <c r="F84" s="395"/>
      <c r="G84" s="395"/>
      <c r="H84" s="396" t="s">
        <v>410</v>
      </c>
      <c r="I84" s="397"/>
      <c r="J84" s="320"/>
    </row>
    <row r="85" spans="2:10" x14ac:dyDescent="0.55000000000000004">
      <c r="B85" s="394">
        <v>81</v>
      </c>
      <c r="C85" s="395"/>
      <c r="D85" s="395"/>
      <c r="E85" s="395"/>
      <c r="F85" s="395"/>
      <c r="G85" s="395"/>
      <c r="H85" s="396" t="s">
        <v>410</v>
      </c>
      <c r="I85" s="397"/>
      <c r="J85" s="320"/>
    </row>
    <row r="86" spans="2:10" x14ac:dyDescent="0.55000000000000004">
      <c r="B86" s="394">
        <v>82</v>
      </c>
      <c r="C86" s="395"/>
      <c r="D86" s="395"/>
      <c r="E86" s="395"/>
      <c r="F86" s="395"/>
      <c r="G86" s="395"/>
      <c r="H86" s="396" t="s">
        <v>410</v>
      </c>
      <c r="I86" s="397"/>
      <c r="J86" s="320"/>
    </row>
    <row r="87" spans="2:10" x14ac:dyDescent="0.55000000000000004">
      <c r="B87" s="394">
        <v>83</v>
      </c>
      <c r="C87" s="395"/>
      <c r="D87" s="395"/>
      <c r="E87" s="395"/>
      <c r="F87" s="395"/>
      <c r="G87" s="395"/>
      <c r="H87" s="396" t="s">
        <v>410</v>
      </c>
      <c r="I87" s="397"/>
      <c r="J87" s="320"/>
    </row>
    <row r="88" spans="2:10" x14ac:dyDescent="0.55000000000000004">
      <c r="B88" s="394">
        <v>84</v>
      </c>
      <c r="C88" s="395"/>
      <c r="D88" s="395"/>
      <c r="E88" s="395"/>
      <c r="F88" s="395"/>
      <c r="G88" s="395"/>
      <c r="H88" s="396" t="s">
        <v>410</v>
      </c>
      <c r="I88" s="397"/>
      <c r="J88" s="320"/>
    </row>
    <row r="89" spans="2:10" x14ac:dyDescent="0.55000000000000004">
      <c r="B89" s="394">
        <v>85</v>
      </c>
      <c r="C89" s="395"/>
      <c r="D89" s="395"/>
      <c r="E89" s="395"/>
      <c r="F89" s="395"/>
      <c r="G89" s="395"/>
      <c r="H89" s="396" t="s">
        <v>410</v>
      </c>
      <c r="I89" s="397"/>
      <c r="J89" s="320"/>
    </row>
    <row r="90" spans="2:10" x14ac:dyDescent="0.55000000000000004">
      <c r="B90" s="394">
        <v>86</v>
      </c>
      <c r="C90" s="395"/>
      <c r="D90" s="395"/>
      <c r="E90" s="395"/>
      <c r="F90" s="395"/>
      <c r="G90" s="395"/>
      <c r="H90" s="396" t="s">
        <v>410</v>
      </c>
      <c r="I90" s="397"/>
      <c r="J90" s="320"/>
    </row>
    <row r="91" spans="2:10" x14ac:dyDescent="0.55000000000000004">
      <c r="B91" s="394">
        <v>87</v>
      </c>
      <c r="C91" s="395"/>
      <c r="D91" s="395"/>
      <c r="E91" s="395"/>
      <c r="F91" s="395"/>
      <c r="G91" s="395"/>
      <c r="H91" s="396" t="s">
        <v>410</v>
      </c>
      <c r="I91" s="397"/>
      <c r="J91" s="320"/>
    </row>
    <row r="92" spans="2:10" x14ac:dyDescent="0.55000000000000004">
      <c r="B92" s="394">
        <v>88</v>
      </c>
      <c r="C92" s="395"/>
      <c r="D92" s="395"/>
      <c r="E92" s="395"/>
      <c r="F92" s="395"/>
      <c r="G92" s="395"/>
      <c r="H92" s="396" t="s">
        <v>410</v>
      </c>
      <c r="I92" s="397"/>
      <c r="J92" s="320"/>
    </row>
    <row r="93" spans="2:10" x14ac:dyDescent="0.55000000000000004">
      <c r="B93" s="394">
        <v>89</v>
      </c>
      <c r="C93" s="395"/>
      <c r="D93" s="395"/>
      <c r="E93" s="395"/>
      <c r="F93" s="395"/>
      <c r="G93" s="395"/>
      <c r="H93" s="396" t="s">
        <v>410</v>
      </c>
      <c r="I93" s="397"/>
      <c r="J93" s="320"/>
    </row>
    <row r="94" spans="2:10" x14ac:dyDescent="0.55000000000000004">
      <c r="B94" s="394">
        <v>90</v>
      </c>
      <c r="C94" s="395"/>
      <c r="D94" s="395"/>
      <c r="E94" s="395"/>
      <c r="F94" s="395"/>
      <c r="G94" s="395"/>
      <c r="H94" s="396" t="s">
        <v>410</v>
      </c>
      <c r="I94" s="397"/>
      <c r="J94" s="320"/>
    </row>
    <row r="95" spans="2:10" x14ac:dyDescent="0.55000000000000004">
      <c r="B95" s="394">
        <v>91</v>
      </c>
      <c r="C95" s="395"/>
      <c r="D95" s="395"/>
      <c r="E95" s="395"/>
      <c r="F95" s="395"/>
      <c r="G95" s="395"/>
      <c r="H95" s="396" t="s">
        <v>410</v>
      </c>
      <c r="I95" s="397"/>
      <c r="J95" s="320"/>
    </row>
    <row r="96" spans="2:10" x14ac:dyDescent="0.55000000000000004">
      <c r="B96" s="394">
        <v>92</v>
      </c>
      <c r="C96" s="395"/>
      <c r="D96" s="395"/>
      <c r="E96" s="395"/>
      <c r="F96" s="395"/>
      <c r="G96" s="395"/>
      <c r="H96" s="396" t="s">
        <v>410</v>
      </c>
      <c r="I96" s="397"/>
      <c r="J96" s="320"/>
    </row>
    <row r="97" spans="2:10" x14ac:dyDescent="0.55000000000000004">
      <c r="B97" s="394">
        <v>93</v>
      </c>
      <c r="C97" s="395"/>
      <c r="D97" s="395"/>
      <c r="E97" s="395"/>
      <c r="F97" s="395"/>
      <c r="G97" s="395"/>
      <c r="H97" s="396" t="s">
        <v>410</v>
      </c>
      <c r="I97" s="397"/>
      <c r="J97" s="320"/>
    </row>
    <row r="98" spans="2:10" x14ac:dyDescent="0.55000000000000004">
      <c r="B98" s="394">
        <v>94</v>
      </c>
      <c r="C98" s="395"/>
      <c r="D98" s="395"/>
      <c r="E98" s="395"/>
      <c r="F98" s="395"/>
      <c r="G98" s="395"/>
      <c r="H98" s="396" t="s">
        <v>410</v>
      </c>
      <c r="I98" s="397"/>
      <c r="J98" s="320"/>
    </row>
    <row r="99" spans="2:10" x14ac:dyDescent="0.55000000000000004">
      <c r="B99" s="394">
        <v>95</v>
      </c>
      <c r="C99" s="395"/>
      <c r="D99" s="395"/>
      <c r="E99" s="395"/>
      <c r="F99" s="395"/>
      <c r="G99" s="395"/>
      <c r="H99" s="396" t="s">
        <v>410</v>
      </c>
      <c r="I99" s="397"/>
      <c r="J99" s="320"/>
    </row>
    <row r="100" spans="2:10" x14ac:dyDescent="0.55000000000000004">
      <c r="B100" s="394">
        <v>96</v>
      </c>
      <c r="C100" s="395"/>
      <c r="D100" s="395"/>
      <c r="E100" s="395"/>
      <c r="F100" s="395"/>
      <c r="G100" s="395"/>
      <c r="H100" s="396" t="s">
        <v>410</v>
      </c>
      <c r="I100" s="397"/>
      <c r="J100" s="320"/>
    </row>
    <row r="101" spans="2:10" x14ac:dyDescent="0.55000000000000004">
      <c r="B101" s="394">
        <v>97</v>
      </c>
      <c r="C101" s="395"/>
      <c r="D101" s="395"/>
      <c r="E101" s="395"/>
      <c r="F101" s="395"/>
      <c r="G101" s="395"/>
      <c r="H101" s="396" t="s">
        <v>410</v>
      </c>
      <c r="I101" s="397"/>
      <c r="J101" s="320"/>
    </row>
    <row r="102" spans="2:10" x14ac:dyDescent="0.55000000000000004">
      <c r="B102" s="394">
        <v>98</v>
      </c>
      <c r="C102" s="395"/>
      <c r="D102" s="395"/>
      <c r="E102" s="395"/>
      <c r="F102" s="395"/>
      <c r="G102" s="395"/>
      <c r="H102" s="396" t="s">
        <v>410</v>
      </c>
      <c r="I102" s="397"/>
      <c r="J102" s="320"/>
    </row>
    <row r="103" spans="2:10" x14ac:dyDescent="0.55000000000000004">
      <c r="B103" s="394">
        <v>99</v>
      </c>
      <c r="C103" s="395"/>
      <c r="D103" s="395"/>
      <c r="E103" s="395"/>
      <c r="F103" s="395"/>
      <c r="G103" s="395"/>
      <c r="H103" s="396" t="s">
        <v>410</v>
      </c>
      <c r="I103" s="397"/>
      <c r="J103" s="320"/>
    </row>
    <row r="104" spans="2:10" x14ac:dyDescent="0.55000000000000004">
      <c r="B104" s="394">
        <v>100</v>
      </c>
      <c r="C104" s="395"/>
      <c r="D104" s="395"/>
      <c r="E104" s="395"/>
      <c r="F104" s="395"/>
      <c r="G104" s="395"/>
      <c r="H104" s="396" t="s">
        <v>410</v>
      </c>
      <c r="I104" s="397"/>
      <c r="J104" s="320"/>
    </row>
    <row r="105" spans="2:10" x14ac:dyDescent="0.55000000000000004">
      <c r="B105" s="394">
        <v>101</v>
      </c>
      <c r="C105" s="395"/>
      <c r="D105" s="395"/>
      <c r="E105" s="395"/>
      <c r="F105" s="395"/>
      <c r="G105" s="395"/>
      <c r="H105" s="396" t="s">
        <v>410</v>
      </c>
      <c r="I105" s="397"/>
      <c r="J105" s="320"/>
    </row>
    <row r="106" spans="2:10" x14ac:dyDescent="0.55000000000000004">
      <c r="B106" s="394">
        <v>102</v>
      </c>
      <c r="C106" s="395"/>
      <c r="D106" s="395"/>
      <c r="E106" s="395"/>
      <c r="F106" s="395"/>
      <c r="G106" s="395"/>
      <c r="H106" s="396" t="s">
        <v>410</v>
      </c>
      <c r="I106" s="397"/>
      <c r="J106" s="320"/>
    </row>
    <row r="107" spans="2:10" x14ac:dyDescent="0.55000000000000004">
      <c r="B107" s="394">
        <v>103</v>
      </c>
      <c r="C107" s="395"/>
      <c r="D107" s="395"/>
      <c r="E107" s="395"/>
      <c r="F107" s="395"/>
      <c r="G107" s="395"/>
      <c r="H107" s="396" t="s">
        <v>410</v>
      </c>
      <c r="I107" s="397"/>
      <c r="J107" s="320"/>
    </row>
    <row r="108" spans="2:10" x14ac:dyDescent="0.55000000000000004">
      <c r="B108" s="394">
        <v>104</v>
      </c>
      <c r="C108" s="395"/>
      <c r="D108" s="395"/>
      <c r="E108" s="395"/>
      <c r="F108" s="395"/>
      <c r="G108" s="395"/>
      <c r="H108" s="396" t="s">
        <v>410</v>
      </c>
      <c r="I108" s="397"/>
      <c r="J108" s="320"/>
    </row>
    <row r="109" spans="2:10" x14ac:dyDescent="0.55000000000000004">
      <c r="B109" s="394">
        <v>105</v>
      </c>
      <c r="C109" s="395"/>
      <c r="D109" s="395"/>
      <c r="E109" s="395"/>
      <c r="F109" s="395"/>
      <c r="G109" s="395"/>
      <c r="H109" s="396" t="s">
        <v>410</v>
      </c>
      <c r="I109" s="397"/>
      <c r="J109" s="320"/>
    </row>
    <row r="110" spans="2:10" x14ac:dyDescent="0.55000000000000004">
      <c r="B110" s="394">
        <v>106</v>
      </c>
      <c r="C110" s="395"/>
      <c r="D110" s="395"/>
      <c r="E110" s="395"/>
      <c r="F110" s="395"/>
      <c r="G110" s="395"/>
      <c r="H110" s="396" t="s">
        <v>410</v>
      </c>
      <c r="I110" s="397"/>
      <c r="J110" s="320"/>
    </row>
    <row r="111" spans="2:10" x14ac:dyDescent="0.55000000000000004">
      <c r="B111" s="394">
        <v>107</v>
      </c>
      <c r="C111" s="395"/>
      <c r="D111" s="395"/>
      <c r="E111" s="395"/>
      <c r="F111" s="395"/>
      <c r="G111" s="395"/>
      <c r="H111" s="396" t="s">
        <v>410</v>
      </c>
      <c r="I111" s="397"/>
      <c r="J111" s="320"/>
    </row>
    <row r="112" spans="2:10" x14ac:dyDescent="0.55000000000000004">
      <c r="B112" s="394">
        <v>108</v>
      </c>
      <c r="C112" s="395"/>
      <c r="D112" s="395"/>
      <c r="E112" s="395"/>
      <c r="F112" s="395"/>
      <c r="G112" s="395"/>
      <c r="H112" s="396" t="s">
        <v>410</v>
      </c>
      <c r="I112" s="397"/>
      <c r="J112" s="320"/>
    </row>
    <row r="113" spans="2:10" x14ac:dyDescent="0.55000000000000004">
      <c r="B113" s="394">
        <v>109</v>
      </c>
      <c r="C113" s="395"/>
      <c r="D113" s="395"/>
      <c r="E113" s="395"/>
      <c r="F113" s="395"/>
      <c r="G113" s="395"/>
      <c r="H113" s="396" t="s">
        <v>410</v>
      </c>
      <c r="I113" s="397"/>
      <c r="J113" s="320"/>
    </row>
    <row r="114" spans="2:10" x14ac:dyDescent="0.55000000000000004">
      <c r="B114" s="394">
        <v>110</v>
      </c>
      <c r="C114" s="395"/>
      <c r="D114" s="395"/>
      <c r="E114" s="395"/>
      <c r="F114" s="395"/>
      <c r="G114" s="395"/>
      <c r="H114" s="396" t="s">
        <v>410</v>
      </c>
      <c r="I114" s="397"/>
      <c r="J114" s="320"/>
    </row>
    <row r="115" spans="2:10" x14ac:dyDescent="0.55000000000000004">
      <c r="B115" s="394">
        <v>111</v>
      </c>
      <c r="C115" s="395"/>
      <c r="D115" s="395"/>
      <c r="E115" s="395"/>
      <c r="F115" s="395"/>
      <c r="G115" s="395"/>
      <c r="H115" s="396" t="s">
        <v>410</v>
      </c>
      <c r="I115" s="397"/>
      <c r="J115" s="320"/>
    </row>
    <row r="116" spans="2:10" x14ac:dyDescent="0.55000000000000004">
      <c r="B116" s="394">
        <v>112</v>
      </c>
      <c r="C116" s="395"/>
      <c r="D116" s="395"/>
      <c r="E116" s="395"/>
      <c r="F116" s="395"/>
      <c r="G116" s="395"/>
      <c r="H116" s="396" t="s">
        <v>410</v>
      </c>
      <c r="I116" s="397"/>
      <c r="J116" s="320"/>
    </row>
    <row r="117" spans="2:10" x14ac:dyDescent="0.55000000000000004">
      <c r="B117" s="394">
        <v>113</v>
      </c>
      <c r="C117" s="395"/>
      <c r="D117" s="395"/>
      <c r="E117" s="395"/>
      <c r="F117" s="395"/>
      <c r="G117" s="395"/>
      <c r="H117" s="396" t="s">
        <v>410</v>
      </c>
      <c r="I117" s="397"/>
      <c r="J117" s="320"/>
    </row>
    <row r="118" spans="2:10" x14ac:dyDescent="0.55000000000000004">
      <c r="B118" s="394">
        <v>114</v>
      </c>
      <c r="C118" s="395"/>
      <c r="D118" s="395"/>
      <c r="E118" s="395"/>
      <c r="F118" s="395"/>
      <c r="G118" s="395"/>
      <c r="H118" s="396" t="s">
        <v>410</v>
      </c>
      <c r="I118" s="397"/>
      <c r="J118" s="320"/>
    </row>
    <row r="119" spans="2:10" x14ac:dyDescent="0.55000000000000004">
      <c r="B119" s="394">
        <v>115</v>
      </c>
      <c r="C119" s="395"/>
      <c r="D119" s="395"/>
      <c r="E119" s="395"/>
      <c r="F119" s="395"/>
      <c r="G119" s="395"/>
      <c r="H119" s="396" t="s">
        <v>410</v>
      </c>
      <c r="I119" s="397"/>
      <c r="J119" s="320"/>
    </row>
    <row r="120" spans="2:10" x14ac:dyDescent="0.55000000000000004">
      <c r="B120" s="394">
        <v>116</v>
      </c>
      <c r="C120" s="395"/>
      <c r="D120" s="395"/>
      <c r="E120" s="395"/>
      <c r="F120" s="395"/>
      <c r="G120" s="395"/>
      <c r="H120" s="396" t="s">
        <v>410</v>
      </c>
      <c r="I120" s="397"/>
      <c r="J120" s="320"/>
    </row>
    <row r="121" spans="2:10" x14ac:dyDescent="0.55000000000000004">
      <c r="B121" s="394">
        <v>117</v>
      </c>
      <c r="C121" s="395"/>
      <c r="D121" s="395"/>
      <c r="E121" s="395"/>
      <c r="F121" s="395"/>
      <c r="G121" s="395"/>
      <c r="H121" s="396" t="s">
        <v>410</v>
      </c>
      <c r="I121" s="397"/>
      <c r="J121" s="320"/>
    </row>
    <row r="122" spans="2:10" x14ac:dyDescent="0.55000000000000004">
      <c r="B122" s="394">
        <v>118</v>
      </c>
      <c r="C122" s="395"/>
      <c r="D122" s="395"/>
      <c r="E122" s="395"/>
      <c r="F122" s="395"/>
      <c r="G122" s="395"/>
      <c r="H122" s="396" t="s">
        <v>410</v>
      </c>
      <c r="I122" s="397"/>
      <c r="J122" s="320"/>
    </row>
    <row r="123" spans="2:10" x14ac:dyDescent="0.55000000000000004">
      <c r="B123" s="394">
        <v>119</v>
      </c>
      <c r="C123" s="395"/>
      <c r="D123" s="395"/>
      <c r="E123" s="395"/>
      <c r="F123" s="395"/>
      <c r="G123" s="395"/>
      <c r="H123" s="396" t="s">
        <v>410</v>
      </c>
      <c r="I123" s="397"/>
      <c r="J123" s="320"/>
    </row>
    <row r="124" spans="2:10" x14ac:dyDescent="0.55000000000000004">
      <c r="B124" s="394">
        <v>120</v>
      </c>
      <c r="C124" s="395"/>
      <c r="D124" s="395"/>
      <c r="E124" s="395"/>
      <c r="F124" s="395"/>
      <c r="G124" s="395"/>
      <c r="H124" s="396" t="s">
        <v>410</v>
      </c>
      <c r="I124" s="397"/>
      <c r="J124" s="320"/>
    </row>
    <row r="125" spans="2:10" x14ac:dyDescent="0.55000000000000004">
      <c r="B125" s="394">
        <v>121</v>
      </c>
      <c r="C125" s="395"/>
      <c r="D125" s="395"/>
      <c r="E125" s="395"/>
      <c r="F125" s="395"/>
      <c r="G125" s="395"/>
      <c r="H125" s="396" t="s">
        <v>410</v>
      </c>
      <c r="I125" s="397"/>
      <c r="J125" s="320"/>
    </row>
    <row r="126" spans="2:10" x14ac:dyDescent="0.55000000000000004">
      <c r="B126" s="394">
        <v>122</v>
      </c>
      <c r="C126" s="395"/>
      <c r="D126" s="395"/>
      <c r="E126" s="395"/>
      <c r="F126" s="395"/>
      <c r="G126" s="395"/>
      <c r="H126" s="396" t="s">
        <v>410</v>
      </c>
      <c r="I126" s="397"/>
      <c r="J126" s="320"/>
    </row>
    <row r="127" spans="2:10" x14ac:dyDescent="0.55000000000000004">
      <c r="B127" s="394">
        <v>123</v>
      </c>
      <c r="C127" s="395"/>
      <c r="D127" s="395"/>
      <c r="E127" s="395"/>
      <c r="F127" s="395"/>
      <c r="G127" s="395"/>
      <c r="H127" s="396" t="s">
        <v>410</v>
      </c>
      <c r="I127" s="397"/>
      <c r="J127" s="320"/>
    </row>
    <row r="128" spans="2:10" x14ac:dyDescent="0.55000000000000004">
      <c r="B128" s="394">
        <v>124</v>
      </c>
      <c r="C128" s="395"/>
      <c r="D128" s="395"/>
      <c r="E128" s="395"/>
      <c r="F128" s="395"/>
      <c r="G128" s="395"/>
      <c r="H128" s="396" t="s">
        <v>410</v>
      </c>
      <c r="I128" s="397"/>
      <c r="J128" s="320"/>
    </row>
    <row r="129" spans="2:10" x14ac:dyDescent="0.55000000000000004">
      <c r="B129" s="394">
        <v>125</v>
      </c>
      <c r="C129" s="395"/>
      <c r="D129" s="395"/>
      <c r="E129" s="395"/>
      <c r="F129" s="395"/>
      <c r="G129" s="395"/>
      <c r="H129" s="396" t="s">
        <v>410</v>
      </c>
      <c r="I129" s="397"/>
      <c r="J129" s="320"/>
    </row>
    <row r="130" spans="2:10" x14ac:dyDescent="0.55000000000000004">
      <c r="B130" s="394">
        <v>126</v>
      </c>
      <c r="C130" s="395"/>
      <c r="D130" s="395"/>
      <c r="E130" s="395"/>
      <c r="F130" s="395"/>
      <c r="G130" s="395"/>
      <c r="H130" s="396" t="s">
        <v>410</v>
      </c>
      <c r="I130" s="397"/>
      <c r="J130" s="320"/>
    </row>
    <row r="131" spans="2:10" x14ac:dyDescent="0.55000000000000004">
      <c r="B131" s="394">
        <v>127</v>
      </c>
      <c r="C131" s="395"/>
      <c r="D131" s="395"/>
      <c r="E131" s="395"/>
      <c r="F131" s="395"/>
      <c r="G131" s="395"/>
      <c r="H131" s="396" t="s">
        <v>410</v>
      </c>
      <c r="I131" s="397"/>
      <c r="J131" s="320"/>
    </row>
    <row r="132" spans="2:10" x14ac:dyDescent="0.55000000000000004">
      <c r="B132" s="394">
        <v>128</v>
      </c>
      <c r="C132" s="395"/>
      <c r="D132" s="395"/>
      <c r="E132" s="395"/>
      <c r="F132" s="395"/>
      <c r="G132" s="395"/>
      <c r="H132" s="396" t="s">
        <v>410</v>
      </c>
      <c r="I132" s="397"/>
      <c r="J132" s="320"/>
    </row>
    <row r="133" spans="2:10" x14ac:dyDescent="0.55000000000000004">
      <c r="B133" s="394">
        <v>129</v>
      </c>
      <c r="C133" s="395"/>
      <c r="D133" s="395"/>
      <c r="E133" s="395"/>
      <c r="F133" s="395"/>
      <c r="G133" s="395"/>
      <c r="H133" s="396" t="s">
        <v>410</v>
      </c>
      <c r="I133" s="397"/>
      <c r="J133" s="320"/>
    </row>
    <row r="134" spans="2:10" x14ac:dyDescent="0.55000000000000004">
      <c r="B134" s="394">
        <v>130</v>
      </c>
      <c r="C134" s="395"/>
      <c r="D134" s="395"/>
      <c r="E134" s="395"/>
      <c r="F134" s="395"/>
      <c r="G134" s="395"/>
      <c r="H134" s="396" t="s">
        <v>410</v>
      </c>
      <c r="I134" s="397"/>
      <c r="J134" s="320"/>
    </row>
    <row r="135" spans="2:10" x14ac:dyDescent="0.55000000000000004">
      <c r="B135" s="394">
        <v>131</v>
      </c>
      <c r="C135" s="395"/>
      <c r="D135" s="395"/>
      <c r="E135" s="395"/>
      <c r="F135" s="395"/>
      <c r="G135" s="395"/>
      <c r="H135" s="396" t="s">
        <v>410</v>
      </c>
      <c r="I135" s="397"/>
      <c r="J135" s="320"/>
    </row>
    <row r="136" spans="2:10" x14ac:dyDescent="0.55000000000000004">
      <c r="B136" s="394">
        <v>132</v>
      </c>
      <c r="C136" s="395"/>
      <c r="D136" s="395"/>
      <c r="E136" s="395"/>
      <c r="F136" s="395"/>
      <c r="G136" s="395"/>
      <c r="H136" s="396" t="s">
        <v>410</v>
      </c>
      <c r="I136" s="397"/>
      <c r="J136" s="320"/>
    </row>
    <row r="137" spans="2:10" x14ac:dyDescent="0.55000000000000004">
      <c r="B137" s="394">
        <v>133</v>
      </c>
      <c r="C137" s="395"/>
      <c r="D137" s="395"/>
      <c r="E137" s="395"/>
      <c r="F137" s="395"/>
      <c r="G137" s="395"/>
      <c r="H137" s="396" t="s">
        <v>410</v>
      </c>
      <c r="I137" s="397"/>
      <c r="J137" s="320"/>
    </row>
    <row r="138" spans="2:10" x14ac:dyDescent="0.55000000000000004">
      <c r="B138" s="394">
        <v>134</v>
      </c>
      <c r="C138" s="395"/>
      <c r="D138" s="395"/>
      <c r="E138" s="395"/>
      <c r="F138" s="395"/>
      <c r="G138" s="395"/>
      <c r="H138" s="396" t="s">
        <v>410</v>
      </c>
      <c r="I138" s="397"/>
      <c r="J138" s="320"/>
    </row>
    <row r="139" spans="2:10" x14ac:dyDescent="0.55000000000000004">
      <c r="B139" s="394">
        <v>135</v>
      </c>
      <c r="C139" s="395"/>
      <c r="D139" s="395"/>
      <c r="E139" s="395"/>
      <c r="F139" s="395"/>
      <c r="G139" s="395"/>
      <c r="H139" s="396" t="s">
        <v>410</v>
      </c>
      <c r="I139" s="397"/>
      <c r="J139" s="320"/>
    </row>
    <row r="140" spans="2:10" x14ac:dyDescent="0.55000000000000004">
      <c r="B140" s="394">
        <v>136</v>
      </c>
      <c r="C140" s="395"/>
      <c r="D140" s="395"/>
      <c r="E140" s="395"/>
      <c r="F140" s="395"/>
      <c r="G140" s="395"/>
      <c r="H140" s="396" t="s">
        <v>410</v>
      </c>
      <c r="I140" s="397"/>
      <c r="J140" s="320"/>
    </row>
    <row r="141" spans="2:10" x14ac:dyDescent="0.55000000000000004">
      <c r="B141" s="394">
        <v>137</v>
      </c>
      <c r="C141" s="395"/>
      <c r="D141" s="395"/>
      <c r="E141" s="395"/>
      <c r="F141" s="395"/>
      <c r="G141" s="395"/>
      <c r="H141" s="396" t="s">
        <v>410</v>
      </c>
      <c r="I141" s="397"/>
      <c r="J141" s="320"/>
    </row>
    <row r="142" spans="2:10" x14ac:dyDescent="0.55000000000000004">
      <c r="B142" s="394">
        <v>138</v>
      </c>
      <c r="C142" s="395"/>
      <c r="D142" s="395"/>
      <c r="E142" s="395"/>
      <c r="F142" s="395"/>
      <c r="G142" s="395"/>
      <c r="H142" s="396" t="s">
        <v>410</v>
      </c>
      <c r="I142" s="397"/>
      <c r="J142" s="320"/>
    </row>
    <row r="143" spans="2:10" x14ac:dyDescent="0.55000000000000004">
      <c r="B143" s="394">
        <v>139</v>
      </c>
      <c r="C143" s="395"/>
      <c r="D143" s="395"/>
      <c r="E143" s="395"/>
      <c r="F143" s="395"/>
      <c r="G143" s="395"/>
      <c r="H143" s="396" t="s">
        <v>410</v>
      </c>
      <c r="I143" s="397"/>
      <c r="J143" s="320"/>
    </row>
    <row r="144" spans="2:10" x14ac:dyDescent="0.55000000000000004">
      <c r="B144" s="394">
        <v>140</v>
      </c>
      <c r="C144" s="395"/>
      <c r="D144" s="395"/>
      <c r="E144" s="395"/>
      <c r="F144" s="395"/>
      <c r="G144" s="395"/>
      <c r="H144" s="396" t="s">
        <v>410</v>
      </c>
      <c r="I144" s="397"/>
      <c r="J144" s="320"/>
    </row>
    <row r="145" spans="2:10" x14ac:dyDescent="0.55000000000000004">
      <c r="B145" s="394">
        <v>141</v>
      </c>
      <c r="C145" s="395"/>
      <c r="D145" s="395"/>
      <c r="E145" s="395"/>
      <c r="F145" s="395"/>
      <c r="G145" s="395"/>
      <c r="H145" s="396" t="s">
        <v>410</v>
      </c>
      <c r="I145" s="397"/>
      <c r="J145" s="320"/>
    </row>
    <row r="146" spans="2:10" x14ac:dyDescent="0.55000000000000004">
      <c r="B146" s="394">
        <v>142</v>
      </c>
      <c r="C146" s="395"/>
      <c r="D146" s="395"/>
      <c r="E146" s="395"/>
      <c r="F146" s="395"/>
      <c r="G146" s="395"/>
      <c r="H146" s="396" t="s">
        <v>410</v>
      </c>
      <c r="I146" s="397"/>
      <c r="J146" s="320"/>
    </row>
    <row r="147" spans="2:10" x14ac:dyDescent="0.55000000000000004">
      <c r="B147" s="394">
        <v>143</v>
      </c>
      <c r="C147" s="395"/>
      <c r="D147" s="395"/>
      <c r="E147" s="395"/>
      <c r="F147" s="395"/>
      <c r="G147" s="395"/>
      <c r="H147" s="396" t="s">
        <v>410</v>
      </c>
      <c r="I147" s="397"/>
      <c r="J147" s="320"/>
    </row>
    <row r="148" spans="2:10" x14ac:dyDescent="0.55000000000000004">
      <c r="B148" s="394">
        <v>144</v>
      </c>
      <c r="C148" s="395"/>
      <c r="D148" s="395"/>
      <c r="E148" s="395"/>
      <c r="F148" s="395"/>
      <c r="G148" s="395"/>
      <c r="H148" s="396" t="s">
        <v>410</v>
      </c>
      <c r="I148" s="397"/>
      <c r="J148" s="320"/>
    </row>
    <row r="149" spans="2:10" x14ac:dyDescent="0.55000000000000004">
      <c r="B149" s="394">
        <v>145</v>
      </c>
      <c r="C149" s="395"/>
      <c r="D149" s="395"/>
      <c r="E149" s="395"/>
      <c r="F149" s="395"/>
      <c r="G149" s="395"/>
      <c r="H149" s="396" t="s">
        <v>410</v>
      </c>
      <c r="I149" s="397"/>
      <c r="J149" s="320"/>
    </row>
    <row r="150" spans="2:10" x14ac:dyDescent="0.55000000000000004">
      <c r="B150" s="394">
        <v>146</v>
      </c>
      <c r="C150" s="395"/>
      <c r="D150" s="395"/>
      <c r="E150" s="395"/>
      <c r="F150" s="395"/>
      <c r="G150" s="395"/>
      <c r="H150" s="396" t="s">
        <v>410</v>
      </c>
      <c r="I150" s="397"/>
      <c r="J150" s="320"/>
    </row>
    <row r="151" spans="2:10" x14ac:dyDescent="0.55000000000000004">
      <c r="B151" s="394">
        <v>147</v>
      </c>
      <c r="C151" s="395"/>
      <c r="D151" s="395"/>
      <c r="E151" s="395"/>
      <c r="F151" s="395"/>
      <c r="G151" s="395"/>
      <c r="H151" s="396" t="s">
        <v>410</v>
      </c>
      <c r="I151" s="397"/>
      <c r="J151" s="320"/>
    </row>
    <row r="152" spans="2:10" x14ac:dyDescent="0.55000000000000004">
      <c r="B152" s="394">
        <v>148</v>
      </c>
      <c r="C152" s="395"/>
      <c r="D152" s="395"/>
      <c r="E152" s="395"/>
      <c r="F152" s="395"/>
      <c r="G152" s="395"/>
      <c r="H152" s="396" t="s">
        <v>410</v>
      </c>
      <c r="I152" s="397"/>
      <c r="J152" s="320"/>
    </row>
    <row r="153" spans="2:10" x14ac:dyDescent="0.55000000000000004">
      <c r="B153" s="394">
        <v>149</v>
      </c>
      <c r="C153" s="395"/>
      <c r="D153" s="395"/>
      <c r="E153" s="395"/>
      <c r="F153" s="395"/>
      <c r="G153" s="395"/>
      <c r="H153" s="396" t="s">
        <v>410</v>
      </c>
      <c r="I153" s="397"/>
      <c r="J153" s="320"/>
    </row>
    <row r="154" spans="2:10" x14ac:dyDescent="0.55000000000000004">
      <c r="B154" s="394">
        <v>150</v>
      </c>
      <c r="C154" s="395"/>
      <c r="D154" s="395"/>
      <c r="E154" s="395"/>
      <c r="F154" s="395"/>
      <c r="G154" s="395"/>
      <c r="H154" s="396" t="s">
        <v>410</v>
      </c>
      <c r="I154" s="397"/>
      <c r="J154" s="320"/>
    </row>
    <row r="155" spans="2:10" x14ac:dyDescent="0.55000000000000004">
      <c r="B155" s="394">
        <v>151</v>
      </c>
      <c r="C155" s="395"/>
      <c r="D155" s="395"/>
      <c r="E155" s="395"/>
      <c r="F155" s="395"/>
      <c r="G155" s="395"/>
      <c r="H155" s="396" t="s">
        <v>410</v>
      </c>
      <c r="I155" s="397"/>
      <c r="J155" s="320"/>
    </row>
    <row r="156" spans="2:10" x14ac:dyDescent="0.55000000000000004">
      <c r="B156" s="394">
        <v>152</v>
      </c>
      <c r="C156" s="395"/>
      <c r="D156" s="395"/>
      <c r="E156" s="395"/>
      <c r="F156" s="395"/>
      <c r="G156" s="395"/>
      <c r="H156" s="396" t="s">
        <v>410</v>
      </c>
      <c r="I156" s="397"/>
      <c r="J156" s="320"/>
    </row>
    <row r="157" spans="2:10" x14ac:dyDescent="0.55000000000000004">
      <c r="B157" s="394">
        <v>153</v>
      </c>
      <c r="C157" s="395"/>
      <c r="D157" s="395"/>
      <c r="E157" s="395"/>
      <c r="F157" s="395"/>
      <c r="G157" s="395"/>
      <c r="H157" s="396" t="s">
        <v>410</v>
      </c>
      <c r="I157" s="397"/>
      <c r="J157" s="320"/>
    </row>
    <row r="158" spans="2:10" x14ac:dyDescent="0.55000000000000004">
      <c r="B158" s="394">
        <v>154</v>
      </c>
      <c r="C158" s="395"/>
      <c r="D158" s="395"/>
      <c r="E158" s="395"/>
      <c r="F158" s="395"/>
      <c r="G158" s="395"/>
      <c r="H158" s="396" t="s">
        <v>410</v>
      </c>
      <c r="I158" s="397"/>
      <c r="J158" s="320"/>
    </row>
    <row r="159" spans="2:10" x14ac:dyDescent="0.55000000000000004">
      <c r="B159" s="394">
        <v>155</v>
      </c>
      <c r="C159" s="395"/>
      <c r="D159" s="395"/>
      <c r="E159" s="395"/>
      <c r="F159" s="395"/>
      <c r="G159" s="395"/>
      <c r="H159" s="396" t="s">
        <v>410</v>
      </c>
      <c r="I159" s="397"/>
      <c r="J159" s="320"/>
    </row>
    <row r="160" spans="2:10" x14ac:dyDescent="0.55000000000000004">
      <c r="B160" s="394">
        <v>156</v>
      </c>
      <c r="C160" s="395"/>
      <c r="D160" s="395"/>
      <c r="E160" s="395"/>
      <c r="F160" s="395"/>
      <c r="G160" s="395"/>
      <c r="H160" s="396" t="s">
        <v>410</v>
      </c>
      <c r="I160" s="397"/>
      <c r="J160" s="320"/>
    </row>
    <row r="161" spans="2:10" x14ac:dyDescent="0.55000000000000004">
      <c r="B161" s="394">
        <v>157</v>
      </c>
      <c r="C161" s="395"/>
      <c r="D161" s="395"/>
      <c r="E161" s="395"/>
      <c r="F161" s="395"/>
      <c r="G161" s="395"/>
      <c r="H161" s="396" t="s">
        <v>410</v>
      </c>
      <c r="I161" s="397"/>
      <c r="J161" s="320"/>
    </row>
    <row r="162" spans="2:10" x14ac:dyDescent="0.55000000000000004">
      <c r="B162" s="394">
        <v>158</v>
      </c>
      <c r="C162" s="395"/>
      <c r="D162" s="395"/>
      <c r="E162" s="395"/>
      <c r="F162" s="395"/>
      <c r="G162" s="395"/>
      <c r="H162" s="396" t="s">
        <v>410</v>
      </c>
      <c r="I162" s="397"/>
      <c r="J162" s="320"/>
    </row>
    <row r="163" spans="2:10" x14ac:dyDescent="0.55000000000000004">
      <c r="B163" s="394">
        <v>159</v>
      </c>
      <c r="C163" s="395"/>
      <c r="D163" s="395"/>
      <c r="E163" s="395"/>
      <c r="F163" s="395"/>
      <c r="G163" s="395"/>
      <c r="H163" s="396" t="s">
        <v>410</v>
      </c>
      <c r="I163" s="397"/>
      <c r="J163" s="320"/>
    </row>
    <row r="164" spans="2:10" x14ac:dyDescent="0.55000000000000004">
      <c r="B164" s="394">
        <v>160</v>
      </c>
      <c r="C164" s="395"/>
      <c r="D164" s="395"/>
      <c r="E164" s="395"/>
      <c r="F164" s="395"/>
      <c r="G164" s="395"/>
      <c r="H164" s="396" t="s">
        <v>410</v>
      </c>
      <c r="I164" s="397"/>
      <c r="J164" s="320"/>
    </row>
    <row r="165" spans="2:10" x14ac:dyDescent="0.55000000000000004">
      <c r="B165" s="394">
        <v>161</v>
      </c>
      <c r="C165" s="395"/>
      <c r="D165" s="395"/>
      <c r="E165" s="395"/>
      <c r="F165" s="395"/>
      <c r="G165" s="395"/>
      <c r="H165" s="396" t="s">
        <v>410</v>
      </c>
      <c r="I165" s="397"/>
      <c r="J165" s="320"/>
    </row>
    <row r="166" spans="2:10" x14ac:dyDescent="0.55000000000000004">
      <c r="B166" s="394">
        <v>162</v>
      </c>
      <c r="C166" s="395"/>
      <c r="D166" s="395"/>
      <c r="E166" s="395"/>
      <c r="F166" s="395"/>
      <c r="G166" s="395"/>
      <c r="H166" s="396" t="s">
        <v>410</v>
      </c>
      <c r="I166" s="397"/>
      <c r="J166" s="320"/>
    </row>
    <row r="167" spans="2:10" x14ac:dyDescent="0.55000000000000004">
      <c r="B167" s="394">
        <v>163</v>
      </c>
      <c r="C167" s="395"/>
      <c r="D167" s="395"/>
      <c r="E167" s="395"/>
      <c r="F167" s="395"/>
      <c r="G167" s="395"/>
      <c r="H167" s="396" t="s">
        <v>410</v>
      </c>
      <c r="I167" s="397"/>
      <c r="J167" s="320"/>
    </row>
    <row r="168" spans="2:10" x14ac:dyDescent="0.55000000000000004">
      <c r="B168" s="394">
        <v>164</v>
      </c>
      <c r="C168" s="395"/>
      <c r="D168" s="395"/>
      <c r="E168" s="395"/>
      <c r="F168" s="395"/>
      <c r="G168" s="395"/>
      <c r="H168" s="396" t="s">
        <v>410</v>
      </c>
      <c r="I168" s="397"/>
      <c r="J168" s="320"/>
    </row>
    <row r="169" spans="2:10" x14ac:dyDescent="0.55000000000000004">
      <c r="B169" s="394">
        <v>165</v>
      </c>
      <c r="C169" s="395"/>
      <c r="D169" s="395"/>
      <c r="E169" s="395"/>
      <c r="F169" s="395"/>
      <c r="G169" s="395"/>
      <c r="H169" s="396" t="s">
        <v>410</v>
      </c>
      <c r="I169" s="397"/>
      <c r="J169" s="320"/>
    </row>
    <row r="170" spans="2:10" x14ac:dyDescent="0.55000000000000004">
      <c r="B170" s="394">
        <v>166</v>
      </c>
      <c r="C170" s="395"/>
      <c r="D170" s="395"/>
      <c r="E170" s="395"/>
      <c r="F170" s="395"/>
      <c r="G170" s="395"/>
      <c r="H170" s="396" t="s">
        <v>410</v>
      </c>
      <c r="I170" s="397"/>
      <c r="J170" s="320"/>
    </row>
    <row r="171" spans="2:10" x14ac:dyDescent="0.55000000000000004">
      <c r="B171" s="394">
        <v>167</v>
      </c>
      <c r="C171" s="395"/>
      <c r="D171" s="395"/>
      <c r="E171" s="395"/>
      <c r="F171" s="395"/>
      <c r="G171" s="395"/>
      <c r="H171" s="396" t="s">
        <v>410</v>
      </c>
      <c r="I171" s="397"/>
      <c r="J171" s="320"/>
    </row>
    <row r="172" spans="2:10" x14ac:dyDescent="0.55000000000000004">
      <c r="B172" s="394">
        <v>168</v>
      </c>
      <c r="C172" s="395"/>
      <c r="D172" s="395"/>
      <c r="E172" s="395"/>
      <c r="F172" s="395"/>
      <c r="G172" s="395"/>
      <c r="H172" s="396" t="s">
        <v>410</v>
      </c>
      <c r="I172" s="397"/>
      <c r="J172" s="320"/>
    </row>
    <row r="173" spans="2:10" x14ac:dyDescent="0.55000000000000004">
      <c r="B173" s="394">
        <v>169</v>
      </c>
      <c r="C173" s="395"/>
      <c r="D173" s="395"/>
      <c r="E173" s="395"/>
      <c r="F173" s="395"/>
      <c r="G173" s="395"/>
      <c r="H173" s="396" t="s">
        <v>410</v>
      </c>
      <c r="I173" s="397"/>
      <c r="J173" s="320"/>
    </row>
    <row r="174" spans="2:10" x14ac:dyDescent="0.55000000000000004">
      <c r="B174" s="394">
        <v>170</v>
      </c>
      <c r="C174" s="395"/>
      <c r="D174" s="395"/>
      <c r="E174" s="395"/>
      <c r="F174" s="395"/>
      <c r="G174" s="395"/>
      <c r="H174" s="396" t="s">
        <v>410</v>
      </c>
      <c r="I174" s="397"/>
      <c r="J174" s="320"/>
    </row>
    <row r="175" spans="2:10" x14ac:dyDescent="0.55000000000000004">
      <c r="B175" s="394">
        <v>171</v>
      </c>
      <c r="C175" s="395"/>
      <c r="D175" s="395"/>
      <c r="E175" s="395"/>
      <c r="F175" s="395"/>
      <c r="G175" s="395"/>
      <c r="H175" s="396" t="s">
        <v>410</v>
      </c>
      <c r="I175" s="397"/>
      <c r="J175" s="320"/>
    </row>
    <row r="176" spans="2:10" x14ac:dyDescent="0.55000000000000004">
      <c r="B176" s="394">
        <v>172</v>
      </c>
      <c r="C176" s="395"/>
      <c r="D176" s="395"/>
      <c r="E176" s="395"/>
      <c r="F176" s="395"/>
      <c r="G176" s="395"/>
      <c r="H176" s="396" t="s">
        <v>410</v>
      </c>
      <c r="I176" s="397"/>
      <c r="J176" s="320"/>
    </row>
    <row r="177" spans="2:10" x14ac:dyDescent="0.55000000000000004">
      <c r="B177" s="394">
        <v>173</v>
      </c>
      <c r="C177" s="395"/>
      <c r="D177" s="395"/>
      <c r="E177" s="395"/>
      <c r="F177" s="395"/>
      <c r="G177" s="395"/>
      <c r="H177" s="396" t="s">
        <v>410</v>
      </c>
      <c r="I177" s="397"/>
      <c r="J177" s="320"/>
    </row>
    <row r="178" spans="2:10" x14ac:dyDescent="0.55000000000000004">
      <c r="B178" s="394">
        <v>174</v>
      </c>
      <c r="C178" s="395"/>
      <c r="D178" s="395"/>
      <c r="E178" s="395"/>
      <c r="F178" s="395"/>
      <c r="G178" s="395"/>
      <c r="H178" s="396" t="s">
        <v>410</v>
      </c>
      <c r="I178" s="397"/>
      <c r="J178" s="320"/>
    </row>
    <row r="179" spans="2:10" x14ac:dyDescent="0.55000000000000004">
      <c r="B179" s="394">
        <v>175</v>
      </c>
      <c r="C179" s="395"/>
      <c r="D179" s="395"/>
      <c r="E179" s="395"/>
      <c r="F179" s="395"/>
      <c r="G179" s="395"/>
      <c r="H179" s="396" t="s">
        <v>410</v>
      </c>
      <c r="I179" s="397"/>
      <c r="J179" s="320"/>
    </row>
    <row r="180" spans="2:10" x14ac:dyDescent="0.55000000000000004">
      <c r="B180" s="394">
        <v>176</v>
      </c>
      <c r="C180" s="395"/>
      <c r="D180" s="395"/>
      <c r="E180" s="395"/>
      <c r="F180" s="395"/>
      <c r="G180" s="395"/>
      <c r="H180" s="396" t="s">
        <v>410</v>
      </c>
      <c r="I180" s="397"/>
      <c r="J180" s="320"/>
    </row>
    <row r="181" spans="2:10" x14ac:dyDescent="0.55000000000000004">
      <c r="B181" s="394">
        <v>177</v>
      </c>
      <c r="C181" s="395"/>
      <c r="D181" s="395"/>
      <c r="E181" s="395"/>
      <c r="F181" s="395"/>
      <c r="G181" s="395"/>
      <c r="H181" s="396" t="s">
        <v>410</v>
      </c>
      <c r="I181" s="397"/>
      <c r="J181" s="320"/>
    </row>
    <row r="182" spans="2:10" x14ac:dyDescent="0.55000000000000004">
      <c r="B182" s="394">
        <v>178</v>
      </c>
      <c r="C182" s="395"/>
      <c r="D182" s="395"/>
      <c r="E182" s="395"/>
      <c r="F182" s="395"/>
      <c r="G182" s="395"/>
      <c r="H182" s="396" t="s">
        <v>410</v>
      </c>
      <c r="I182" s="397"/>
      <c r="J182" s="320"/>
    </row>
    <row r="183" spans="2:10" x14ac:dyDescent="0.55000000000000004">
      <c r="B183" s="394">
        <v>179</v>
      </c>
      <c r="C183" s="395"/>
      <c r="D183" s="395"/>
      <c r="E183" s="395"/>
      <c r="F183" s="395"/>
      <c r="G183" s="395"/>
      <c r="H183" s="396" t="s">
        <v>410</v>
      </c>
      <c r="I183" s="397"/>
      <c r="J183" s="320"/>
    </row>
    <row r="184" spans="2:10" x14ac:dyDescent="0.55000000000000004">
      <c r="B184" s="394">
        <v>180</v>
      </c>
      <c r="C184" s="395"/>
      <c r="D184" s="395"/>
      <c r="E184" s="395"/>
      <c r="F184" s="395"/>
      <c r="G184" s="395"/>
      <c r="H184" s="396" t="s">
        <v>410</v>
      </c>
      <c r="I184" s="397"/>
      <c r="J184" s="320"/>
    </row>
    <row r="185" spans="2:10" x14ac:dyDescent="0.55000000000000004">
      <c r="B185" s="394">
        <v>181</v>
      </c>
      <c r="C185" s="395"/>
      <c r="D185" s="395"/>
      <c r="E185" s="395"/>
      <c r="F185" s="395"/>
      <c r="G185" s="395"/>
      <c r="H185" s="396" t="s">
        <v>410</v>
      </c>
      <c r="I185" s="397"/>
      <c r="J185" s="320"/>
    </row>
    <row r="186" spans="2:10" x14ac:dyDescent="0.55000000000000004">
      <c r="B186" s="394">
        <v>182</v>
      </c>
      <c r="C186" s="395"/>
      <c r="D186" s="395"/>
      <c r="E186" s="395"/>
      <c r="F186" s="395"/>
      <c r="G186" s="395"/>
      <c r="H186" s="396" t="s">
        <v>410</v>
      </c>
      <c r="I186" s="397"/>
      <c r="J186" s="320"/>
    </row>
    <row r="187" spans="2:10" x14ac:dyDescent="0.55000000000000004">
      <c r="B187" s="394">
        <v>183</v>
      </c>
      <c r="C187" s="395"/>
      <c r="D187" s="395"/>
      <c r="E187" s="395"/>
      <c r="F187" s="395"/>
      <c r="G187" s="395"/>
      <c r="H187" s="396" t="s">
        <v>410</v>
      </c>
      <c r="I187" s="397"/>
      <c r="J187" s="320"/>
    </row>
    <row r="188" spans="2:10" x14ac:dyDescent="0.55000000000000004">
      <c r="B188" s="394">
        <v>184</v>
      </c>
      <c r="C188" s="395"/>
      <c r="D188" s="395"/>
      <c r="E188" s="395"/>
      <c r="F188" s="395"/>
      <c r="G188" s="395"/>
      <c r="H188" s="396" t="s">
        <v>410</v>
      </c>
      <c r="I188" s="397"/>
      <c r="J188" s="320"/>
    </row>
    <row r="189" spans="2:10" x14ac:dyDescent="0.55000000000000004">
      <c r="B189" s="394">
        <v>185</v>
      </c>
      <c r="C189" s="395"/>
      <c r="D189" s="395"/>
      <c r="E189" s="395"/>
      <c r="F189" s="395"/>
      <c r="G189" s="395"/>
      <c r="H189" s="396" t="s">
        <v>410</v>
      </c>
      <c r="I189" s="397"/>
      <c r="J189" s="320"/>
    </row>
    <row r="190" spans="2:10" x14ac:dyDescent="0.55000000000000004">
      <c r="B190" s="394">
        <v>186</v>
      </c>
      <c r="C190" s="395"/>
      <c r="D190" s="395"/>
      <c r="E190" s="395"/>
      <c r="F190" s="395"/>
      <c r="G190" s="395"/>
      <c r="H190" s="396" t="s">
        <v>410</v>
      </c>
      <c r="I190" s="397"/>
      <c r="J190" s="320"/>
    </row>
    <row r="191" spans="2:10" x14ac:dyDescent="0.55000000000000004">
      <c r="B191" s="394">
        <v>187</v>
      </c>
      <c r="C191" s="395"/>
      <c r="D191" s="395"/>
      <c r="E191" s="395"/>
      <c r="F191" s="395"/>
      <c r="G191" s="395"/>
      <c r="H191" s="396" t="s">
        <v>410</v>
      </c>
      <c r="I191" s="397"/>
      <c r="J191" s="320"/>
    </row>
    <row r="192" spans="2:10" x14ac:dyDescent="0.55000000000000004">
      <c r="B192" s="394">
        <v>188</v>
      </c>
      <c r="C192" s="395"/>
      <c r="D192" s="395"/>
      <c r="E192" s="395"/>
      <c r="F192" s="395"/>
      <c r="G192" s="395"/>
      <c r="H192" s="396" t="s">
        <v>410</v>
      </c>
      <c r="I192" s="397"/>
      <c r="J192" s="320"/>
    </row>
    <row r="193" spans="2:10" x14ac:dyDescent="0.55000000000000004">
      <c r="B193" s="394">
        <v>189</v>
      </c>
      <c r="C193" s="395"/>
      <c r="D193" s="395"/>
      <c r="E193" s="395"/>
      <c r="F193" s="395"/>
      <c r="G193" s="395"/>
      <c r="H193" s="396" t="s">
        <v>410</v>
      </c>
      <c r="I193" s="397"/>
      <c r="J193" s="320"/>
    </row>
    <row r="194" spans="2:10" x14ac:dyDescent="0.55000000000000004">
      <c r="B194" s="394">
        <v>190</v>
      </c>
      <c r="C194" s="395"/>
      <c r="D194" s="395"/>
      <c r="E194" s="395"/>
      <c r="F194" s="395"/>
      <c r="G194" s="395"/>
      <c r="H194" s="396" t="s">
        <v>410</v>
      </c>
      <c r="I194" s="397"/>
      <c r="J194" s="320"/>
    </row>
    <row r="195" spans="2:10" x14ac:dyDescent="0.55000000000000004">
      <c r="B195" s="394">
        <v>191</v>
      </c>
      <c r="C195" s="395"/>
      <c r="D195" s="395"/>
      <c r="E195" s="395"/>
      <c r="F195" s="395"/>
      <c r="G195" s="395"/>
      <c r="H195" s="396" t="s">
        <v>410</v>
      </c>
      <c r="I195" s="397"/>
      <c r="J195" s="320"/>
    </row>
    <row r="196" spans="2:10" x14ac:dyDescent="0.55000000000000004">
      <c r="B196" s="394">
        <v>192</v>
      </c>
      <c r="C196" s="395"/>
      <c r="D196" s="395"/>
      <c r="E196" s="395"/>
      <c r="F196" s="395"/>
      <c r="G196" s="395"/>
      <c r="H196" s="396" t="s">
        <v>410</v>
      </c>
      <c r="I196" s="397"/>
      <c r="J196" s="320"/>
    </row>
    <row r="197" spans="2:10" x14ac:dyDescent="0.55000000000000004">
      <c r="B197" s="394">
        <v>193</v>
      </c>
      <c r="C197" s="395"/>
      <c r="D197" s="395"/>
      <c r="E197" s="395"/>
      <c r="F197" s="395"/>
      <c r="G197" s="395"/>
      <c r="H197" s="396" t="s">
        <v>410</v>
      </c>
      <c r="I197" s="397"/>
      <c r="J197" s="320"/>
    </row>
    <row r="198" spans="2:10" x14ac:dyDescent="0.55000000000000004">
      <c r="B198" s="394">
        <v>194</v>
      </c>
      <c r="C198" s="395"/>
      <c r="D198" s="395"/>
      <c r="E198" s="395"/>
      <c r="F198" s="395"/>
      <c r="G198" s="395"/>
      <c r="H198" s="396" t="s">
        <v>410</v>
      </c>
      <c r="I198" s="397"/>
      <c r="J198" s="320"/>
    </row>
    <row r="199" spans="2:10" x14ac:dyDescent="0.55000000000000004">
      <c r="B199" s="394">
        <v>195</v>
      </c>
      <c r="C199" s="395"/>
      <c r="D199" s="395"/>
      <c r="E199" s="395"/>
      <c r="F199" s="395"/>
      <c r="G199" s="395"/>
      <c r="H199" s="396" t="s">
        <v>410</v>
      </c>
      <c r="I199" s="397"/>
      <c r="J199" s="320"/>
    </row>
    <row r="200" spans="2:10" x14ac:dyDescent="0.55000000000000004">
      <c r="B200" s="394">
        <v>196</v>
      </c>
      <c r="C200" s="395"/>
      <c r="D200" s="395"/>
      <c r="E200" s="395"/>
      <c r="F200" s="395"/>
      <c r="G200" s="395"/>
      <c r="H200" s="396" t="s">
        <v>410</v>
      </c>
      <c r="I200" s="397"/>
      <c r="J200" s="320"/>
    </row>
    <row r="201" spans="2:10" x14ac:dyDescent="0.55000000000000004">
      <c r="B201" s="394">
        <v>197</v>
      </c>
      <c r="C201" s="395"/>
      <c r="D201" s="395"/>
      <c r="E201" s="395"/>
      <c r="F201" s="395"/>
      <c r="G201" s="395"/>
      <c r="H201" s="396" t="s">
        <v>410</v>
      </c>
      <c r="I201" s="397"/>
      <c r="J201" s="320"/>
    </row>
    <row r="202" spans="2:10" x14ac:dyDescent="0.55000000000000004">
      <c r="B202" s="394">
        <v>198</v>
      </c>
      <c r="C202" s="395"/>
      <c r="D202" s="395"/>
      <c r="E202" s="395"/>
      <c r="F202" s="395"/>
      <c r="G202" s="395"/>
      <c r="H202" s="396" t="s">
        <v>410</v>
      </c>
      <c r="I202" s="397"/>
      <c r="J202" s="320"/>
    </row>
    <row r="203" spans="2:10" x14ac:dyDescent="0.55000000000000004">
      <c r="B203" s="394">
        <v>199</v>
      </c>
      <c r="C203" s="395"/>
      <c r="D203" s="395"/>
      <c r="E203" s="395"/>
      <c r="F203" s="395"/>
      <c r="G203" s="395"/>
      <c r="H203" s="396" t="s">
        <v>410</v>
      </c>
      <c r="I203" s="397"/>
      <c r="J203" s="320"/>
    </row>
    <row r="204" spans="2:10" x14ac:dyDescent="0.55000000000000004">
      <c r="B204" s="394">
        <v>200</v>
      </c>
      <c r="C204" s="395"/>
      <c r="D204" s="395"/>
      <c r="E204" s="395"/>
      <c r="F204" s="395"/>
      <c r="G204" s="395"/>
      <c r="H204" s="396" t="s">
        <v>410</v>
      </c>
      <c r="I204" s="397"/>
      <c r="J204" s="320"/>
    </row>
    <row r="205" spans="2:10" x14ac:dyDescent="0.55000000000000004">
      <c r="B205" s="394">
        <v>201</v>
      </c>
      <c r="C205" s="395"/>
      <c r="D205" s="395"/>
      <c r="E205" s="395"/>
      <c r="F205" s="395"/>
      <c r="G205" s="395"/>
      <c r="H205" s="396" t="s">
        <v>410</v>
      </c>
      <c r="I205" s="397"/>
      <c r="J205" s="320"/>
    </row>
    <row r="206" spans="2:10" x14ac:dyDescent="0.55000000000000004">
      <c r="B206" s="394">
        <v>202</v>
      </c>
      <c r="C206" s="395"/>
      <c r="D206" s="395"/>
      <c r="E206" s="395"/>
      <c r="F206" s="395"/>
      <c r="G206" s="395"/>
      <c r="H206" s="396" t="s">
        <v>410</v>
      </c>
      <c r="I206" s="397"/>
      <c r="J206" s="320"/>
    </row>
    <row r="207" spans="2:10" x14ac:dyDescent="0.55000000000000004">
      <c r="B207" s="394">
        <v>203</v>
      </c>
      <c r="C207" s="395"/>
      <c r="D207" s="395"/>
      <c r="E207" s="395"/>
      <c r="F207" s="395"/>
      <c r="G207" s="395"/>
      <c r="H207" s="396" t="s">
        <v>410</v>
      </c>
      <c r="I207" s="397"/>
      <c r="J207" s="320"/>
    </row>
    <row r="208" spans="2:10" x14ac:dyDescent="0.55000000000000004">
      <c r="B208" s="394">
        <v>204</v>
      </c>
      <c r="C208" s="395"/>
      <c r="D208" s="395"/>
      <c r="E208" s="395"/>
      <c r="F208" s="395"/>
      <c r="G208" s="395"/>
      <c r="H208" s="396" t="s">
        <v>410</v>
      </c>
      <c r="I208" s="397"/>
      <c r="J208" s="320"/>
    </row>
    <row r="209" spans="2:10" x14ac:dyDescent="0.55000000000000004">
      <c r="B209" s="394">
        <v>205</v>
      </c>
      <c r="C209" s="395"/>
      <c r="D209" s="395"/>
      <c r="E209" s="395"/>
      <c r="F209" s="395"/>
      <c r="G209" s="395"/>
      <c r="H209" s="396" t="s">
        <v>410</v>
      </c>
      <c r="I209" s="397"/>
      <c r="J209" s="320"/>
    </row>
    <row r="210" spans="2:10" x14ac:dyDescent="0.55000000000000004">
      <c r="B210" s="394">
        <v>206</v>
      </c>
      <c r="C210" s="395"/>
      <c r="D210" s="395"/>
      <c r="E210" s="395"/>
      <c r="F210" s="395"/>
      <c r="G210" s="395"/>
      <c r="H210" s="396" t="s">
        <v>410</v>
      </c>
      <c r="I210" s="397"/>
      <c r="J210" s="320"/>
    </row>
    <row r="211" spans="2:10" x14ac:dyDescent="0.55000000000000004">
      <c r="B211" s="394">
        <v>207</v>
      </c>
      <c r="C211" s="395"/>
      <c r="D211" s="395"/>
      <c r="E211" s="395"/>
      <c r="F211" s="395"/>
      <c r="G211" s="395"/>
      <c r="H211" s="396" t="s">
        <v>410</v>
      </c>
      <c r="I211" s="397"/>
      <c r="J211" s="320"/>
    </row>
    <row r="212" spans="2:10" x14ac:dyDescent="0.55000000000000004">
      <c r="B212" s="394">
        <v>208</v>
      </c>
      <c r="C212" s="395"/>
      <c r="D212" s="395"/>
      <c r="E212" s="395"/>
      <c r="F212" s="395"/>
      <c r="G212" s="395"/>
      <c r="H212" s="396" t="s">
        <v>410</v>
      </c>
      <c r="I212" s="397"/>
      <c r="J212" s="320"/>
    </row>
    <row r="213" spans="2:10" x14ac:dyDescent="0.55000000000000004">
      <c r="B213" s="394">
        <v>209</v>
      </c>
      <c r="C213" s="395"/>
      <c r="D213" s="395"/>
      <c r="E213" s="395"/>
      <c r="F213" s="395"/>
      <c r="G213" s="395"/>
      <c r="H213" s="396" t="s">
        <v>410</v>
      </c>
      <c r="I213" s="397"/>
      <c r="J213" s="320"/>
    </row>
    <row r="214" spans="2:10" x14ac:dyDescent="0.55000000000000004">
      <c r="B214" s="394">
        <v>210</v>
      </c>
      <c r="C214" s="395"/>
      <c r="D214" s="395"/>
      <c r="E214" s="395"/>
      <c r="F214" s="395"/>
      <c r="G214" s="395"/>
      <c r="H214" s="396" t="s">
        <v>410</v>
      </c>
      <c r="I214" s="397"/>
      <c r="J214" s="320"/>
    </row>
    <row r="215" spans="2:10" x14ac:dyDescent="0.55000000000000004">
      <c r="B215" s="394">
        <v>211</v>
      </c>
      <c r="C215" s="395"/>
      <c r="D215" s="395"/>
      <c r="E215" s="395"/>
      <c r="F215" s="395"/>
      <c r="G215" s="395"/>
      <c r="H215" s="396" t="s">
        <v>410</v>
      </c>
      <c r="I215" s="397"/>
      <c r="J215" s="320"/>
    </row>
    <row r="216" spans="2:10" x14ac:dyDescent="0.55000000000000004">
      <c r="B216" s="394">
        <v>212</v>
      </c>
      <c r="C216" s="395"/>
      <c r="D216" s="395"/>
      <c r="E216" s="395"/>
      <c r="F216" s="395"/>
      <c r="G216" s="395"/>
      <c r="H216" s="396" t="s">
        <v>410</v>
      </c>
      <c r="I216" s="397"/>
      <c r="J216" s="320"/>
    </row>
    <row r="217" spans="2:10" x14ac:dyDescent="0.55000000000000004">
      <c r="B217" s="394">
        <v>213</v>
      </c>
      <c r="C217" s="395"/>
      <c r="D217" s="395"/>
      <c r="E217" s="395"/>
      <c r="F217" s="395"/>
      <c r="G217" s="395"/>
      <c r="H217" s="396" t="s">
        <v>410</v>
      </c>
      <c r="I217" s="397"/>
      <c r="J217" s="320"/>
    </row>
    <row r="218" spans="2:10" x14ac:dyDescent="0.55000000000000004">
      <c r="B218" s="394">
        <v>214</v>
      </c>
      <c r="C218" s="395"/>
      <c r="D218" s="395"/>
      <c r="E218" s="395"/>
      <c r="F218" s="395"/>
      <c r="G218" s="395"/>
      <c r="H218" s="396" t="s">
        <v>410</v>
      </c>
      <c r="I218" s="397"/>
      <c r="J218" s="320"/>
    </row>
    <row r="219" spans="2:10" x14ac:dyDescent="0.55000000000000004">
      <c r="B219" s="394">
        <v>215</v>
      </c>
      <c r="C219" s="395"/>
      <c r="D219" s="395"/>
      <c r="E219" s="395"/>
      <c r="F219" s="395"/>
      <c r="G219" s="395"/>
      <c r="H219" s="396" t="s">
        <v>410</v>
      </c>
      <c r="I219" s="397"/>
      <c r="J219" s="320"/>
    </row>
    <row r="220" spans="2:10" x14ac:dyDescent="0.55000000000000004">
      <c r="B220" s="394">
        <v>216</v>
      </c>
      <c r="C220" s="395"/>
      <c r="D220" s="395"/>
      <c r="E220" s="395"/>
      <c r="F220" s="395"/>
      <c r="G220" s="395"/>
      <c r="H220" s="396" t="s">
        <v>410</v>
      </c>
      <c r="I220" s="397"/>
      <c r="J220" s="320"/>
    </row>
    <row r="221" spans="2:10" x14ac:dyDescent="0.55000000000000004">
      <c r="B221" s="394">
        <v>217</v>
      </c>
      <c r="C221" s="395"/>
      <c r="D221" s="395"/>
      <c r="E221" s="395"/>
      <c r="F221" s="395"/>
      <c r="G221" s="395"/>
      <c r="H221" s="396" t="s">
        <v>410</v>
      </c>
      <c r="I221" s="397"/>
      <c r="J221" s="320"/>
    </row>
    <row r="222" spans="2:10" x14ac:dyDescent="0.55000000000000004">
      <c r="B222" s="394">
        <v>218</v>
      </c>
      <c r="C222" s="395"/>
      <c r="D222" s="395"/>
      <c r="E222" s="395"/>
      <c r="F222" s="395"/>
      <c r="G222" s="395"/>
      <c r="H222" s="396" t="s">
        <v>410</v>
      </c>
      <c r="I222" s="397"/>
      <c r="J222" s="320"/>
    </row>
    <row r="223" spans="2:10" x14ac:dyDescent="0.55000000000000004">
      <c r="B223" s="394">
        <v>219</v>
      </c>
      <c r="C223" s="395"/>
      <c r="D223" s="395"/>
      <c r="E223" s="395"/>
      <c r="F223" s="395"/>
      <c r="G223" s="395"/>
      <c r="H223" s="396" t="s">
        <v>410</v>
      </c>
      <c r="I223" s="397"/>
      <c r="J223" s="320"/>
    </row>
    <row r="224" spans="2:10" x14ac:dyDescent="0.55000000000000004">
      <c r="B224" s="394">
        <v>220</v>
      </c>
      <c r="C224" s="395"/>
      <c r="D224" s="395"/>
      <c r="E224" s="395"/>
      <c r="F224" s="395"/>
      <c r="G224" s="395"/>
      <c r="H224" s="396" t="s">
        <v>410</v>
      </c>
      <c r="I224" s="397"/>
      <c r="J224" s="320"/>
    </row>
    <row r="225" spans="2:10" x14ac:dyDescent="0.55000000000000004">
      <c r="B225" s="394">
        <v>221</v>
      </c>
      <c r="C225" s="395"/>
      <c r="D225" s="395"/>
      <c r="E225" s="395"/>
      <c r="F225" s="395"/>
      <c r="G225" s="395"/>
      <c r="H225" s="396" t="s">
        <v>410</v>
      </c>
      <c r="I225" s="397"/>
      <c r="J225" s="320"/>
    </row>
    <row r="226" spans="2:10" x14ac:dyDescent="0.55000000000000004">
      <c r="B226" s="394">
        <v>222</v>
      </c>
      <c r="C226" s="395"/>
      <c r="D226" s="395"/>
      <c r="E226" s="395"/>
      <c r="F226" s="395"/>
      <c r="G226" s="395"/>
      <c r="H226" s="396" t="s">
        <v>410</v>
      </c>
      <c r="I226" s="397"/>
      <c r="J226" s="320"/>
    </row>
    <row r="227" spans="2:10" x14ac:dyDescent="0.55000000000000004">
      <c r="B227" s="394">
        <v>223</v>
      </c>
      <c r="C227" s="395"/>
      <c r="D227" s="395"/>
      <c r="E227" s="395"/>
      <c r="F227" s="395"/>
      <c r="G227" s="395"/>
      <c r="H227" s="396" t="s">
        <v>410</v>
      </c>
      <c r="I227" s="397"/>
      <c r="J227" s="320"/>
    </row>
    <row r="228" spans="2:10" x14ac:dyDescent="0.55000000000000004">
      <c r="B228" s="394">
        <v>224</v>
      </c>
      <c r="C228" s="395"/>
      <c r="D228" s="395"/>
      <c r="E228" s="395"/>
      <c r="F228" s="395"/>
      <c r="G228" s="395"/>
      <c r="H228" s="396" t="s">
        <v>410</v>
      </c>
      <c r="I228" s="397"/>
      <c r="J228" s="320"/>
    </row>
    <row r="229" spans="2:10" x14ac:dyDescent="0.55000000000000004">
      <c r="B229" s="394">
        <v>225</v>
      </c>
      <c r="C229" s="395"/>
      <c r="D229" s="395"/>
      <c r="E229" s="395"/>
      <c r="F229" s="395"/>
      <c r="G229" s="395"/>
      <c r="H229" s="396" t="s">
        <v>410</v>
      </c>
      <c r="I229" s="397"/>
      <c r="J229" s="320"/>
    </row>
    <row r="230" spans="2:10" x14ac:dyDescent="0.55000000000000004">
      <c r="B230" s="394">
        <v>226</v>
      </c>
      <c r="C230" s="395"/>
      <c r="D230" s="395"/>
      <c r="E230" s="395"/>
      <c r="F230" s="395"/>
      <c r="G230" s="395"/>
      <c r="H230" s="396" t="s">
        <v>410</v>
      </c>
      <c r="I230" s="397"/>
      <c r="J230" s="320"/>
    </row>
    <row r="231" spans="2:10" x14ac:dyDescent="0.55000000000000004">
      <c r="B231" s="394">
        <v>227</v>
      </c>
      <c r="C231" s="395"/>
      <c r="D231" s="395"/>
      <c r="E231" s="395"/>
      <c r="F231" s="395"/>
      <c r="G231" s="395"/>
      <c r="H231" s="396" t="s">
        <v>410</v>
      </c>
      <c r="I231" s="397"/>
      <c r="J231" s="320"/>
    </row>
    <row r="232" spans="2:10" x14ac:dyDescent="0.55000000000000004">
      <c r="B232" s="394">
        <v>228</v>
      </c>
      <c r="C232" s="395"/>
      <c r="D232" s="395"/>
      <c r="E232" s="395"/>
      <c r="F232" s="395"/>
      <c r="G232" s="395"/>
      <c r="H232" s="396" t="s">
        <v>410</v>
      </c>
      <c r="I232" s="397"/>
      <c r="J232" s="320"/>
    </row>
    <row r="233" spans="2:10" x14ac:dyDescent="0.55000000000000004">
      <c r="B233" s="394">
        <v>229</v>
      </c>
      <c r="C233" s="395"/>
      <c r="D233" s="395"/>
      <c r="E233" s="395"/>
      <c r="F233" s="395"/>
      <c r="G233" s="395"/>
      <c r="H233" s="396" t="s">
        <v>410</v>
      </c>
      <c r="I233" s="397"/>
      <c r="J233" s="320"/>
    </row>
    <row r="234" spans="2:10" x14ac:dyDescent="0.55000000000000004">
      <c r="B234" s="394">
        <v>230</v>
      </c>
      <c r="C234" s="395"/>
      <c r="D234" s="395"/>
      <c r="E234" s="395"/>
      <c r="F234" s="395"/>
      <c r="G234" s="395"/>
      <c r="H234" s="396" t="s">
        <v>410</v>
      </c>
      <c r="I234" s="397"/>
      <c r="J234" s="320"/>
    </row>
    <row r="235" spans="2:10" x14ac:dyDescent="0.55000000000000004">
      <c r="B235" s="394">
        <v>231</v>
      </c>
      <c r="C235" s="395"/>
      <c r="D235" s="395"/>
      <c r="E235" s="395"/>
      <c r="F235" s="395"/>
      <c r="G235" s="395"/>
      <c r="H235" s="396" t="s">
        <v>410</v>
      </c>
      <c r="I235" s="397"/>
      <c r="J235" s="320"/>
    </row>
    <row r="236" spans="2:10" x14ac:dyDescent="0.55000000000000004">
      <c r="B236" s="394">
        <v>232</v>
      </c>
      <c r="C236" s="395"/>
      <c r="D236" s="395"/>
      <c r="E236" s="395"/>
      <c r="F236" s="395"/>
      <c r="G236" s="395"/>
      <c r="H236" s="396" t="s">
        <v>410</v>
      </c>
      <c r="I236" s="397"/>
      <c r="J236" s="320"/>
    </row>
    <row r="237" spans="2:10" x14ac:dyDescent="0.55000000000000004">
      <c r="B237" s="394">
        <v>233</v>
      </c>
      <c r="C237" s="395"/>
      <c r="D237" s="395"/>
      <c r="E237" s="395"/>
      <c r="F237" s="395"/>
      <c r="G237" s="395"/>
      <c r="H237" s="396" t="s">
        <v>410</v>
      </c>
      <c r="I237" s="397"/>
      <c r="J237" s="320"/>
    </row>
    <row r="238" spans="2:10" x14ac:dyDescent="0.55000000000000004">
      <c r="B238" s="394">
        <v>234</v>
      </c>
      <c r="C238" s="395"/>
      <c r="D238" s="395"/>
      <c r="E238" s="395"/>
      <c r="F238" s="395"/>
      <c r="G238" s="395"/>
      <c r="H238" s="396" t="s">
        <v>410</v>
      </c>
      <c r="I238" s="397"/>
      <c r="J238" s="320"/>
    </row>
    <row r="239" spans="2:10" x14ac:dyDescent="0.55000000000000004">
      <c r="B239" s="394">
        <v>235</v>
      </c>
      <c r="C239" s="395"/>
      <c r="D239" s="395"/>
      <c r="E239" s="395"/>
      <c r="F239" s="395"/>
      <c r="G239" s="395"/>
      <c r="H239" s="396" t="s">
        <v>410</v>
      </c>
      <c r="I239" s="397"/>
      <c r="J239" s="320"/>
    </row>
    <row r="240" spans="2:10" x14ac:dyDescent="0.55000000000000004">
      <c r="B240" s="394">
        <v>236</v>
      </c>
      <c r="C240" s="395"/>
      <c r="D240" s="395"/>
      <c r="E240" s="395"/>
      <c r="F240" s="395"/>
      <c r="G240" s="395"/>
      <c r="H240" s="396" t="s">
        <v>410</v>
      </c>
      <c r="I240" s="397"/>
      <c r="J240" s="320"/>
    </row>
    <row r="241" spans="2:10" x14ac:dyDescent="0.55000000000000004">
      <c r="B241" s="394">
        <v>237</v>
      </c>
      <c r="C241" s="395"/>
      <c r="D241" s="395"/>
      <c r="E241" s="395"/>
      <c r="F241" s="395"/>
      <c r="G241" s="395"/>
      <c r="H241" s="396" t="s">
        <v>410</v>
      </c>
      <c r="I241" s="397"/>
      <c r="J241" s="320"/>
    </row>
    <row r="242" spans="2:10" x14ac:dyDescent="0.55000000000000004">
      <c r="B242" s="394">
        <v>238</v>
      </c>
      <c r="C242" s="395"/>
      <c r="D242" s="395"/>
      <c r="E242" s="395"/>
      <c r="F242" s="395"/>
      <c r="G242" s="395"/>
      <c r="H242" s="396" t="s">
        <v>410</v>
      </c>
      <c r="I242" s="397"/>
      <c r="J242" s="320"/>
    </row>
    <row r="243" spans="2:10" x14ac:dyDescent="0.55000000000000004">
      <c r="B243" s="394">
        <v>239</v>
      </c>
      <c r="C243" s="395"/>
      <c r="D243" s="395"/>
      <c r="E243" s="395"/>
      <c r="F243" s="395"/>
      <c r="G243" s="395"/>
      <c r="H243" s="396" t="s">
        <v>410</v>
      </c>
      <c r="I243" s="397"/>
      <c r="J243" s="320"/>
    </row>
    <row r="244" spans="2:10" x14ac:dyDescent="0.55000000000000004">
      <c r="B244" s="394">
        <v>240</v>
      </c>
      <c r="C244" s="395"/>
      <c r="D244" s="395"/>
      <c r="E244" s="395"/>
      <c r="F244" s="395"/>
      <c r="G244" s="395"/>
      <c r="H244" s="396" t="s">
        <v>410</v>
      </c>
      <c r="I244" s="397"/>
      <c r="J244" s="320"/>
    </row>
    <row r="245" spans="2:10" x14ac:dyDescent="0.55000000000000004">
      <c r="B245" s="394">
        <v>241</v>
      </c>
      <c r="C245" s="395"/>
      <c r="D245" s="395"/>
      <c r="E245" s="395"/>
      <c r="F245" s="395"/>
      <c r="G245" s="395"/>
      <c r="H245" s="396" t="s">
        <v>410</v>
      </c>
      <c r="I245" s="397"/>
      <c r="J245" s="320"/>
    </row>
    <row r="246" spans="2:10" x14ac:dyDescent="0.55000000000000004">
      <c r="B246" s="394">
        <v>242</v>
      </c>
      <c r="C246" s="395"/>
      <c r="D246" s="395"/>
      <c r="E246" s="395"/>
      <c r="F246" s="395"/>
      <c r="G246" s="395"/>
      <c r="H246" s="396" t="s">
        <v>410</v>
      </c>
      <c r="I246" s="397"/>
      <c r="J246" s="320"/>
    </row>
    <row r="247" spans="2:10" x14ac:dyDescent="0.55000000000000004">
      <c r="B247" s="394">
        <v>243</v>
      </c>
      <c r="C247" s="395"/>
      <c r="D247" s="395"/>
      <c r="E247" s="395"/>
      <c r="F247" s="395"/>
      <c r="G247" s="395"/>
      <c r="H247" s="396" t="s">
        <v>410</v>
      </c>
      <c r="I247" s="397"/>
      <c r="J247" s="320"/>
    </row>
    <row r="248" spans="2:10" x14ac:dyDescent="0.55000000000000004">
      <c r="B248" s="394">
        <v>244</v>
      </c>
      <c r="C248" s="395"/>
      <c r="D248" s="395"/>
      <c r="E248" s="395"/>
      <c r="F248" s="395"/>
      <c r="G248" s="395"/>
      <c r="H248" s="396" t="s">
        <v>410</v>
      </c>
      <c r="I248" s="397"/>
      <c r="J248" s="320"/>
    </row>
    <row r="249" spans="2:10" x14ac:dyDescent="0.55000000000000004">
      <c r="B249" s="394">
        <v>245</v>
      </c>
      <c r="C249" s="395"/>
      <c r="D249" s="395"/>
      <c r="E249" s="395"/>
      <c r="F249" s="395"/>
      <c r="G249" s="395"/>
      <c r="H249" s="396" t="s">
        <v>410</v>
      </c>
      <c r="I249" s="397"/>
      <c r="J249" s="320"/>
    </row>
    <row r="250" spans="2:10" x14ac:dyDescent="0.55000000000000004">
      <c r="B250" s="394">
        <v>246</v>
      </c>
      <c r="C250" s="395"/>
      <c r="D250" s="395"/>
      <c r="E250" s="395"/>
      <c r="F250" s="395"/>
      <c r="G250" s="395"/>
      <c r="H250" s="396" t="s">
        <v>410</v>
      </c>
      <c r="I250" s="397"/>
      <c r="J250" s="320"/>
    </row>
    <row r="251" spans="2:10" x14ac:dyDescent="0.55000000000000004">
      <c r="B251" s="394">
        <v>247</v>
      </c>
      <c r="C251" s="395"/>
      <c r="D251" s="395"/>
      <c r="E251" s="395"/>
      <c r="F251" s="395"/>
      <c r="G251" s="395"/>
      <c r="H251" s="396" t="s">
        <v>410</v>
      </c>
      <c r="I251" s="397"/>
      <c r="J251" s="320"/>
    </row>
    <row r="252" spans="2:10" x14ac:dyDescent="0.55000000000000004">
      <c r="B252" s="394">
        <v>248</v>
      </c>
      <c r="C252" s="395"/>
      <c r="D252" s="395"/>
      <c r="E252" s="395"/>
      <c r="F252" s="395"/>
      <c r="G252" s="395"/>
      <c r="H252" s="396" t="s">
        <v>410</v>
      </c>
      <c r="I252" s="397"/>
      <c r="J252" s="320"/>
    </row>
    <row r="253" spans="2:10" x14ac:dyDescent="0.55000000000000004">
      <c r="B253" s="394">
        <v>249</v>
      </c>
      <c r="C253" s="395"/>
      <c r="D253" s="395"/>
      <c r="E253" s="395"/>
      <c r="F253" s="395"/>
      <c r="G253" s="395"/>
      <c r="H253" s="396" t="s">
        <v>410</v>
      </c>
      <c r="I253" s="397"/>
      <c r="J253" s="320"/>
    </row>
    <row r="254" spans="2:10" x14ac:dyDescent="0.55000000000000004">
      <c r="B254" s="394">
        <v>250</v>
      </c>
      <c r="C254" s="395"/>
      <c r="D254" s="395"/>
      <c r="E254" s="395"/>
      <c r="F254" s="395"/>
      <c r="G254" s="395"/>
      <c r="H254" s="396" t="s">
        <v>410</v>
      </c>
      <c r="I254" s="397"/>
      <c r="J254" s="320"/>
    </row>
    <row r="255" spans="2:10" x14ac:dyDescent="0.55000000000000004">
      <c r="B255" s="394">
        <v>251</v>
      </c>
      <c r="C255" s="395"/>
      <c r="D255" s="395"/>
      <c r="E255" s="395"/>
      <c r="F255" s="395"/>
      <c r="G255" s="395"/>
      <c r="H255" s="396" t="s">
        <v>410</v>
      </c>
      <c r="I255" s="397"/>
      <c r="J255" s="320"/>
    </row>
    <row r="256" spans="2:10" x14ac:dyDescent="0.55000000000000004">
      <c r="B256" s="394">
        <v>252</v>
      </c>
      <c r="C256" s="395"/>
      <c r="D256" s="395"/>
      <c r="E256" s="395"/>
      <c r="F256" s="395"/>
      <c r="G256" s="395"/>
      <c r="H256" s="396" t="s">
        <v>410</v>
      </c>
      <c r="I256" s="397"/>
      <c r="J256" s="320"/>
    </row>
    <row r="257" spans="2:10" x14ac:dyDescent="0.55000000000000004">
      <c r="B257" s="394">
        <v>253</v>
      </c>
      <c r="C257" s="395"/>
      <c r="D257" s="395"/>
      <c r="E257" s="395"/>
      <c r="F257" s="395"/>
      <c r="G257" s="395"/>
      <c r="H257" s="396" t="s">
        <v>410</v>
      </c>
      <c r="I257" s="397"/>
      <c r="J257" s="320"/>
    </row>
    <row r="258" spans="2:10" x14ac:dyDescent="0.55000000000000004">
      <c r="B258" s="394">
        <v>254</v>
      </c>
      <c r="C258" s="395"/>
      <c r="D258" s="395"/>
      <c r="E258" s="395"/>
      <c r="F258" s="395"/>
      <c r="G258" s="395"/>
      <c r="H258" s="396" t="s">
        <v>410</v>
      </c>
      <c r="I258" s="397"/>
      <c r="J258" s="320"/>
    </row>
    <row r="259" spans="2:10" x14ac:dyDescent="0.55000000000000004">
      <c r="B259" s="394">
        <v>255</v>
      </c>
      <c r="C259" s="395"/>
      <c r="D259" s="395"/>
      <c r="E259" s="395"/>
      <c r="F259" s="395"/>
      <c r="G259" s="395"/>
      <c r="H259" s="396" t="s">
        <v>410</v>
      </c>
      <c r="I259" s="397"/>
      <c r="J259" s="320"/>
    </row>
    <row r="260" spans="2:10" x14ac:dyDescent="0.55000000000000004">
      <c r="B260" s="394">
        <v>256</v>
      </c>
      <c r="C260" s="395"/>
      <c r="D260" s="395"/>
      <c r="E260" s="395"/>
      <c r="F260" s="395"/>
      <c r="G260" s="395"/>
      <c r="H260" s="396" t="s">
        <v>410</v>
      </c>
      <c r="I260" s="397"/>
      <c r="J260" s="320"/>
    </row>
    <row r="261" spans="2:10" x14ac:dyDescent="0.55000000000000004">
      <c r="B261" s="394">
        <v>257</v>
      </c>
      <c r="C261" s="395"/>
      <c r="D261" s="395"/>
      <c r="E261" s="395"/>
      <c r="F261" s="395"/>
      <c r="G261" s="395"/>
      <c r="H261" s="396" t="s">
        <v>410</v>
      </c>
      <c r="I261" s="397"/>
      <c r="J261" s="320"/>
    </row>
    <row r="262" spans="2:10" x14ac:dyDescent="0.55000000000000004">
      <c r="B262" s="394">
        <v>258</v>
      </c>
      <c r="C262" s="395"/>
      <c r="D262" s="395"/>
      <c r="E262" s="395"/>
      <c r="F262" s="395"/>
      <c r="G262" s="395"/>
      <c r="H262" s="396" t="s">
        <v>410</v>
      </c>
      <c r="I262" s="397"/>
      <c r="J262" s="320"/>
    </row>
    <row r="263" spans="2:10" x14ac:dyDescent="0.55000000000000004">
      <c r="B263" s="394">
        <v>259</v>
      </c>
      <c r="C263" s="395"/>
      <c r="D263" s="395"/>
      <c r="E263" s="395"/>
      <c r="F263" s="395"/>
      <c r="G263" s="395"/>
      <c r="H263" s="396" t="s">
        <v>410</v>
      </c>
      <c r="I263" s="397"/>
      <c r="J263" s="320"/>
    </row>
    <row r="264" spans="2:10" x14ac:dyDescent="0.55000000000000004">
      <c r="B264" s="394">
        <v>260</v>
      </c>
      <c r="C264" s="395"/>
      <c r="D264" s="395"/>
      <c r="E264" s="395"/>
      <c r="F264" s="395"/>
      <c r="G264" s="395"/>
      <c r="H264" s="396" t="s">
        <v>410</v>
      </c>
      <c r="I264" s="397"/>
      <c r="J264" s="320"/>
    </row>
    <row r="265" spans="2:10" x14ac:dyDescent="0.55000000000000004">
      <c r="B265" s="394">
        <v>261</v>
      </c>
      <c r="C265" s="395"/>
      <c r="D265" s="395"/>
      <c r="E265" s="395"/>
      <c r="F265" s="395"/>
      <c r="G265" s="395"/>
      <c r="H265" s="396" t="s">
        <v>410</v>
      </c>
      <c r="I265" s="397"/>
      <c r="J265" s="320"/>
    </row>
    <row r="266" spans="2:10" x14ac:dyDescent="0.55000000000000004">
      <c r="B266" s="394">
        <v>262</v>
      </c>
      <c r="C266" s="395"/>
      <c r="D266" s="395"/>
      <c r="E266" s="395"/>
      <c r="F266" s="395"/>
      <c r="G266" s="395"/>
      <c r="H266" s="396" t="s">
        <v>410</v>
      </c>
      <c r="I266" s="397"/>
      <c r="J266" s="320"/>
    </row>
    <row r="267" spans="2:10" x14ac:dyDescent="0.55000000000000004">
      <c r="B267" s="394">
        <v>263</v>
      </c>
      <c r="C267" s="395"/>
      <c r="D267" s="395"/>
      <c r="E267" s="395"/>
      <c r="F267" s="395"/>
      <c r="G267" s="395"/>
      <c r="H267" s="396" t="s">
        <v>410</v>
      </c>
      <c r="I267" s="397"/>
      <c r="J267" s="320"/>
    </row>
    <row r="268" spans="2:10" x14ac:dyDescent="0.55000000000000004">
      <c r="B268" s="394">
        <v>264</v>
      </c>
      <c r="C268" s="395"/>
      <c r="D268" s="395"/>
      <c r="E268" s="395"/>
      <c r="F268" s="395"/>
      <c r="G268" s="395"/>
      <c r="H268" s="396" t="s">
        <v>410</v>
      </c>
      <c r="I268" s="397"/>
      <c r="J268" s="320"/>
    </row>
    <row r="269" spans="2:10" x14ac:dyDescent="0.55000000000000004">
      <c r="B269" s="394">
        <v>265</v>
      </c>
      <c r="C269" s="395"/>
      <c r="D269" s="395"/>
      <c r="E269" s="395"/>
      <c r="F269" s="395"/>
      <c r="G269" s="395"/>
      <c r="H269" s="396" t="s">
        <v>410</v>
      </c>
      <c r="I269" s="397"/>
      <c r="J269" s="320"/>
    </row>
    <row r="270" spans="2:10" x14ac:dyDescent="0.55000000000000004">
      <c r="B270" s="394">
        <v>266</v>
      </c>
      <c r="C270" s="395"/>
      <c r="D270" s="395"/>
      <c r="E270" s="395"/>
      <c r="F270" s="395"/>
      <c r="G270" s="395"/>
      <c r="H270" s="396" t="s">
        <v>410</v>
      </c>
      <c r="I270" s="397"/>
      <c r="J270" s="320"/>
    </row>
    <row r="271" spans="2:10" x14ac:dyDescent="0.55000000000000004">
      <c r="B271" s="394">
        <v>267</v>
      </c>
      <c r="C271" s="395"/>
      <c r="D271" s="395"/>
      <c r="E271" s="395"/>
      <c r="F271" s="395"/>
      <c r="G271" s="395"/>
      <c r="H271" s="396" t="s">
        <v>410</v>
      </c>
      <c r="I271" s="397"/>
      <c r="J271" s="320"/>
    </row>
    <row r="272" spans="2:10" x14ac:dyDescent="0.55000000000000004">
      <c r="B272" s="394">
        <v>268</v>
      </c>
      <c r="C272" s="395"/>
      <c r="D272" s="395"/>
      <c r="E272" s="395"/>
      <c r="F272" s="395"/>
      <c r="G272" s="395"/>
      <c r="H272" s="396" t="s">
        <v>410</v>
      </c>
      <c r="I272" s="397"/>
      <c r="J272" s="320"/>
    </row>
    <row r="273" spans="2:10" x14ac:dyDescent="0.55000000000000004">
      <c r="B273" s="394">
        <v>269</v>
      </c>
      <c r="C273" s="395"/>
      <c r="D273" s="395"/>
      <c r="E273" s="395"/>
      <c r="F273" s="395"/>
      <c r="G273" s="395"/>
      <c r="H273" s="396" t="s">
        <v>410</v>
      </c>
      <c r="I273" s="397"/>
      <c r="J273" s="320"/>
    </row>
    <row r="274" spans="2:10" x14ac:dyDescent="0.55000000000000004">
      <c r="B274" s="394">
        <v>270</v>
      </c>
      <c r="C274" s="395"/>
      <c r="D274" s="395"/>
      <c r="E274" s="395"/>
      <c r="F274" s="395"/>
      <c r="G274" s="395"/>
      <c r="H274" s="396" t="s">
        <v>410</v>
      </c>
      <c r="I274" s="397"/>
      <c r="J274" s="320"/>
    </row>
    <row r="275" spans="2:10" x14ac:dyDescent="0.55000000000000004">
      <c r="B275" s="394">
        <v>271</v>
      </c>
      <c r="C275" s="395"/>
      <c r="D275" s="395"/>
      <c r="E275" s="395"/>
      <c r="F275" s="395"/>
      <c r="G275" s="395"/>
      <c r="H275" s="396" t="s">
        <v>410</v>
      </c>
      <c r="I275" s="397"/>
      <c r="J275" s="320"/>
    </row>
    <row r="276" spans="2:10" x14ac:dyDescent="0.55000000000000004">
      <c r="B276" s="394">
        <v>272</v>
      </c>
      <c r="C276" s="395"/>
      <c r="D276" s="395"/>
      <c r="E276" s="395"/>
      <c r="F276" s="395"/>
      <c r="G276" s="395"/>
      <c r="H276" s="396" t="s">
        <v>410</v>
      </c>
      <c r="I276" s="397"/>
      <c r="J276" s="320"/>
    </row>
    <row r="277" spans="2:10" x14ac:dyDescent="0.55000000000000004">
      <c r="B277" s="394">
        <v>273</v>
      </c>
      <c r="C277" s="395"/>
      <c r="D277" s="395"/>
      <c r="E277" s="395"/>
      <c r="F277" s="395"/>
      <c r="G277" s="395"/>
      <c r="H277" s="396" t="s">
        <v>410</v>
      </c>
      <c r="I277" s="397"/>
      <c r="J277" s="320"/>
    </row>
    <row r="278" spans="2:10" x14ac:dyDescent="0.55000000000000004">
      <c r="B278" s="394">
        <v>274</v>
      </c>
      <c r="C278" s="395"/>
      <c r="D278" s="395"/>
      <c r="E278" s="395"/>
      <c r="F278" s="395"/>
      <c r="G278" s="395"/>
      <c r="H278" s="396" t="s">
        <v>410</v>
      </c>
      <c r="I278" s="397"/>
      <c r="J278" s="320"/>
    </row>
    <row r="279" spans="2:10" x14ac:dyDescent="0.55000000000000004">
      <c r="B279" s="394">
        <v>275</v>
      </c>
      <c r="C279" s="395"/>
      <c r="D279" s="395"/>
      <c r="E279" s="395"/>
      <c r="F279" s="395"/>
      <c r="G279" s="395"/>
      <c r="H279" s="396" t="s">
        <v>410</v>
      </c>
      <c r="I279" s="397"/>
      <c r="J279" s="320"/>
    </row>
    <row r="280" spans="2:10" x14ac:dyDescent="0.55000000000000004">
      <c r="B280" s="394">
        <v>276</v>
      </c>
      <c r="C280" s="395"/>
      <c r="D280" s="395"/>
      <c r="E280" s="395"/>
      <c r="F280" s="395"/>
      <c r="G280" s="395"/>
      <c r="H280" s="396" t="s">
        <v>410</v>
      </c>
      <c r="I280" s="397"/>
      <c r="J280" s="320"/>
    </row>
    <row r="281" spans="2:10" x14ac:dyDescent="0.55000000000000004">
      <c r="B281" s="394">
        <v>277</v>
      </c>
      <c r="C281" s="395"/>
      <c r="D281" s="395"/>
      <c r="E281" s="395"/>
      <c r="F281" s="395"/>
      <c r="G281" s="395"/>
      <c r="H281" s="396" t="s">
        <v>410</v>
      </c>
      <c r="I281" s="397"/>
      <c r="J281" s="320"/>
    </row>
    <row r="282" spans="2:10" x14ac:dyDescent="0.55000000000000004">
      <c r="B282" s="394">
        <v>278</v>
      </c>
      <c r="C282" s="395"/>
      <c r="D282" s="395"/>
      <c r="E282" s="395"/>
      <c r="F282" s="395"/>
      <c r="G282" s="395"/>
      <c r="H282" s="396" t="s">
        <v>410</v>
      </c>
      <c r="I282" s="397"/>
      <c r="J282" s="320"/>
    </row>
    <row r="283" spans="2:10" x14ac:dyDescent="0.55000000000000004">
      <c r="B283" s="394">
        <v>279</v>
      </c>
      <c r="C283" s="395"/>
      <c r="D283" s="395"/>
      <c r="E283" s="395"/>
      <c r="F283" s="395"/>
      <c r="G283" s="395"/>
      <c r="H283" s="396" t="s">
        <v>410</v>
      </c>
      <c r="I283" s="397"/>
      <c r="J283" s="320"/>
    </row>
    <row r="284" spans="2:10" x14ac:dyDescent="0.55000000000000004">
      <c r="B284" s="394">
        <v>280</v>
      </c>
      <c r="C284" s="395"/>
      <c r="D284" s="395"/>
      <c r="E284" s="395"/>
      <c r="F284" s="395"/>
      <c r="G284" s="395"/>
      <c r="H284" s="396" t="s">
        <v>410</v>
      </c>
      <c r="I284" s="397"/>
      <c r="J284" s="320"/>
    </row>
    <row r="285" spans="2:10" x14ac:dyDescent="0.55000000000000004">
      <c r="B285" s="394">
        <v>281</v>
      </c>
      <c r="C285" s="395"/>
      <c r="D285" s="395"/>
      <c r="E285" s="395"/>
      <c r="F285" s="395"/>
      <c r="G285" s="395"/>
      <c r="H285" s="396" t="s">
        <v>410</v>
      </c>
      <c r="I285" s="397"/>
      <c r="J285" s="320"/>
    </row>
    <row r="286" spans="2:10" x14ac:dyDescent="0.55000000000000004">
      <c r="B286" s="394">
        <v>282</v>
      </c>
      <c r="C286" s="395"/>
      <c r="D286" s="395"/>
      <c r="E286" s="395"/>
      <c r="F286" s="395"/>
      <c r="G286" s="395"/>
      <c r="H286" s="396" t="s">
        <v>410</v>
      </c>
      <c r="I286" s="397"/>
      <c r="J286" s="320"/>
    </row>
    <row r="287" spans="2:10" x14ac:dyDescent="0.55000000000000004">
      <c r="B287" s="394">
        <v>283</v>
      </c>
      <c r="C287" s="395"/>
      <c r="D287" s="395"/>
      <c r="E287" s="395"/>
      <c r="F287" s="395"/>
      <c r="G287" s="395"/>
      <c r="H287" s="396" t="s">
        <v>410</v>
      </c>
      <c r="I287" s="397"/>
      <c r="J287" s="320"/>
    </row>
    <row r="288" spans="2:10" x14ac:dyDescent="0.55000000000000004">
      <c r="B288" s="394">
        <v>284</v>
      </c>
      <c r="C288" s="395"/>
      <c r="D288" s="395"/>
      <c r="E288" s="395"/>
      <c r="F288" s="395"/>
      <c r="G288" s="395"/>
      <c r="H288" s="396" t="s">
        <v>410</v>
      </c>
      <c r="I288" s="397"/>
      <c r="J288" s="320"/>
    </row>
    <row r="289" spans="2:10" x14ac:dyDescent="0.55000000000000004">
      <c r="B289" s="394">
        <v>285</v>
      </c>
      <c r="C289" s="395"/>
      <c r="D289" s="395"/>
      <c r="E289" s="395"/>
      <c r="F289" s="395"/>
      <c r="G289" s="395"/>
      <c r="H289" s="396" t="s">
        <v>410</v>
      </c>
      <c r="I289" s="397"/>
      <c r="J289" s="320"/>
    </row>
    <row r="290" spans="2:10" x14ac:dyDescent="0.55000000000000004">
      <c r="B290" s="394">
        <v>286</v>
      </c>
      <c r="C290" s="395"/>
      <c r="D290" s="395"/>
      <c r="E290" s="395"/>
      <c r="F290" s="395"/>
      <c r="G290" s="395"/>
      <c r="H290" s="396" t="s">
        <v>410</v>
      </c>
      <c r="I290" s="397"/>
      <c r="J290" s="320"/>
    </row>
    <row r="291" spans="2:10" x14ac:dyDescent="0.55000000000000004">
      <c r="B291" s="394">
        <v>287</v>
      </c>
      <c r="C291" s="395"/>
      <c r="D291" s="395"/>
      <c r="E291" s="395"/>
      <c r="F291" s="395"/>
      <c r="G291" s="395"/>
      <c r="H291" s="396" t="s">
        <v>410</v>
      </c>
      <c r="I291" s="397"/>
      <c r="J291" s="320"/>
    </row>
    <row r="292" spans="2:10" x14ac:dyDescent="0.55000000000000004">
      <c r="B292" s="394">
        <v>288</v>
      </c>
      <c r="C292" s="395"/>
      <c r="D292" s="395"/>
      <c r="E292" s="395"/>
      <c r="F292" s="395"/>
      <c r="G292" s="395"/>
      <c r="H292" s="396" t="s">
        <v>410</v>
      </c>
      <c r="I292" s="397"/>
      <c r="J292" s="320"/>
    </row>
    <row r="293" spans="2:10" x14ac:dyDescent="0.55000000000000004">
      <c r="B293" s="394">
        <v>289</v>
      </c>
      <c r="C293" s="395"/>
      <c r="D293" s="395"/>
      <c r="E293" s="395"/>
      <c r="F293" s="395"/>
      <c r="G293" s="395"/>
      <c r="H293" s="396" t="s">
        <v>410</v>
      </c>
      <c r="I293" s="397"/>
      <c r="J293" s="320"/>
    </row>
    <row r="294" spans="2:10" x14ac:dyDescent="0.55000000000000004">
      <c r="B294" s="394">
        <v>290</v>
      </c>
      <c r="C294" s="395"/>
      <c r="D294" s="395"/>
      <c r="E294" s="395"/>
      <c r="F294" s="395"/>
      <c r="G294" s="395"/>
      <c r="H294" s="396" t="s">
        <v>410</v>
      </c>
      <c r="I294" s="397"/>
      <c r="J294" s="320"/>
    </row>
    <row r="295" spans="2:10" x14ac:dyDescent="0.55000000000000004">
      <c r="B295" s="394">
        <v>291</v>
      </c>
      <c r="C295" s="395"/>
      <c r="D295" s="395"/>
      <c r="E295" s="395"/>
      <c r="F295" s="395"/>
      <c r="G295" s="395"/>
      <c r="H295" s="396" t="s">
        <v>410</v>
      </c>
      <c r="I295" s="397"/>
      <c r="J295" s="320"/>
    </row>
    <row r="296" spans="2:10" x14ac:dyDescent="0.55000000000000004">
      <c r="B296" s="394">
        <v>292</v>
      </c>
      <c r="C296" s="395"/>
      <c r="D296" s="395"/>
      <c r="E296" s="395"/>
      <c r="F296" s="395"/>
      <c r="G296" s="395"/>
      <c r="H296" s="396" t="s">
        <v>410</v>
      </c>
      <c r="I296" s="397"/>
      <c r="J296" s="320"/>
    </row>
    <row r="297" spans="2:10" x14ac:dyDescent="0.55000000000000004">
      <c r="B297" s="394">
        <v>293</v>
      </c>
      <c r="C297" s="395"/>
      <c r="D297" s="395"/>
      <c r="E297" s="395"/>
      <c r="F297" s="395"/>
      <c r="G297" s="395"/>
      <c r="H297" s="396" t="s">
        <v>410</v>
      </c>
      <c r="I297" s="397"/>
      <c r="J297" s="320"/>
    </row>
    <row r="298" spans="2:10" x14ac:dyDescent="0.55000000000000004">
      <c r="B298" s="394">
        <v>294</v>
      </c>
      <c r="C298" s="395"/>
      <c r="D298" s="395"/>
      <c r="E298" s="395"/>
      <c r="F298" s="395"/>
      <c r="G298" s="395"/>
      <c r="H298" s="396" t="s">
        <v>410</v>
      </c>
      <c r="I298" s="397"/>
      <c r="J298" s="320"/>
    </row>
    <row r="299" spans="2:10" x14ac:dyDescent="0.55000000000000004">
      <c r="B299" s="394">
        <v>295</v>
      </c>
      <c r="C299" s="395"/>
      <c r="D299" s="395"/>
      <c r="E299" s="395"/>
      <c r="F299" s="395"/>
      <c r="G299" s="395"/>
      <c r="H299" s="396" t="s">
        <v>410</v>
      </c>
      <c r="I299" s="397"/>
      <c r="J299" s="320"/>
    </row>
    <row r="300" spans="2:10" x14ac:dyDescent="0.55000000000000004">
      <c r="B300" s="394">
        <v>296</v>
      </c>
      <c r="C300" s="395"/>
      <c r="D300" s="395"/>
      <c r="E300" s="395"/>
      <c r="F300" s="395"/>
      <c r="G300" s="395"/>
      <c r="H300" s="396" t="s">
        <v>410</v>
      </c>
      <c r="I300" s="397"/>
      <c r="J300" s="320"/>
    </row>
    <row r="301" spans="2:10" x14ac:dyDescent="0.55000000000000004">
      <c r="B301" s="394">
        <v>297</v>
      </c>
      <c r="C301" s="395"/>
      <c r="D301" s="395"/>
      <c r="E301" s="395"/>
      <c r="F301" s="395"/>
      <c r="G301" s="395"/>
      <c r="H301" s="396" t="s">
        <v>410</v>
      </c>
      <c r="I301" s="397"/>
      <c r="J301" s="320"/>
    </row>
    <row r="302" spans="2:10" x14ac:dyDescent="0.55000000000000004">
      <c r="B302" s="394">
        <v>298</v>
      </c>
      <c r="C302" s="395"/>
      <c r="D302" s="395"/>
      <c r="E302" s="395"/>
      <c r="F302" s="395"/>
      <c r="G302" s="395"/>
      <c r="H302" s="396" t="s">
        <v>410</v>
      </c>
      <c r="I302" s="397"/>
      <c r="J302" s="320"/>
    </row>
    <row r="303" spans="2:10" x14ac:dyDescent="0.55000000000000004">
      <c r="B303" s="394">
        <v>299</v>
      </c>
      <c r="C303" s="395"/>
      <c r="D303" s="395"/>
      <c r="E303" s="395"/>
      <c r="F303" s="395"/>
      <c r="G303" s="395"/>
      <c r="H303" s="396" t="s">
        <v>410</v>
      </c>
      <c r="I303" s="397"/>
      <c r="J303" s="320"/>
    </row>
    <row r="304" spans="2:10" x14ac:dyDescent="0.55000000000000004">
      <c r="B304" s="394">
        <v>300</v>
      </c>
      <c r="C304" s="395"/>
      <c r="D304" s="395"/>
      <c r="E304" s="395"/>
      <c r="F304" s="395"/>
      <c r="G304" s="395"/>
      <c r="H304" s="396" t="s">
        <v>410</v>
      </c>
      <c r="I304" s="397"/>
      <c r="J304" s="320"/>
    </row>
    <row r="305" spans="2:10" x14ac:dyDescent="0.55000000000000004">
      <c r="B305" s="394">
        <v>301</v>
      </c>
      <c r="C305" s="395"/>
      <c r="D305" s="395"/>
      <c r="E305" s="395"/>
      <c r="F305" s="395"/>
      <c r="G305" s="395"/>
      <c r="H305" s="396" t="s">
        <v>410</v>
      </c>
      <c r="I305" s="397"/>
      <c r="J305" s="320"/>
    </row>
    <row r="306" spans="2:10" x14ac:dyDescent="0.55000000000000004">
      <c r="B306" s="394">
        <v>302</v>
      </c>
      <c r="C306" s="395"/>
      <c r="D306" s="395"/>
      <c r="E306" s="395"/>
      <c r="F306" s="395"/>
      <c r="G306" s="395"/>
      <c r="H306" s="396" t="s">
        <v>410</v>
      </c>
      <c r="I306" s="397"/>
      <c r="J306" s="320"/>
    </row>
    <row r="307" spans="2:10" x14ac:dyDescent="0.55000000000000004">
      <c r="B307" s="394">
        <v>303</v>
      </c>
      <c r="C307" s="395"/>
      <c r="D307" s="395"/>
      <c r="E307" s="395"/>
      <c r="F307" s="395"/>
      <c r="G307" s="395"/>
      <c r="H307" s="396" t="s">
        <v>410</v>
      </c>
      <c r="I307" s="397"/>
      <c r="J307" s="320"/>
    </row>
    <row r="308" spans="2:10" x14ac:dyDescent="0.55000000000000004">
      <c r="B308" s="394">
        <v>304</v>
      </c>
      <c r="C308" s="395"/>
      <c r="D308" s="395"/>
      <c r="E308" s="395"/>
      <c r="F308" s="395"/>
      <c r="G308" s="395"/>
      <c r="H308" s="396" t="s">
        <v>410</v>
      </c>
      <c r="I308" s="397"/>
      <c r="J308" s="320"/>
    </row>
    <row r="309" spans="2:10" x14ac:dyDescent="0.55000000000000004">
      <c r="B309" s="394">
        <v>305</v>
      </c>
      <c r="C309" s="395"/>
      <c r="D309" s="395"/>
      <c r="E309" s="395"/>
      <c r="F309" s="395"/>
      <c r="G309" s="395"/>
      <c r="H309" s="396" t="s">
        <v>410</v>
      </c>
      <c r="I309" s="397"/>
      <c r="J309" s="320"/>
    </row>
    <row r="310" spans="2:10" x14ac:dyDescent="0.55000000000000004">
      <c r="B310" s="394">
        <v>306</v>
      </c>
      <c r="C310" s="395"/>
      <c r="D310" s="395"/>
      <c r="E310" s="395"/>
      <c r="F310" s="395"/>
      <c r="G310" s="395"/>
      <c r="H310" s="396" t="s">
        <v>410</v>
      </c>
      <c r="I310" s="397"/>
      <c r="J310" s="320"/>
    </row>
    <row r="311" spans="2:10" x14ac:dyDescent="0.55000000000000004">
      <c r="B311" s="394">
        <v>307</v>
      </c>
      <c r="C311" s="395"/>
      <c r="D311" s="395"/>
      <c r="E311" s="395"/>
      <c r="F311" s="395"/>
      <c r="G311" s="395"/>
      <c r="H311" s="396" t="s">
        <v>410</v>
      </c>
      <c r="I311" s="397"/>
      <c r="J311" s="320"/>
    </row>
    <row r="312" spans="2:10" x14ac:dyDescent="0.55000000000000004">
      <c r="B312" s="394">
        <v>308</v>
      </c>
      <c r="C312" s="395"/>
      <c r="D312" s="395"/>
      <c r="E312" s="395"/>
      <c r="F312" s="395"/>
      <c r="G312" s="395"/>
      <c r="H312" s="396" t="s">
        <v>410</v>
      </c>
      <c r="I312" s="397"/>
      <c r="J312" s="320"/>
    </row>
    <row r="313" spans="2:10" x14ac:dyDescent="0.55000000000000004">
      <c r="B313" s="394">
        <v>309</v>
      </c>
      <c r="C313" s="395"/>
      <c r="D313" s="395"/>
      <c r="E313" s="395"/>
      <c r="F313" s="395"/>
      <c r="G313" s="395"/>
      <c r="H313" s="396" t="s">
        <v>410</v>
      </c>
      <c r="I313" s="397"/>
      <c r="J313" s="320"/>
    </row>
    <row r="314" spans="2:10" x14ac:dyDescent="0.55000000000000004">
      <c r="B314" s="394">
        <v>310</v>
      </c>
      <c r="C314" s="395"/>
      <c r="D314" s="395"/>
      <c r="E314" s="395"/>
      <c r="F314" s="395"/>
      <c r="G314" s="395"/>
      <c r="H314" s="396" t="s">
        <v>410</v>
      </c>
      <c r="I314" s="397"/>
      <c r="J314" s="320"/>
    </row>
    <row r="315" spans="2:10" x14ac:dyDescent="0.55000000000000004">
      <c r="B315" s="394">
        <v>311</v>
      </c>
      <c r="C315" s="395"/>
      <c r="D315" s="395"/>
      <c r="E315" s="395"/>
      <c r="F315" s="395"/>
      <c r="G315" s="395"/>
      <c r="H315" s="396" t="s">
        <v>410</v>
      </c>
      <c r="I315" s="397"/>
      <c r="J315" s="320"/>
    </row>
    <row r="316" spans="2:10" x14ac:dyDescent="0.55000000000000004">
      <c r="B316" s="394">
        <v>312</v>
      </c>
      <c r="C316" s="395"/>
      <c r="D316" s="395"/>
      <c r="E316" s="395"/>
      <c r="F316" s="395"/>
      <c r="G316" s="395"/>
      <c r="H316" s="396" t="s">
        <v>410</v>
      </c>
      <c r="I316" s="397"/>
      <c r="J316" s="320"/>
    </row>
    <row r="317" spans="2:10" x14ac:dyDescent="0.55000000000000004">
      <c r="B317" s="394">
        <v>313</v>
      </c>
      <c r="C317" s="395"/>
      <c r="D317" s="395"/>
      <c r="E317" s="395"/>
      <c r="F317" s="395"/>
      <c r="G317" s="395"/>
      <c r="H317" s="396" t="s">
        <v>410</v>
      </c>
      <c r="I317" s="397"/>
      <c r="J317" s="320"/>
    </row>
    <row r="318" spans="2:10" x14ac:dyDescent="0.55000000000000004">
      <c r="B318" s="394">
        <v>314</v>
      </c>
      <c r="C318" s="395"/>
      <c r="D318" s="395"/>
      <c r="E318" s="395"/>
      <c r="F318" s="395"/>
      <c r="G318" s="395"/>
      <c r="H318" s="396" t="s">
        <v>410</v>
      </c>
      <c r="I318" s="397"/>
      <c r="J318" s="320"/>
    </row>
    <row r="319" spans="2:10" x14ac:dyDescent="0.55000000000000004">
      <c r="B319" s="394">
        <v>315</v>
      </c>
      <c r="C319" s="395"/>
      <c r="D319" s="395"/>
      <c r="E319" s="395"/>
      <c r="F319" s="395"/>
      <c r="G319" s="395"/>
      <c r="H319" s="396" t="s">
        <v>410</v>
      </c>
      <c r="I319" s="397"/>
      <c r="J319" s="320"/>
    </row>
    <row r="320" spans="2:10" x14ac:dyDescent="0.55000000000000004">
      <c r="B320" s="394">
        <v>316</v>
      </c>
      <c r="C320" s="395"/>
      <c r="D320" s="395"/>
      <c r="E320" s="395"/>
      <c r="F320" s="395"/>
      <c r="G320" s="395"/>
      <c r="H320" s="396" t="s">
        <v>410</v>
      </c>
      <c r="I320" s="397"/>
      <c r="J320" s="320"/>
    </row>
    <row r="321" spans="2:10" x14ac:dyDescent="0.55000000000000004">
      <c r="B321" s="394">
        <v>317</v>
      </c>
      <c r="C321" s="395"/>
      <c r="D321" s="395"/>
      <c r="E321" s="395"/>
      <c r="F321" s="395"/>
      <c r="G321" s="395"/>
      <c r="H321" s="396" t="s">
        <v>410</v>
      </c>
      <c r="I321" s="397"/>
      <c r="J321" s="320"/>
    </row>
    <row r="322" spans="2:10" x14ac:dyDescent="0.55000000000000004">
      <c r="B322" s="394">
        <v>318</v>
      </c>
      <c r="C322" s="395"/>
      <c r="D322" s="395"/>
      <c r="E322" s="395"/>
      <c r="F322" s="395"/>
      <c r="G322" s="395"/>
      <c r="H322" s="396" t="s">
        <v>410</v>
      </c>
      <c r="I322" s="397"/>
      <c r="J322" s="320"/>
    </row>
    <row r="323" spans="2:10" x14ac:dyDescent="0.55000000000000004">
      <c r="B323" s="394">
        <v>319</v>
      </c>
      <c r="C323" s="395"/>
      <c r="D323" s="395"/>
      <c r="E323" s="395"/>
      <c r="F323" s="395"/>
      <c r="G323" s="395"/>
      <c r="H323" s="396" t="s">
        <v>410</v>
      </c>
      <c r="I323" s="397"/>
      <c r="J323" s="320"/>
    </row>
    <row r="324" spans="2:10" x14ac:dyDescent="0.55000000000000004">
      <c r="B324" s="394">
        <v>320</v>
      </c>
      <c r="C324" s="395"/>
      <c r="D324" s="395"/>
      <c r="E324" s="395"/>
      <c r="F324" s="395"/>
      <c r="G324" s="395"/>
      <c r="H324" s="396" t="s">
        <v>410</v>
      </c>
      <c r="I324" s="397"/>
      <c r="J324" s="320"/>
    </row>
    <row r="325" spans="2:10" x14ac:dyDescent="0.55000000000000004">
      <c r="B325" s="394">
        <v>321</v>
      </c>
      <c r="C325" s="395"/>
      <c r="D325" s="395"/>
      <c r="E325" s="395"/>
      <c r="F325" s="395"/>
      <c r="G325" s="395"/>
      <c r="H325" s="396" t="s">
        <v>410</v>
      </c>
      <c r="I325" s="397"/>
      <c r="J325" s="320"/>
    </row>
    <row r="326" spans="2:10" x14ac:dyDescent="0.55000000000000004">
      <c r="B326" s="394">
        <v>322</v>
      </c>
      <c r="C326" s="395"/>
      <c r="D326" s="395"/>
      <c r="E326" s="395"/>
      <c r="F326" s="395"/>
      <c r="G326" s="395"/>
      <c r="H326" s="396" t="s">
        <v>410</v>
      </c>
      <c r="I326" s="397"/>
      <c r="J326" s="320"/>
    </row>
    <row r="327" spans="2:10" x14ac:dyDescent="0.55000000000000004">
      <c r="B327" s="394">
        <v>323</v>
      </c>
      <c r="C327" s="395"/>
      <c r="D327" s="395"/>
      <c r="E327" s="395"/>
      <c r="F327" s="395"/>
      <c r="G327" s="395"/>
      <c r="H327" s="396" t="s">
        <v>410</v>
      </c>
      <c r="I327" s="397"/>
      <c r="J327" s="320"/>
    </row>
    <row r="328" spans="2:10" x14ac:dyDescent="0.55000000000000004">
      <c r="B328" s="394">
        <v>324</v>
      </c>
      <c r="C328" s="395"/>
      <c r="D328" s="395"/>
      <c r="E328" s="395"/>
      <c r="F328" s="395"/>
      <c r="G328" s="395"/>
      <c r="H328" s="396" t="s">
        <v>410</v>
      </c>
      <c r="I328" s="397"/>
      <c r="J328" s="320"/>
    </row>
    <row r="329" spans="2:10" x14ac:dyDescent="0.55000000000000004">
      <c r="B329" s="394">
        <v>325</v>
      </c>
      <c r="C329" s="395"/>
      <c r="D329" s="395"/>
      <c r="E329" s="395"/>
      <c r="F329" s="395"/>
      <c r="G329" s="395"/>
      <c r="H329" s="396" t="s">
        <v>410</v>
      </c>
      <c r="I329" s="397"/>
      <c r="J329" s="320"/>
    </row>
    <row r="330" spans="2:10" x14ac:dyDescent="0.55000000000000004">
      <c r="B330" s="394">
        <v>326</v>
      </c>
      <c r="C330" s="395"/>
      <c r="D330" s="395"/>
      <c r="E330" s="395"/>
      <c r="F330" s="395"/>
      <c r="G330" s="395"/>
      <c r="H330" s="396" t="s">
        <v>410</v>
      </c>
      <c r="I330" s="397"/>
      <c r="J330" s="320"/>
    </row>
    <row r="331" spans="2:10" x14ac:dyDescent="0.55000000000000004">
      <c r="B331" s="394">
        <v>327</v>
      </c>
      <c r="C331" s="395"/>
      <c r="D331" s="395"/>
      <c r="E331" s="395"/>
      <c r="F331" s="395"/>
      <c r="G331" s="395"/>
      <c r="H331" s="396" t="s">
        <v>410</v>
      </c>
      <c r="I331" s="397"/>
      <c r="J331" s="320"/>
    </row>
    <row r="332" spans="2:10" x14ac:dyDescent="0.55000000000000004">
      <c r="B332" s="394">
        <v>328</v>
      </c>
      <c r="C332" s="395"/>
      <c r="D332" s="395"/>
      <c r="E332" s="395"/>
      <c r="F332" s="395"/>
      <c r="G332" s="395"/>
      <c r="H332" s="396" t="s">
        <v>410</v>
      </c>
      <c r="I332" s="397"/>
      <c r="J332" s="320"/>
    </row>
    <row r="333" spans="2:10" x14ac:dyDescent="0.55000000000000004">
      <c r="B333" s="394">
        <v>329</v>
      </c>
      <c r="C333" s="395"/>
      <c r="D333" s="395"/>
      <c r="E333" s="395"/>
      <c r="F333" s="395"/>
      <c r="G333" s="395"/>
      <c r="H333" s="396" t="s">
        <v>410</v>
      </c>
      <c r="I333" s="397"/>
      <c r="J333" s="320"/>
    </row>
    <row r="334" spans="2:10" x14ac:dyDescent="0.55000000000000004">
      <c r="B334" s="394">
        <v>330</v>
      </c>
      <c r="C334" s="395"/>
      <c r="D334" s="395"/>
      <c r="E334" s="395"/>
      <c r="F334" s="395"/>
      <c r="G334" s="395"/>
      <c r="H334" s="396" t="s">
        <v>410</v>
      </c>
      <c r="I334" s="397"/>
      <c r="J334" s="320"/>
    </row>
    <row r="335" spans="2:10" x14ac:dyDescent="0.55000000000000004">
      <c r="B335" s="394">
        <v>331</v>
      </c>
      <c r="C335" s="395"/>
      <c r="D335" s="395"/>
      <c r="E335" s="395"/>
      <c r="F335" s="395"/>
      <c r="G335" s="395"/>
      <c r="H335" s="396" t="s">
        <v>410</v>
      </c>
      <c r="I335" s="397"/>
      <c r="J335" s="320"/>
    </row>
    <row r="336" spans="2:10" x14ac:dyDescent="0.55000000000000004">
      <c r="B336" s="394">
        <v>332</v>
      </c>
      <c r="C336" s="395"/>
      <c r="D336" s="395"/>
      <c r="E336" s="395"/>
      <c r="F336" s="395"/>
      <c r="G336" s="395"/>
      <c r="H336" s="396" t="s">
        <v>410</v>
      </c>
      <c r="I336" s="397"/>
      <c r="J336" s="320"/>
    </row>
    <row r="337" spans="2:10" x14ac:dyDescent="0.55000000000000004">
      <c r="B337" s="394">
        <v>333</v>
      </c>
      <c r="C337" s="395"/>
      <c r="D337" s="395"/>
      <c r="E337" s="395"/>
      <c r="F337" s="395"/>
      <c r="G337" s="395"/>
      <c r="H337" s="396" t="s">
        <v>410</v>
      </c>
      <c r="I337" s="397"/>
      <c r="J337" s="320"/>
    </row>
    <row r="338" spans="2:10" x14ac:dyDescent="0.55000000000000004">
      <c r="B338" s="394">
        <v>334</v>
      </c>
      <c r="C338" s="395"/>
      <c r="D338" s="395"/>
      <c r="E338" s="395"/>
      <c r="F338" s="395"/>
      <c r="G338" s="395"/>
      <c r="H338" s="396" t="s">
        <v>410</v>
      </c>
      <c r="I338" s="397"/>
      <c r="J338" s="320"/>
    </row>
    <row r="339" spans="2:10" x14ac:dyDescent="0.55000000000000004">
      <c r="B339" s="394">
        <v>335</v>
      </c>
      <c r="C339" s="395"/>
      <c r="D339" s="395"/>
      <c r="E339" s="395"/>
      <c r="F339" s="395"/>
      <c r="G339" s="395"/>
      <c r="H339" s="396" t="s">
        <v>410</v>
      </c>
      <c r="I339" s="397"/>
      <c r="J339" s="320"/>
    </row>
    <row r="340" spans="2:10" x14ac:dyDescent="0.55000000000000004">
      <c r="B340" s="394">
        <v>336</v>
      </c>
      <c r="C340" s="395"/>
      <c r="D340" s="395"/>
      <c r="E340" s="395"/>
      <c r="F340" s="395"/>
      <c r="G340" s="395"/>
      <c r="H340" s="396" t="s">
        <v>410</v>
      </c>
      <c r="I340" s="397"/>
      <c r="J340" s="320"/>
    </row>
    <row r="341" spans="2:10" x14ac:dyDescent="0.55000000000000004">
      <c r="B341" s="394">
        <v>337</v>
      </c>
      <c r="C341" s="395"/>
      <c r="D341" s="395"/>
      <c r="E341" s="395"/>
      <c r="F341" s="395"/>
      <c r="G341" s="395"/>
      <c r="H341" s="396" t="s">
        <v>410</v>
      </c>
      <c r="I341" s="397"/>
      <c r="J341" s="320"/>
    </row>
    <row r="342" spans="2:10" x14ac:dyDescent="0.55000000000000004">
      <c r="B342" s="394">
        <v>338</v>
      </c>
      <c r="C342" s="395"/>
      <c r="D342" s="395"/>
      <c r="E342" s="395"/>
      <c r="F342" s="395"/>
      <c r="G342" s="395"/>
      <c r="H342" s="396" t="s">
        <v>410</v>
      </c>
      <c r="I342" s="397"/>
      <c r="J342" s="320"/>
    </row>
    <row r="343" spans="2:10" x14ac:dyDescent="0.55000000000000004">
      <c r="B343" s="394">
        <v>339</v>
      </c>
      <c r="C343" s="395"/>
      <c r="D343" s="395"/>
      <c r="E343" s="395"/>
      <c r="F343" s="395"/>
      <c r="G343" s="395"/>
      <c r="H343" s="396" t="s">
        <v>410</v>
      </c>
      <c r="I343" s="397"/>
      <c r="J343" s="320"/>
    </row>
    <row r="344" spans="2:10" x14ac:dyDescent="0.55000000000000004">
      <c r="B344" s="394">
        <v>340</v>
      </c>
      <c r="C344" s="395"/>
      <c r="D344" s="395"/>
      <c r="E344" s="395"/>
      <c r="F344" s="395"/>
      <c r="G344" s="395"/>
      <c r="H344" s="396" t="s">
        <v>410</v>
      </c>
      <c r="I344" s="397"/>
      <c r="J344" s="320"/>
    </row>
    <row r="345" spans="2:10" x14ac:dyDescent="0.55000000000000004">
      <c r="B345" s="394">
        <v>341</v>
      </c>
      <c r="C345" s="395"/>
      <c r="D345" s="395"/>
      <c r="E345" s="395"/>
      <c r="F345" s="395"/>
      <c r="G345" s="395"/>
      <c r="H345" s="396" t="s">
        <v>410</v>
      </c>
      <c r="I345" s="397"/>
      <c r="J345" s="320"/>
    </row>
    <row r="346" spans="2:10" x14ac:dyDescent="0.55000000000000004">
      <c r="B346" s="394">
        <v>342</v>
      </c>
      <c r="C346" s="395"/>
      <c r="D346" s="395"/>
      <c r="E346" s="395"/>
      <c r="F346" s="395"/>
      <c r="G346" s="395"/>
      <c r="H346" s="396" t="s">
        <v>410</v>
      </c>
      <c r="I346" s="397"/>
      <c r="J346" s="320"/>
    </row>
    <row r="347" spans="2:10" x14ac:dyDescent="0.55000000000000004">
      <c r="B347" s="394">
        <v>343</v>
      </c>
      <c r="C347" s="395"/>
      <c r="D347" s="395"/>
      <c r="E347" s="395"/>
      <c r="F347" s="395"/>
      <c r="G347" s="395"/>
      <c r="H347" s="396" t="s">
        <v>410</v>
      </c>
      <c r="I347" s="397"/>
      <c r="J347" s="320"/>
    </row>
    <row r="348" spans="2:10" x14ac:dyDescent="0.55000000000000004">
      <c r="B348" s="394">
        <v>344</v>
      </c>
      <c r="C348" s="395"/>
      <c r="D348" s="395"/>
      <c r="E348" s="395"/>
      <c r="F348" s="395"/>
      <c r="G348" s="395"/>
      <c r="H348" s="396" t="s">
        <v>410</v>
      </c>
      <c r="I348" s="397"/>
      <c r="J348" s="320"/>
    </row>
    <row r="349" spans="2:10" x14ac:dyDescent="0.55000000000000004">
      <c r="B349" s="394">
        <v>345</v>
      </c>
      <c r="C349" s="395"/>
      <c r="D349" s="395"/>
      <c r="E349" s="395"/>
      <c r="F349" s="395"/>
      <c r="G349" s="395"/>
      <c r="H349" s="396" t="s">
        <v>410</v>
      </c>
      <c r="I349" s="397"/>
      <c r="J349" s="320"/>
    </row>
    <row r="350" spans="2:10" x14ac:dyDescent="0.55000000000000004">
      <c r="B350" s="394">
        <v>346</v>
      </c>
      <c r="C350" s="395"/>
      <c r="D350" s="395"/>
      <c r="E350" s="395"/>
      <c r="F350" s="395"/>
      <c r="G350" s="395"/>
      <c r="H350" s="396" t="s">
        <v>410</v>
      </c>
      <c r="I350" s="397"/>
      <c r="J350" s="320"/>
    </row>
    <row r="351" spans="2:10" x14ac:dyDescent="0.55000000000000004">
      <c r="B351" s="394">
        <v>347</v>
      </c>
      <c r="C351" s="395"/>
      <c r="D351" s="395"/>
      <c r="E351" s="395"/>
      <c r="F351" s="395"/>
      <c r="G351" s="395"/>
      <c r="H351" s="396" t="s">
        <v>410</v>
      </c>
      <c r="I351" s="397"/>
      <c r="J351" s="320"/>
    </row>
    <row r="352" spans="2:10" x14ac:dyDescent="0.55000000000000004">
      <c r="B352" s="394">
        <v>348</v>
      </c>
      <c r="C352" s="395"/>
      <c r="D352" s="395"/>
      <c r="E352" s="395"/>
      <c r="F352" s="395"/>
      <c r="G352" s="395"/>
      <c r="H352" s="396" t="s">
        <v>410</v>
      </c>
      <c r="I352" s="397"/>
      <c r="J352" s="320"/>
    </row>
    <row r="353" spans="2:10" x14ac:dyDescent="0.55000000000000004">
      <c r="B353" s="394">
        <v>349</v>
      </c>
      <c r="C353" s="395"/>
      <c r="D353" s="395"/>
      <c r="E353" s="395"/>
      <c r="F353" s="395"/>
      <c r="G353" s="395"/>
      <c r="H353" s="396" t="s">
        <v>410</v>
      </c>
      <c r="I353" s="397"/>
      <c r="J353" s="320"/>
    </row>
    <row r="354" spans="2:10" x14ac:dyDescent="0.55000000000000004">
      <c r="B354" s="394">
        <v>350</v>
      </c>
      <c r="C354" s="395"/>
      <c r="D354" s="395"/>
      <c r="E354" s="395"/>
      <c r="F354" s="395"/>
      <c r="G354" s="395"/>
      <c r="H354" s="396" t="s">
        <v>410</v>
      </c>
      <c r="I354" s="397"/>
      <c r="J354" s="320"/>
    </row>
    <row r="355" spans="2:10" x14ac:dyDescent="0.55000000000000004">
      <c r="B355" s="394">
        <v>351</v>
      </c>
      <c r="C355" s="395"/>
      <c r="D355" s="395"/>
      <c r="E355" s="395"/>
      <c r="F355" s="395"/>
      <c r="G355" s="395"/>
      <c r="H355" s="396" t="s">
        <v>410</v>
      </c>
      <c r="I355" s="397"/>
      <c r="J355" s="320"/>
    </row>
    <row r="356" spans="2:10" x14ac:dyDescent="0.55000000000000004">
      <c r="B356" s="394">
        <v>352</v>
      </c>
      <c r="C356" s="395"/>
      <c r="D356" s="395"/>
      <c r="E356" s="395"/>
      <c r="F356" s="395"/>
      <c r="G356" s="395"/>
      <c r="H356" s="396" t="s">
        <v>410</v>
      </c>
      <c r="I356" s="397"/>
      <c r="J356" s="320"/>
    </row>
    <row r="357" spans="2:10" x14ac:dyDescent="0.55000000000000004">
      <c r="B357" s="394">
        <v>353</v>
      </c>
      <c r="C357" s="395"/>
      <c r="D357" s="395"/>
      <c r="E357" s="395"/>
      <c r="F357" s="395"/>
      <c r="G357" s="395"/>
      <c r="H357" s="396" t="s">
        <v>410</v>
      </c>
      <c r="I357" s="397"/>
      <c r="J357" s="320"/>
    </row>
    <row r="358" spans="2:10" x14ac:dyDescent="0.55000000000000004">
      <c r="B358" s="394">
        <v>354</v>
      </c>
      <c r="C358" s="395"/>
      <c r="D358" s="395"/>
      <c r="E358" s="395"/>
      <c r="F358" s="395"/>
      <c r="G358" s="395"/>
      <c r="H358" s="396" t="s">
        <v>410</v>
      </c>
      <c r="I358" s="397"/>
      <c r="J358" s="320"/>
    </row>
    <row r="359" spans="2:10" x14ac:dyDescent="0.55000000000000004">
      <c r="B359" s="394">
        <v>355</v>
      </c>
      <c r="C359" s="395"/>
      <c r="D359" s="395"/>
      <c r="E359" s="395"/>
      <c r="F359" s="395"/>
      <c r="G359" s="395"/>
      <c r="H359" s="396" t="s">
        <v>410</v>
      </c>
      <c r="I359" s="397"/>
      <c r="J359" s="320"/>
    </row>
    <row r="360" spans="2:10" x14ac:dyDescent="0.55000000000000004">
      <c r="B360" s="394">
        <v>356</v>
      </c>
      <c r="C360" s="395"/>
      <c r="D360" s="395"/>
      <c r="E360" s="395"/>
      <c r="F360" s="395"/>
      <c r="G360" s="395"/>
      <c r="H360" s="396" t="s">
        <v>410</v>
      </c>
      <c r="I360" s="397"/>
      <c r="J360" s="320"/>
    </row>
    <row r="361" spans="2:10" x14ac:dyDescent="0.55000000000000004">
      <c r="B361" s="394">
        <v>357</v>
      </c>
      <c r="C361" s="395"/>
      <c r="D361" s="395"/>
      <c r="E361" s="395"/>
      <c r="F361" s="395"/>
      <c r="G361" s="395"/>
      <c r="H361" s="396" t="s">
        <v>410</v>
      </c>
      <c r="I361" s="397"/>
      <c r="J361" s="320"/>
    </row>
    <row r="362" spans="2:10" x14ac:dyDescent="0.55000000000000004">
      <c r="B362" s="394">
        <v>358</v>
      </c>
      <c r="C362" s="395"/>
      <c r="D362" s="395"/>
      <c r="E362" s="395"/>
      <c r="F362" s="395"/>
      <c r="G362" s="395"/>
      <c r="H362" s="396" t="s">
        <v>410</v>
      </c>
      <c r="I362" s="397"/>
      <c r="J362" s="320"/>
    </row>
    <row r="363" spans="2:10" x14ac:dyDescent="0.55000000000000004">
      <c r="B363" s="394">
        <v>359</v>
      </c>
      <c r="C363" s="395"/>
      <c r="D363" s="395"/>
      <c r="E363" s="395"/>
      <c r="F363" s="395"/>
      <c r="G363" s="395"/>
      <c r="H363" s="396" t="s">
        <v>410</v>
      </c>
      <c r="I363" s="397"/>
      <c r="J363" s="320"/>
    </row>
    <row r="364" spans="2:10" x14ac:dyDescent="0.55000000000000004">
      <c r="B364" s="394">
        <v>360</v>
      </c>
      <c r="C364" s="395"/>
      <c r="D364" s="395"/>
      <c r="E364" s="395"/>
      <c r="F364" s="395"/>
      <c r="G364" s="395"/>
      <c r="H364" s="396" t="s">
        <v>410</v>
      </c>
      <c r="I364" s="397"/>
      <c r="J364" s="320"/>
    </row>
    <row r="365" spans="2:10" x14ac:dyDescent="0.55000000000000004">
      <c r="B365" s="394">
        <v>361</v>
      </c>
      <c r="C365" s="395"/>
      <c r="D365" s="395"/>
      <c r="E365" s="395"/>
      <c r="F365" s="395"/>
      <c r="G365" s="395"/>
      <c r="H365" s="396" t="s">
        <v>410</v>
      </c>
      <c r="I365" s="397"/>
      <c r="J365" s="320"/>
    </row>
    <row r="366" spans="2:10" x14ac:dyDescent="0.55000000000000004">
      <c r="B366" s="394">
        <v>362</v>
      </c>
      <c r="C366" s="395"/>
      <c r="D366" s="395"/>
      <c r="E366" s="395"/>
      <c r="F366" s="395"/>
      <c r="G366" s="395"/>
      <c r="H366" s="396" t="s">
        <v>410</v>
      </c>
      <c r="I366" s="397"/>
      <c r="J366" s="320"/>
    </row>
    <row r="367" spans="2:10" x14ac:dyDescent="0.55000000000000004">
      <c r="B367" s="394">
        <v>363</v>
      </c>
      <c r="C367" s="395"/>
      <c r="D367" s="395"/>
      <c r="E367" s="395"/>
      <c r="F367" s="395"/>
      <c r="G367" s="395"/>
      <c r="H367" s="396" t="s">
        <v>410</v>
      </c>
      <c r="I367" s="397"/>
      <c r="J367" s="320"/>
    </row>
    <row r="368" spans="2:10" x14ac:dyDescent="0.55000000000000004">
      <c r="B368" s="394">
        <v>364</v>
      </c>
      <c r="C368" s="395"/>
      <c r="D368" s="395"/>
      <c r="E368" s="395"/>
      <c r="F368" s="395"/>
      <c r="G368" s="395"/>
      <c r="H368" s="396" t="s">
        <v>410</v>
      </c>
      <c r="I368" s="397"/>
      <c r="J368" s="320"/>
    </row>
    <row r="369" spans="2:10" x14ac:dyDescent="0.55000000000000004">
      <c r="B369" s="394">
        <v>365</v>
      </c>
      <c r="C369" s="395"/>
      <c r="D369" s="395"/>
      <c r="E369" s="395"/>
      <c r="F369" s="395"/>
      <c r="G369" s="395"/>
      <c r="H369" s="396" t="s">
        <v>410</v>
      </c>
      <c r="I369" s="397"/>
      <c r="J369" s="320"/>
    </row>
    <row r="370" spans="2:10" x14ac:dyDescent="0.55000000000000004">
      <c r="B370" s="394">
        <v>366</v>
      </c>
      <c r="C370" s="395"/>
      <c r="D370" s="395"/>
      <c r="E370" s="395"/>
      <c r="F370" s="395"/>
      <c r="G370" s="395"/>
      <c r="H370" s="396" t="s">
        <v>410</v>
      </c>
      <c r="I370" s="397"/>
      <c r="J370" s="320"/>
    </row>
    <row r="371" spans="2:10" x14ac:dyDescent="0.55000000000000004">
      <c r="B371" s="394">
        <v>367</v>
      </c>
      <c r="C371" s="395"/>
      <c r="D371" s="395"/>
      <c r="E371" s="395"/>
      <c r="F371" s="395"/>
      <c r="G371" s="395"/>
      <c r="H371" s="396" t="s">
        <v>410</v>
      </c>
      <c r="I371" s="397"/>
      <c r="J371" s="320"/>
    </row>
    <row r="372" spans="2:10" x14ac:dyDescent="0.55000000000000004">
      <c r="B372" s="394">
        <v>368</v>
      </c>
      <c r="C372" s="395"/>
      <c r="D372" s="395"/>
      <c r="E372" s="395"/>
      <c r="F372" s="395"/>
      <c r="G372" s="395"/>
      <c r="H372" s="396" t="s">
        <v>410</v>
      </c>
      <c r="I372" s="397"/>
      <c r="J372" s="320"/>
    </row>
    <row r="373" spans="2:10" x14ac:dyDescent="0.55000000000000004">
      <c r="B373" s="394">
        <v>369</v>
      </c>
      <c r="C373" s="395"/>
      <c r="D373" s="395"/>
      <c r="E373" s="395"/>
      <c r="F373" s="395"/>
      <c r="G373" s="395"/>
      <c r="H373" s="396" t="s">
        <v>410</v>
      </c>
      <c r="I373" s="397"/>
      <c r="J373" s="320"/>
    </row>
    <row r="374" spans="2:10" x14ac:dyDescent="0.55000000000000004">
      <c r="B374" s="394">
        <v>370</v>
      </c>
      <c r="C374" s="395"/>
      <c r="D374" s="395"/>
      <c r="E374" s="395"/>
      <c r="F374" s="395"/>
      <c r="G374" s="395"/>
      <c r="H374" s="396" t="s">
        <v>410</v>
      </c>
      <c r="I374" s="397"/>
      <c r="J374" s="320"/>
    </row>
    <row r="375" spans="2:10" x14ac:dyDescent="0.55000000000000004">
      <c r="B375" s="394">
        <v>371</v>
      </c>
      <c r="C375" s="395"/>
      <c r="D375" s="395"/>
      <c r="E375" s="395"/>
      <c r="F375" s="395"/>
      <c r="G375" s="395"/>
      <c r="H375" s="396" t="s">
        <v>410</v>
      </c>
      <c r="I375" s="397"/>
      <c r="J375" s="320"/>
    </row>
    <row r="376" spans="2:10" x14ac:dyDescent="0.55000000000000004">
      <c r="B376" s="394">
        <v>372</v>
      </c>
      <c r="C376" s="395"/>
      <c r="D376" s="395"/>
      <c r="E376" s="395"/>
      <c r="F376" s="395"/>
      <c r="G376" s="395"/>
      <c r="H376" s="396" t="s">
        <v>410</v>
      </c>
      <c r="I376" s="397"/>
      <c r="J376" s="320"/>
    </row>
    <row r="377" spans="2:10" x14ac:dyDescent="0.55000000000000004">
      <c r="B377" s="394">
        <v>373</v>
      </c>
      <c r="C377" s="395"/>
      <c r="D377" s="395"/>
      <c r="E377" s="395"/>
      <c r="F377" s="395"/>
      <c r="G377" s="395"/>
      <c r="H377" s="396" t="s">
        <v>410</v>
      </c>
      <c r="I377" s="397"/>
      <c r="J377" s="320"/>
    </row>
    <row r="378" spans="2:10" x14ac:dyDescent="0.55000000000000004">
      <c r="B378" s="394">
        <v>374</v>
      </c>
      <c r="C378" s="395"/>
      <c r="D378" s="395"/>
      <c r="E378" s="395"/>
      <c r="F378" s="395"/>
      <c r="G378" s="395"/>
      <c r="H378" s="396" t="s">
        <v>410</v>
      </c>
      <c r="I378" s="397"/>
      <c r="J378" s="320"/>
    </row>
    <row r="379" spans="2:10" x14ac:dyDescent="0.55000000000000004">
      <c r="B379" s="394">
        <v>375</v>
      </c>
      <c r="C379" s="395"/>
      <c r="D379" s="395"/>
      <c r="E379" s="395"/>
      <c r="F379" s="395"/>
      <c r="G379" s="395"/>
      <c r="H379" s="396" t="s">
        <v>410</v>
      </c>
      <c r="I379" s="397"/>
      <c r="J379" s="320"/>
    </row>
    <row r="380" spans="2:10" x14ac:dyDescent="0.55000000000000004">
      <c r="B380" s="394">
        <v>376</v>
      </c>
      <c r="C380" s="395"/>
      <c r="D380" s="395"/>
      <c r="E380" s="395"/>
      <c r="F380" s="395"/>
      <c r="G380" s="395"/>
      <c r="H380" s="396" t="s">
        <v>410</v>
      </c>
      <c r="I380" s="397"/>
      <c r="J380" s="320"/>
    </row>
    <row r="381" spans="2:10" x14ac:dyDescent="0.55000000000000004">
      <c r="B381" s="394">
        <v>377</v>
      </c>
      <c r="C381" s="395"/>
      <c r="D381" s="395"/>
      <c r="E381" s="395"/>
      <c r="F381" s="395"/>
      <c r="G381" s="395"/>
      <c r="H381" s="396" t="s">
        <v>410</v>
      </c>
      <c r="I381" s="397"/>
      <c r="J381" s="320"/>
    </row>
    <row r="382" spans="2:10" x14ac:dyDescent="0.55000000000000004">
      <c r="B382" s="394">
        <v>378</v>
      </c>
      <c r="C382" s="395"/>
      <c r="D382" s="395"/>
      <c r="E382" s="395"/>
      <c r="F382" s="395"/>
      <c r="G382" s="395"/>
      <c r="H382" s="396" t="s">
        <v>410</v>
      </c>
      <c r="I382" s="397"/>
      <c r="J382" s="320"/>
    </row>
    <row r="383" spans="2:10" x14ac:dyDescent="0.55000000000000004">
      <c r="B383" s="394">
        <v>379</v>
      </c>
      <c r="C383" s="395"/>
      <c r="D383" s="395"/>
      <c r="E383" s="395"/>
      <c r="F383" s="395"/>
      <c r="G383" s="395"/>
      <c r="H383" s="396" t="s">
        <v>410</v>
      </c>
      <c r="I383" s="397"/>
      <c r="J383" s="320"/>
    </row>
    <row r="384" spans="2:10" x14ac:dyDescent="0.55000000000000004">
      <c r="B384" s="394">
        <v>380</v>
      </c>
      <c r="C384" s="395"/>
      <c r="D384" s="395"/>
      <c r="E384" s="395"/>
      <c r="F384" s="395"/>
      <c r="G384" s="395"/>
      <c r="H384" s="396" t="s">
        <v>410</v>
      </c>
      <c r="I384" s="397"/>
      <c r="J384" s="320"/>
    </row>
    <row r="385" spans="2:10" x14ac:dyDescent="0.55000000000000004">
      <c r="B385" s="394">
        <v>381</v>
      </c>
      <c r="C385" s="395"/>
      <c r="D385" s="395"/>
      <c r="E385" s="395"/>
      <c r="F385" s="395"/>
      <c r="G385" s="395"/>
      <c r="H385" s="396" t="s">
        <v>410</v>
      </c>
      <c r="I385" s="397"/>
      <c r="J385" s="320"/>
    </row>
    <row r="386" spans="2:10" x14ac:dyDescent="0.55000000000000004">
      <c r="B386" s="394">
        <v>382</v>
      </c>
      <c r="C386" s="395"/>
      <c r="D386" s="395"/>
      <c r="E386" s="395"/>
      <c r="F386" s="395"/>
      <c r="G386" s="395"/>
      <c r="H386" s="396" t="s">
        <v>410</v>
      </c>
      <c r="I386" s="397"/>
      <c r="J386" s="320"/>
    </row>
    <row r="387" spans="2:10" x14ac:dyDescent="0.55000000000000004">
      <c r="B387" s="394">
        <v>383</v>
      </c>
      <c r="C387" s="395"/>
      <c r="D387" s="395"/>
      <c r="E387" s="395"/>
      <c r="F387" s="395"/>
      <c r="G387" s="395"/>
      <c r="H387" s="396" t="s">
        <v>410</v>
      </c>
      <c r="I387" s="397"/>
      <c r="J387" s="320"/>
    </row>
    <row r="388" spans="2:10" x14ac:dyDescent="0.55000000000000004">
      <c r="B388" s="394">
        <v>384</v>
      </c>
      <c r="C388" s="395"/>
      <c r="D388" s="395"/>
      <c r="E388" s="395"/>
      <c r="F388" s="395"/>
      <c r="G388" s="395"/>
      <c r="H388" s="396" t="s">
        <v>410</v>
      </c>
      <c r="I388" s="397"/>
      <c r="J388" s="320"/>
    </row>
    <row r="389" spans="2:10" x14ac:dyDescent="0.55000000000000004">
      <c r="B389" s="394">
        <v>385</v>
      </c>
      <c r="C389" s="395"/>
      <c r="D389" s="395"/>
      <c r="E389" s="395"/>
      <c r="F389" s="395"/>
      <c r="G389" s="395"/>
      <c r="H389" s="396" t="s">
        <v>410</v>
      </c>
      <c r="I389" s="397"/>
      <c r="J389" s="320"/>
    </row>
    <row r="390" spans="2:10" x14ac:dyDescent="0.55000000000000004">
      <c r="B390" s="394">
        <v>386</v>
      </c>
      <c r="C390" s="395"/>
      <c r="D390" s="395"/>
      <c r="E390" s="395"/>
      <c r="F390" s="395"/>
      <c r="G390" s="395"/>
      <c r="H390" s="396" t="s">
        <v>410</v>
      </c>
      <c r="I390" s="397"/>
      <c r="J390" s="320"/>
    </row>
    <row r="391" spans="2:10" x14ac:dyDescent="0.55000000000000004">
      <c r="B391" s="394">
        <v>387</v>
      </c>
      <c r="C391" s="395"/>
      <c r="D391" s="395"/>
      <c r="E391" s="395"/>
      <c r="F391" s="395"/>
      <c r="G391" s="395"/>
      <c r="H391" s="396" t="s">
        <v>410</v>
      </c>
      <c r="I391" s="397"/>
      <c r="J391" s="320"/>
    </row>
    <row r="392" spans="2:10" x14ac:dyDescent="0.55000000000000004">
      <c r="B392" s="394">
        <v>388</v>
      </c>
      <c r="C392" s="395"/>
      <c r="D392" s="395"/>
      <c r="E392" s="395"/>
      <c r="F392" s="395"/>
      <c r="G392" s="395"/>
      <c r="H392" s="396" t="s">
        <v>410</v>
      </c>
      <c r="I392" s="397"/>
      <c r="J392" s="320"/>
    </row>
    <row r="393" spans="2:10" x14ac:dyDescent="0.55000000000000004">
      <c r="B393" s="394">
        <v>389</v>
      </c>
      <c r="C393" s="395"/>
      <c r="D393" s="395"/>
      <c r="E393" s="395"/>
      <c r="F393" s="395"/>
      <c r="G393" s="395"/>
      <c r="H393" s="396" t="s">
        <v>410</v>
      </c>
      <c r="I393" s="397"/>
      <c r="J393" s="320"/>
    </row>
    <row r="394" spans="2:10" x14ac:dyDescent="0.55000000000000004">
      <c r="B394" s="394">
        <v>390</v>
      </c>
      <c r="C394" s="395"/>
      <c r="D394" s="395"/>
      <c r="E394" s="395"/>
      <c r="F394" s="395"/>
      <c r="G394" s="395"/>
      <c r="H394" s="396" t="s">
        <v>410</v>
      </c>
      <c r="I394" s="397"/>
      <c r="J394" s="320"/>
    </row>
    <row r="395" spans="2:10" x14ac:dyDescent="0.55000000000000004">
      <c r="B395" s="394">
        <v>391</v>
      </c>
      <c r="C395" s="395"/>
      <c r="D395" s="395"/>
      <c r="E395" s="395"/>
      <c r="F395" s="395"/>
      <c r="G395" s="395"/>
      <c r="H395" s="396" t="s">
        <v>410</v>
      </c>
      <c r="I395" s="397"/>
      <c r="J395" s="320"/>
    </row>
    <row r="396" spans="2:10" x14ac:dyDescent="0.55000000000000004">
      <c r="B396" s="394">
        <v>392</v>
      </c>
      <c r="C396" s="395"/>
      <c r="D396" s="395"/>
      <c r="E396" s="395"/>
      <c r="F396" s="395"/>
      <c r="G396" s="395"/>
      <c r="H396" s="396" t="s">
        <v>410</v>
      </c>
      <c r="I396" s="397"/>
      <c r="J396" s="320"/>
    </row>
    <row r="397" spans="2:10" x14ac:dyDescent="0.55000000000000004">
      <c r="B397" s="394">
        <v>393</v>
      </c>
      <c r="C397" s="395"/>
      <c r="D397" s="395"/>
      <c r="E397" s="395"/>
      <c r="F397" s="395"/>
      <c r="G397" s="395"/>
      <c r="H397" s="396" t="s">
        <v>410</v>
      </c>
      <c r="I397" s="397"/>
      <c r="J397" s="320"/>
    </row>
    <row r="398" spans="2:10" x14ac:dyDescent="0.55000000000000004">
      <c r="B398" s="394">
        <v>394</v>
      </c>
      <c r="C398" s="395"/>
      <c r="D398" s="395"/>
      <c r="E398" s="395"/>
      <c r="F398" s="395"/>
      <c r="G398" s="395"/>
      <c r="H398" s="396" t="s">
        <v>410</v>
      </c>
      <c r="I398" s="397"/>
      <c r="J398" s="320"/>
    </row>
    <row r="399" spans="2:10" x14ac:dyDescent="0.55000000000000004">
      <c r="B399" s="394">
        <v>395</v>
      </c>
      <c r="C399" s="395"/>
      <c r="D399" s="395"/>
      <c r="E399" s="395"/>
      <c r="F399" s="395"/>
      <c r="G399" s="395"/>
      <c r="H399" s="396" t="s">
        <v>410</v>
      </c>
      <c r="I399" s="397"/>
      <c r="J399" s="320"/>
    </row>
    <row r="400" spans="2:10" x14ac:dyDescent="0.55000000000000004">
      <c r="B400" s="394">
        <v>396</v>
      </c>
      <c r="C400" s="395"/>
      <c r="D400" s="395"/>
      <c r="E400" s="395"/>
      <c r="F400" s="395"/>
      <c r="G400" s="395"/>
      <c r="H400" s="396" t="s">
        <v>410</v>
      </c>
      <c r="I400" s="397"/>
      <c r="J400" s="320"/>
    </row>
    <row r="401" spans="2:10" x14ac:dyDescent="0.55000000000000004">
      <c r="B401" s="394">
        <v>397</v>
      </c>
      <c r="C401" s="395"/>
      <c r="D401" s="395"/>
      <c r="E401" s="395"/>
      <c r="F401" s="395"/>
      <c r="G401" s="395"/>
      <c r="H401" s="396" t="s">
        <v>410</v>
      </c>
      <c r="I401" s="397"/>
      <c r="J401" s="320"/>
    </row>
    <row r="402" spans="2:10" x14ac:dyDescent="0.55000000000000004">
      <c r="B402" s="394">
        <v>398</v>
      </c>
      <c r="C402" s="395"/>
      <c r="D402" s="395"/>
      <c r="E402" s="395"/>
      <c r="F402" s="395"/>
      <c r="G402" s="395"/>
      <c r="H402" s="396" t="s">
        <v>410</v>
      </c>
      <c r="I402" s="397"/>
      <c r="J402" s="320"/>
    </row>
    <row r="403" spans="2:10" x14ac:dyDescent="0.55000000000000004">
      <c r="B403" s="394">
        <v>399</v>
      </c>
      <c r="C403" s="395"/>
      <c r="D403" s="395"/>
      <c r="E403" s="395"/>
      <c r="F403" s="395"/>
      <c r="G403" s="395"/>
      <c r="H403" s="396" t="s">
        <v>410</v>
      </c>
      <c r="I403" s="397"/>
      <c r="J403" s="320"/>
    </row>
    <row r="404" spans="2:10" x14ac:dyDescent="0.55000000000000004">
      <c r="B404" s="394">
        <v>400</v>
      </c>
      <c r="C404" s="395"/>
      <c r="D404" s="395"/>
      <c r="E404" s="395"/>
      <c r="F404" s="395"/>
      <c r="G404" s="395"/>
      <c r="H404" s="396" t="s">
        <v>410</v>
      </c>
      <c r="I404" s="397"/>
      <c r="J404" s="320"/>
    </row>
    <row r="405" spans="2:10" x14ac:dyDescent="0.55000000000000004">
      <c r="B405" s="394">
        <v>401</v>
      </c>
      <c r="C405" s="395"/>
      <c r="D405" s="395"/>
      <c r="E405" s="395"/>
      <c r="F405" s="395"/>
      <c r="G405" s="395"/>
      <c r="H405" s="396" t="s">
        <v>410</v>
      </c>
      <c r="I405" s="397"/>
      <c r="J405" s="320"/>
    </row>
    <row r="406" spans="2:10" x14ac:dyDescent="0.55000000000000004">
      <c r="B406" s="394">
        <v>402</v>
      </c>
      <c r="C406" s="395"/>
      <c r="D406" s="395"/>
      <c r="E406" s="395"/>
      <c r="F406" s="395"/>
      <c r="G406" s="395"/>
      <c r="H406" s="396" t="s">
        <v>410</v>
      </c>
      <c r="I406" s="397"/>
      <c r="J406" s="320"/>
    </row>
    <row r="407" spans="2:10" x14ac:dyDescent="0.55000000000000004">
      <c r="B407" s="394">
        <v>403</v>
      </c>
      <c r="C407" s="395"/>
      <c r="D407" s="395"/>
      <c r="E407" s="395"/>
      <c r="F407" s="395"/>
      <c r="G407" s="395"/>
      <c r="H407" s="396" t="s">
        <v>410</v>
      </c>
      <c r="I407" s="397"/>
      <c r="J407" s="320"/>
    </row>
    <row r="408" spans="2:10" x14ac:dyDescent="0.55000000000000004">
      <c r="B408" s="394">
        <v>404</v>
      </c>
      <c r="C408" s="395"/>
      <c r="D408" s="395"/>
      <c r="E408" s="395"/>
      <c r="F408" s="395"/>
      <c r="G408" s="395"/>
      <c r="H408" s="396" t="s">
        <v>410</v>
      </c>
      <c r="I408" s="397"/>
      <c r="J408" s="320"/>
    </row>
    <row r="409" spans="2:10" x14ac:dyDescent="0.55000000000000004">
      <c r="B409" s="394">
        <v>405</v>
      </c>
      <c r="C409" s="395"/>
      <c r="D409" s="395"/>
      <c r="E409" s="395"/>
      <c r="F409" s="395"/>
      <c r="G409" s="395"/>
      <c r="H409" s="396" t="s">
        <v>410</v>
      </c>
      <c r="I409" s="397"/>
      <c r="J409" s="320"/>
    </row>
    <row r="410" spans="2:10" x14ac:dyDescent="0.55000000000000004">
      <c r="B410" s="394">
        <v>406</v>
      </c>
      <c r="C410" s="395"/>
      <c r="D410" s="395"/>
      <c r="E410" s="395"/>
      <c r="F410" s="395"/>
      <c r="G410" s="395"/>
      <c r="H410" s="396" t="s">
        <v>410</v>
      </c>
      <c r="I410" s="397"/>
      <c r="J410" s="320"/>
    </row>
    <row r="411" spans="2:10" x14ac:dyDescent="0.55000000000000004">
      <c r="B411" s="394">
        <v>407</v>
      </c>
      <c r="C411" s="395"/>
      <c r="D411" s="395"/>
      <c r="E411" s="395"/>
      <c r="F411" s="395"/>
      <c r="G411" s="395"/>
      <c r="H411" s="396" t="s">
        <v>410</v>
      </c>
      <c r="I411" s="397"/>
      <c r="J411" s="320"/>
    </row>
    <row r="412" spans="2:10" x14ac:dyDescent="0.55000000000000004">
      <c r="B412" s="394">
        <v>408</v>
      </c>
      <c r="C412" s="395"/>
      <c r="D412" s="395"/>
      <c r="E412" s="395"/>
      <c r="F412" s="395"/>
      <c r="G412" s="395"/>
      <c r="H412" s="396" t="s">
        <v>410</v>
      </c>
      <c r="I412" s="397"/>
      <c r="J412" s="320"/>
    </row>
    <row r="413" spans="2:10" x14ac:dyDescent="0.55000000000000004">
      <c r="B413" s="394">
        <v>409</v>
      </c>
      <c r="C413" s="395"/>
      <c r="D413" s="395"/>
      <c r="E413" s="395"/>
      <c r="F413" s="395"/>
      <c r="G413" s="395"/>
      <c r="H413" s="396" t="s">
        <v>410</v>
      </c>
      <c r="I413" s="397"/>
      <c r="J413" s="320"/>
    </row>
    <row r="414" spans="2:10" x14ac:dyDescent="0.55000000000000004">
      <c r="B414" s="394">
        <v>410</v>
      </c>
      <c r="C414" s="395"/>
      <c r="D414" s="395"/>
      <c r="E414" s="395"/>
      <c r="F414" s="395"/>
      <c r="G414" s="395"/>
      <c r="H414" s="396" t="s">
        <v>410</v>
      </c>
      <c r="I414" s="397"/>
      <c r="J414" s="320"/>
    </row>
    <row r="415" spans="2:10" x14ac:dyDescent="0.55000000000000004">
      <c r="B415" s="394">
        <v>411</v>
      </c>
      <c r="C415" s="395"/>
      <c r="D415" s="395"/>
      <c r="E415" s="395"/>
      <c r="F415" s="395"/>
      <c r="G415" s="395"/>
      <c r="H415" s="396" t="s">
        <v>410</v>
      </c>
      <c r="I415" s="397"/>
      <c r="J415" s="320"/>
    </row>
    <row r="416" spans="2:10" x14ac:dyDescent="0.55000000000000004">
      <c r="B416" s="394">
        <v>412</v>
      </c>
      <c r="C416" s="395"/>
      <c r="D416" s="395"/>
      <c r="E416" s="395"/>
      <c r="F416" s="395"/>
      <c r="G416" s="395"/>
      <c r="H416" s="396" t="s">
        <v>410</v>
      </c>
      <c r="I416" s="397"/>
      <c r="J416" s="320"/>
    </row>
    <row r="417" spans="2:10" x14ac:dyDescent="0.55000000000000004">
      <c r="B417" s="394">
        <v>413</v>
      </c>
      <c r="C417" s="395"/>
      <c r="D417" s="395"/>
      <c r="E417" s="395"/>
      <c r="F417" s="395"/>
      <c r="G417" s="395"/>
      <c r="H417" s="396" t="s">
        <v>410</v>
      </c>
      <c r="I417" s="397"/>
      <c r="J417" s="320"/>
    </row>
    <row r="418" spans="2:10" x14ac:dyDescent="0.55000000000000004">
      <c r="B418" s="394">
        <v>414</v>
      </c>
      <c r="C418" s="395"/>
      <c r="D418" s="395"/>
      <c r="E418" s="395"/>
      <c r="F418" s="395"/>
      <c r="G418" s="395"/>
      <c r="H418" s="396" t="s">
        <v>410</v>
      </c>
      <c r="I418" s="397"/>
      <c r="J418" s="320"/>
    </row>
    <row r="419" spans="2:10" x14ac:dyDescent="0.55000000000000004">
      <c r="B419" s="394">
        <v>415</v>
      </c>
      <c r="C419" s="395"/>
      <c r="D419" s="395"/>
      <c r="E419" s="395"/>
      <c r="F419" s="395"/>
      <c r="G419" s="395"/>
      <c r="H419" s="396" t="s">
        <v>410</v>
      </c>
      <c r="I419" s="397"/>
      <c r="J419" s="320"/>
    </row>
    <row r="420" spans="2:10" x14ac:dyDescent="0.55000000000000004">
      <c r="B420" s="394">
        <v>416</v>
      </c>
      <c r="C420" s="395"/>
      <c r="D420" s="395"/>
      <c r="E420" s="395"/>
      <c r="F420" s="395"/>
      <c r="G420" s="395"/>
      <c r="H420" s="396" t="s">
        <v>410</v>
      </c>
      <c r="I420" s="397"/>
      <c r="J420" s="320"/>
    </row>
    <row r="421" spans="2:10" x14ac:dyDescent="0.55000000000000004">
      <c r="B421" s="394">
        <v>417</v>
      </c>
      <c r="C421" s="395"/>
      <c r="D421" s="395"/>
      <c r="E421" s="395"/>
      <c r="F421" s="395"/>
      <c r="G421" s="395"/>
      <c r="H421" s="396" t="s">
        <v>410</v>
      </c>
      <c r="I421" s="397"/>
      <c r="J421" s="320"/>
    </row>
    <row r="422" spans="2:10" x14ac:dyDescent="0.55000000000000004">
      <c r="B422" s="394">
        <v>418</v>
      </c>
      <c r="C422" s="395"/>
      <c r="D422" s="395"/>
      <c r="E422" s="395"/>
      <c r="F422" s="395"/>
      <c r="G422" s="395"/>
      <c r="H422" s="396" t="s">
        <v>410</v>
      </c>
      <c r="I422" s="397"/>
      <c r="J422" s="320"/>
    </row>
    <row r="423" spans="2:10" x14ac:dyDescent="0.55000000000000004">
      <c r="B423" s="394">
        <v>419</v>
      </c>
      <c r="C423" s="395"/>
      <c r="D423" s="395"/>
      <c r="E423" s="395"/>
      <c r="F423" s="395"/>
      <c r="G423" s="395"/>
      <c r="H423" s="396" t="s">
        <v>410</v>
      </c>
      <c r="I423" s="397"/>
      <c r="J423" s="320"/>
    </row>
    <row r="424" spans="2:10" x14ac:dyDescent="0.55000000000000004">
      <c r="B424" s="394">
        <v>420</v>
      </c>
      <c r="C424" s="395"/>
      <c r="D424" s="395"/>
      <c r="E424" s="395"/>
      <c r="F424" s="395"/>
      <c r="G424" s="395"/>
      <c r="H424" s="396" t="s">
        <v>410</v>
      </c>
      <c r="I424" s="397"/>
      <c r="J424" s="320"/>
    </row>
    <row r="425" spans="2:10" x14ac:dyDescent="0.55000000000000004">
      <c r="B425" s="394">
        <v>421</v>
      </c>
      <c r="C425" s="395"/>
      <c r="D425" s="395"/>
      <c r="E425" s="395"/>
      <c r="F425" s="395"/>
      <c r="G425" s="395"/>
      <c r="H425" s="396" t="s">
        <v>410</v>
      </c>
      <c r="I425" s="397"/>
      <c r="J425" s="320"/>
    </row>
    <row r="426" spans="2:10" x14ac:dyDescent="0.55000000000000004">
      <c r="B426" s="394">
        <v>422</v>
      </c>
      <c r="C426" s="395"/>
      <c r="D426" s="395"/>
      <c r="E426" s="395"/>
      <c r="F426" s="395"/>
      <c r="G426" s="395"/>
      <c r="H426" s="396" t="s">
        <v>410</v>
      </c>
      <c r="I426" s="397"/>
      <c r="J426" s="320"/>
    </row>
    <row r="427" spans="2:10" x14ac:dyDescent="0.55000000000000004">
      <c r="B427" s="394">
        <v>423</v>
      </c>
      <c r="C427" s="395"/>
      <c r="D427" s="395"/>
      <c r="E427" s="395"/>
      <c r="F427" s="395"/>
      <c r="G427" s="395"/>
      <c r="H427" s="396" t="s">
        <v>410</v>
      </c>
      <c r="I427" s="397"/>
      <c r="J427" s="320"/>
    </row>
    <row r="428" spans="2:10" x14ac:dyDescent="0.55000000000000004">
      <c r="B428" s="394">
        <v>424</v>
      </c>
      <c r="C428" s="395"/>
      <c r="D428" s="395"/>
      <c r="E428" s="395"/>
      <c r="F428" s="395"/>
      <c r="G428" s="395"/>
      <c r="H428" s="396" t="s">
        <v>410</v>
      </c>
      <c r="I428" s="397"/>
      <c r="J428" s="320"/>
    </row>
    <row r="429" spans="2:10" x14ac:dyDescent="0.55000000000000004">
      <c r="B429" s="394">
        <v>425</v>
      </c>
      <c r="C429" s="395"/>
      <c r="D429" s="395"/>
      <c r="E429" s="395"/>
      <c r="F429" s="395"/>
      <c r="G429" s="395"/>
      <c r="H429" s="396" t="s">
        <v>410</v>
      </c>
      <c r="I429" s="397"/>
      <c r="J429" s="320"/>
    </row>
    <row r="430" spans="2:10" x14ac:dyDescent="0.55000000000000004">
      <c r="B430" s="394">
        <v>426</v>
      </c>
      <c r="C430" s="395"/>
      <c r="D430" s="395"/>
      <c r="E430" s="395"/>
      <c r="F430" s="395"/>
      <c r="G430" s="395"/>
      <c r="H430" s="396" t="s">
        <v>410</v>
      </c>
      <c r="I430" s="397"/>
      <c r="J430" s="320"/>
    </row>
    <row r="431" spans="2:10" x14ac:dyDescent="0.55000000000000004">
      <c r="B431" s="394">
        <v>427</v>
      </c>
      <c r="C431" s="395"/>
      <c r="D431" s="395"/>
      <c r="E431" s="395"/>
      <c r="F431" s="395"/>
      <c r="G431" s="395"/>
      <c r="H431" s="396" t="s">
        <v>410</v>
      </c>
      <c r="I431" s="397"/>
      <c r="J431" s="320"/>
    </row>
    <row r="432" spans="2:10" x14ac:dyDescent="0.55000000000000004">
      <c r="B432" s="394">
        <v>428</v>
      </c>
      <c r="C432" s="395"/>
      <c r="D432" s="395"/>
      <c r="E432" s="395"/>
      <c r="F432" s="395"/>
      <c r="G432" s="395"/>
      <c r="H432" s="396" t="s">
        <v>410</v>
      </c>
      <c r="I432" s="397"/>
      <c r="J432" s="320"/>
    </row>
    <row r="433" spans="2:10" x14ac:dyDescent="0.55000000000000004">
      <c r="B433" s="394">
        <v>429</v>
      </c>
      <c r="C433" s="395"/>
      <c r="D433" s="395"/>
      <c r="E433" s="395"/>
      <c r="F433" s="395"/>
      <c r="G433" s="395"/>
      <c r="H433" s="396" t="s">
        <v>410</v>
      </c>
      <c r="I433" s="397"/>
      <c r="J433" s="320"/>
    </row>
    <row r="434" spans="2:10" x14ac:dyDescent="0.55000000000000004">
      <c r="B434" s="394">
        <v>430</v>
      </c>
      <c r="C434" s="395"/>
      <c r="D434" s="395"/>
      <c r="E434" s="395"/>
      <c r="F434" s="395"/>
      <c r="G434" s="395"/>
      <c r="H434" s="396" t="s">
        <v>410</v>
      </c>
      <c r="I434" s="397"/>
      <c r="J434" s="320"/>
    </row>
    <row r="435" spans="2:10" x14ac:dyDescent="0.55000000000000004">
      <c r="B435" s="394">
        <v>431</v>
      </c>
      <c r="C435" s="395"/>
      <c r="D435" s="395"/>
      <c r="E435" s="395"/>
      <c r="F435" s="395"/>
      <c r="G435" s="395"/>
      <c r="H435" s="396" t="s">
        <v>410</v>
      </c>
      <c r="I435" s="397"/>
      <c r="J435" s="320"/>
    </row>
    <row r="436" spans="2:10" x14ac:dyDescent="0.55000000000000004">
      <c r="B436" s="394">
        <v>432</v>
      </c>
      <c r="C436" s="395"/>
      <c r="D436" s="395"/>
      <c r="E436" s="395"/>
      <c r="F436" s="395"/>
      <c r="G436" s="395"/>
      <c r="H436" s="396" t="s">
        <v>410</v>
      </c>
      <c r="I436" s="397"/>
      <c r="J436" s="320"/>
    </row>
    <row r="437" spans="2:10" x14ac:dyDescent="0.55000000000000004">
      <c r="B437" s="394">
        <v>433</v>
      </c>
      <c r="C437" s="395"/>
      <c r="D437" s="395"/>
      <c r="E437" s="395"/>
      <c r="F437" s="395"/>
      <c r="G437" s="395"/>
      <c r="H437" s="396" t="s">
        <v>410</v>
      </c>
      <c r="I437" s="397"/>
      <c r="J437" s="320"/>
    </row>
    <row r="438" spans="2:10" x14ac:dyDescent="0.55000000000000004">
      <c r="B438" s="394">
        <v>434</v>
      </c>
      <c r="C438" s="395"/>
      <c r="D438" s="395"/>
      <c r="E438" s="395"/>
      <c r="F438" s="395"/>
      <c r="G438" s="395"/>
      <c r="H438" s="396" t="s">
        <v>410</v>
      </c>
      <c r="I438" s="397"/>
      <c r="J438" s="320"/>
    </row>
    <row r="439" spans="2:10" x14ac:dyDescent="0.55000000000000004">
      <c r="B439" s="394">
        <v>435</v>
      </c>
      <c r="C439" s="395"/>
      <c r="D439" s="395"/>
      <c r="E439" s="395"/>
      <c r="F439" s="395"/>
      <c r="G439" s="395"/>
      <c r="H439" s="396" t="s">
        <v>410</v>
      </c>
      <c r="I439" s="397"/>
      <c r="J439" s="320"/>
    </row>
    <row r="440" spans="2:10" x14ac:dyDescent="0.55000000000000004">
      <c r="B440" s="394">
        <v>436</v>
      </c>
      <c r="C440" s="395"/>
      <c r="D440" s="395"/>
      <c r="E440" s="395"/>
      <c r="F440" s="395"/>
      <c r="G440" s="395"/>
      <c r="H440" s="396" t="s">
        <v>410</v>
      </c>
      <c r="I440" s="397"/>
      <c r="J440" s="320"/>
    </row>
    <row r="441" spans="2:10" x14ac:dyDescent="0.55000000000000004">
      <c r="B441" s="394">
        <v>437</v>
      </c>
      <c r="C441" s="395"/>
      <c r="D441" s="395"/>
      <c r="E441" s="395"/>
      <c r="F441" s="395"/>
      <c r="G441" s="395"/>
      <c r="H441" s="396" t="s">
        <v>410</v>
      </c>
      <c r="I441" s="397"/>
      <c r="J441" s="320"/>
    </row>
    <row r="442" spans="2:10" x14ac:dyDescent="0.55000000000000004">
      <c r="B442" s="394">
        <v>438</v>
      </c>
      <c r="C442" s="395"/>
      <c r="D442" s="395"/>
      <c r="E442" s="395"/>
      <c r="F442" s="395"/>
      <c r="G442" s="395"/>
      <c r="H442" s="396" t="s">
        <v>410</v>
      </c>
      <c r="I442" s="397"/>
      <c r="J442" s="320"/>
    </row>
    <row r="443" spans="2:10" x14ac:dyDescent="0.55000000000000004">
      <c r="B443" s="394">
        <v>439</v>
      </c>
      <c r="C443" s="395"/>
      <c r="D443" s="395"/>
      <c r="E443" s="395"/>
      <c r="F443" s="395"/>
      <c r="G443" s="395"/>
      <c r="H443" s="396" t="s">
        <v>410</v>
      </c>
      <c r="I443" s="397"/>
      <c r="J443" s="320"/>
    </row>
    <row r="444" spans="2:10" x14ac:dyDescent="0.55000000000000004">
      <c r="B444" s="394">
        <v>440</v>
      </c>
      <c r="C444" s="395"/>
      <c r="D444" s="395"/>
      <c r="E444" s="395"/>
      <c r="F444" s="395"/>
      <c r="G444" s="395"/>
      <c r="H444" s="396" t="s">
        <v>410</v>
      </c>
      <c r="I444" s="397"/>
      <c r="J444" s="320"/>
    </row>
    <row r="445" spans="2:10" x14ac:dyDescent="0.55000000000000004">
      <c r="B445" s="394">
        <v>441</v>
      </c>
      <c r="C445" s="395"/>
      <c r="D445" s="395"/>
      <c r="E445" s="395"/>
      <c r="F445" s="395"/>
      <c r="G445" s="395"/>
      <c r="H445" s="396" t="s">
        <v>410</v>
      </c>
      <c r="I445" s="397"/>
      <c r="J445" s="320"/>
    </row>
    <row r="446" spans="2:10" x14ac:dyDescent="0.55000000000000004">
      <c r="B446" s="394">
        <v>442</v>
      </c>
      <c r="C446" s="395"/>
      <c r="D446" s="395"/>
      <c r="E446" s="395"/>
      <c r="F446" s="395"/>
      <c r="G446" s="395"/>
      <c r="H446" s="396" t="s">
        <v>410</v>
      </c>
      <c r="I446" s="397"/>
      <c r="J446" s="320"/>
    </row>
    <row r="447" spans="2:10" x14ac:dyDescent="0.55000000000000004">
      <c r="B447" s="394">
        <v>443</v>
      </c>
      <c r="C447" s="395"/>
      <c r="D447" s="395"/>
      <c r="E447" s="395"/>
      <c r="F447" s="395"/>
      <c r="G447" s="395"/>
      <c r="H447" s="396" t="s">
        <v>410</v>
      </c>
      <c r="I447" s="397"/>
      <c r="J447" s="320"/>
    </row>
    <row r="448" spans="2:10" x14ac:dyDescent="0.55000000000000004">
      <c r="B448" s="394">
        <v>444</v>
      </c>
      <c r="C448" s="395"/>
      <c r="D448" s="395"/>
      <c r="E448" s="395"/>
      <c r="F448" s="395"/>
      <c r="G448" s="395"/>
      <c r="H448" s="396" t="s">
        <v>410</v>
      </c>
      <c r="I448" s="397"/>
      <c r="J448" s="320"/>
    </row>
    <row r="449" spans="2:10" x14ac:dyDescent="0.55000000000000004">
      <c r="B449" s="394">
        <v>445</v>
      </c>
      <c r="C449" s="395"/>
      <c r="D449" s="395"/>
      <c r="E449" s="395"/>
      <c r="F449" s="395"/>
      <c r="G449" s="395"/>
      <c r="H449" s="396" t="s">
        <v>410</v>
      </c>
      <c r="I449" s="397"/>
      <c r="J449" s="320"/>
    </row>
    <row r="450" spans="2:10" x14ac:dyDescent="0.55000000000000004">
      <c r="B450" s="394">
        <v>446</v>
      </c>
      <c r="C450" s="395"/>
      <c r="D450" s="395"/>
      <c r="E450" s="395"/>
      <c r="F450" s="395"/>
      <c r="G450" s="395"/>
      <c r="H450" s="396" t="s">
        <v>410</v>
      </c>
      <c r="I450" s="397"/>
      <c r="J450" s="320"/>
    </row>
    <row r="451" spans="2:10" x14ac:dyDescent="0.55000000000000004">
      <c r="B451" s="394">
        <v>447</v>
      </c>
      <c r="C451" s="395"/>
      <c r="D451" s="395"/>
      <c r="E451" s="395"/>
      <c r="F451" s="395"/>
      <c r="G451" s="395"/>
      <c r="H451" s="396" t="s">
        <v>410</v>
      </c>
      <c r="I451" s="397"/>
      <c r="J451" s="320"/>
    </row>
    <row r="452" spans="2:10" x14ac:dyDescent="0.55000000000000004">
      <c r="B452" s="394">
        <v>448</v>
      </c>
      <c r="C452" s="395"/>
      <c r="D452" s="395"/>
      <c r="E452" s="395"/>
      <c r="F452" s="395"/>
      <c r="G452" s="395"/>
      <c r="H452" s="396" t="s">
        <v>410</v>
      </c>
      <c r="I452" s="397"/>
      <c r="J452" s="320"/>
    </row>
    <row r="453" spans="2:10" x14ac:dyDescent="0.55000000000000004">
      <c r="B453" s="394">
        <v>449</v>
      </c>
      <c r="C453" s="395"/>
      <c r="D453" s="395"/>
      <c r="E453" s="395"/>
      <c r="F453" s="395"/>
      <c r="G453" s="395"/>
      <c r="H453" s="396" t="s">
        <v>410</v>
      </c>
      <c r="I453" s="397"/>
      <c r="J453" s="320"/>
    </row>
    <row r="454" spans="2:10" x14ac:dyDescent="0.55000000000000004">
      <c r="B454" s="394">
        <v>450</v>
      </c>
      <c r="C454" s="395"/>
      <c r="D454" s="395"/>
      <c r="E454" s="395"/>
      <c r="F454" s="395"/>
      <c r="G454" s="395"/>
      <c r="H454" s="396" t="s">
        <v>410</v>
      </c>
      <c r="I454" s="397"/>
      <c r="J454" s="320"/>
    </row>
    <row r="455" spans="2:10" x14ac:dyDescent="0.55000000000000004">
      <c r="B455" s="394">
        <v>451</v>
      </c>
      <c r="C455" s="395"/>
      <c r="D455" s="395"/>
      <c r="E455" s="395"/>
      <c r="F455" s="395"/>
      <c r="G455" s="395"/>
      <c r="H455" s="396" t="s">
        <v>410</v>
      </c>
      <c r="I455" s="397"/>
      <c r="J455" s="320"/>
    </row>
    <row r="456" spans="2:10" x14ac:dyDescent="0.55000000000000004">
      <c r="B456" s="394">
        <v>452</v>
      </c>
      <c r="C456" s="395"/>
      <c r="D456" s="395"/>
      <c r="E456" s="395"/>
      <c r="F456" s="395"/>
      <c r="G456" s="395"/>
      <c r="H456" s="396" t="s">
        <v>410</v>
      </c>
      <c r="I456" s="397"/>
      <c r="J456" s="320"/>
    </row>
    <row r="457" spans="2:10" x14ac:dyDescent="0.55000000000000004">
      <c r="B457" s="394">
        <v>453</v>
      </c>
      <c r="C457" s="395"/>
      <c r="D457" s="395"/>
      <c r="E457" s="395"/>
      <c r="F457" s="395"/>
      <c r="G457" s="395"/>
      <c r="H457" s="396" t="s">
        <v>410</v>
      </c>
      <c r="I457" s="397"/>
      <c r="J457" s="320"/>
    </row>
    <row r="458" spans="2:10" x14ac:dyDescent="0.55000000000000004">
      <c r="B458" s="394">
        <v>454</v>
      </c>
      <c r="C458" s="395"/>
      <c r="D458" s="395"/>
      <c r="E458" s="395"/>
      <c r="F458" s="395"/>
      <c r="G458" s="395"/>
      <c r="H458" s="396" t="s">
        <v>410</v>
      </c>
      <c r="I458" s="397"/>
      <c r="J458" s="320"/>
    </row>
    <row r="459" spans="2:10" x14ac:dyDescent="0.55000000000000004">
      <c r="B459" s="394">
        <v>455</v>
      </c>
      <c r="C459" s="395"/>
      <c r="D459" s="395"/>
      <c r="E459" s="395"/>
      <c r="F459" s="395"/>
      <c r="G459" s="395"/>
      <c r="H459" s="396" t="s">
        <v>410</v>
      </c>
      <c r="I459" s="397"/>
      <c r="J459" s="320"/>
    </row>
    <row r="460" spans="2:10" x14ac:dyDescent="0.55000000000000004">
      <c r="B460" s="394">
        <v>456</v>
      </c>
      <c r="C460" s="395"/>
      <c r="D460" s="395"/>
      <c r="E460" s="395"/>
      <c r="F460" s="395"/>
      <c r="G460" s="395"/>
      <c r="H460" s="396" t="s">
        <v>410</v>
      </c>
      <c r="I460" s="397"/>
      <c r="J460" s="320"/>
    </row>
    <row r="461" spans="2:10" x14ac:dyDescent="0.55000000000000004">
      <c r="B461" s="394">
        <v>457</v>
      </c>
      <c r="C461" s="395"/>
      <c r="D461" s="395"/>
      <c r="E461" s="395"/>
      <c r="F461" s="395"/>
      <c r="G461" s="395"/>
      <c r="H461" s="396" t="s">
        <v>410</v>
      </c>
      <c r="I461" s="397"/>
      <c r="J461" s="320"/>
    </row>
    <row r="462" spans="2:10" x14ac:dyDescent="0.55000000000000004">
      <c r="B462" s="394">
        <v>458</v>
      </c>
      <c r="C462" s="395"/>
      <c r="D462" s="395"/>
      <c r="E462" s="395"/>
      <c r="F462" s="395"/>
      <c r="G462" s="395"/>
      <c r="H462" s="396" t="s">
        <v>410</v>
      </c>
      <c r="I462" s="397"/>
      <c r="J462" s="320"/>
    </row>
    <row r="463" spans="2:10" x14ac:dyDescent="0.55000000000000004">
      <c r="B463" s="394">
        <v>459</v>
      </c>
      <c r="C463" s="395"/>
      <c r="D463" s="395"/>
      <c r="E463" s="395"/>
      <c r="F463" s="395"/>
      <c r="G463" s="395"/>
      <c r="H463" s="396" t="s">
        <v>410</v>
      </c>
      <c r="I463" s="397"/>
      <c r="J463" s="320"/>
    </row>
    <row r="464" spans="2:10" x14ac:dyDescent="0.55000000000000004">
      <c r="B464" s="394">
        <v>460</v>
      </c>
      <c r="C464" s="395"/>
      <c r="D464" s="395"/>
      <c r="E464" s="395"/>
      <c r="F464" s="395"/>
      <c r="G464" s="395"/>
      <c r="H464" s="396" t="s">
        <v>410</v>
      </c>
      <c r="I464" s="397"/>
      <c r="J464" s="320"/>
    </row>
    <row r="465" spans="2:10" x14ac:dyDescent="0.55000000000000004">
      <c r="B465" s="394">
        <v>461</v>
      </c>
      <c r="C465" s="395"/>
      <c r="D465" s="395"/>
      <c r="E465" s="395"/>
      <c r="F465" s="395"/>
      <c r="G465" s="395"/>
      <c r="H465" s="396" t="s">
        <v>410</v>
      </c>
      <c r="I465" s="397"/>
      <c r="J465" s="320"/>
    </row>
    <row r="466" spans="2:10" x14ac:dyDescent="0.55000000000000004">
      <c r="B466" s="394">
        <v>462</v>
      </c>
      <c r="C466" s="395"/>
      <c r="D466" s="395"/>
      <c r="E466" s="395"/>
      <c r="F466" s="395"/>
      <c r="G466" s="395"/>
      <c r="H466" s="396" t="s">
        <v>410</v>
      </c>
      <c r="I466" s="397"/>
      <c r="J466" s="320"/>
    </row>
    <row r="467" spans="2:10" x14ac:dyDescent="0.55000000000000004">
      <c r="B467" s="394">
        <v>463</v>
      </c>
      <c r="C467" s="395"/>
      <c r="D467" s="395"/>
      <c r="E467" s="395"/>
      <c r="F467" s="395"/>
      <c r="G467" s="395"/>
      <c r="H467" s="396" t="s">
        <v>410</v>
      </c>
      <c r="I467" s="397"/>
      <c r="J467" s="320"/>
    </row>
    <row r="468" spans="2:10" x14ac:dyDescent="0.55000000000000004">
      <c r="B468" s="394">
        <v>464</v>
      </c>
      <c r="C468" s="395"/>
      <c r="D468" s="395"/>
      <c r="E468" s="395"/>
      <c r="F468" s="395"/>
      <c r="G468" s="395"/>
      <c r="H468" s="396" t="s">
        <v>410</v>
      </c>
      <c r="I468" s="397"/>
      <c r="J468" s="320"/>
    </row>
    <row r="469" spans="2:10" x14ac:dyDescent="0.55000000000000004">
      <c r="B469" s="394">
        <v>465</v>
      </c>
      <c r="C469" s="395"/>
      <c r="D469" s="395"/>
      <c r="E469" s="395"/>
      <c r="F469" s="395"/>
      <c r="G469" s="395"/>
      <c r="H469" s="396" t="s">
        <v>410</v>
      </c>
      <c r="I469" s="397"/>
      <c r="J469" s="320"/>
    </row>
    <row r="470" spans="2:10" x14ac:dyDescent="0.55000000000000004">
      <c r="B470" s="394">
        <v>466</v>
      </c>
      <c r="C470" s="395"/>
      <c r="D470" s="395"/>
      <c r="E470" s="395"/>
      <c r="F470" s="395"/>
      <c r="G470" s="395"/>
      <c r="H470" s="396" t="s">
        <v>410</v>
      </c>
      <c r="I470" s="397"/>
      <c r="J470" s="320"/>
    </row>
    <row r="471" spans="2:10" x14ac:dyDescent="0.55000000000000004">
      <c r="B471" s="394">
        <v>467</v>
      </c>
      <c r="C471" s="395"/>
      <c r="D471" s="395"/>
      <c r="E471" s="395"/>
      <c r="F471" s="395"/>
      <c r="G471" s="395"/>
      <c r="H471" s="396" t="s">
        <v>410</v>
      </c>
      <c r="I471" s="397"/>
      <c r="J471" s="320"/>
    </row>
    <row r="472" spans="2:10" x14ac:dyDescent="0.55000000000000004">
      <c r="B472" s="394">
        <v>468</v>
      </c>
      <c r="C472" s="395"/>
      <c r="D472" s="395"/>
      <c r="E472" s="395"/>
      <c r="F472" s="395"/>
      <c r="G472" s="395"/>
      <c r="H472" s="396" t="s">
        <v>410</v>
      </c>
      <c r="I472" s="397"/>
      <c r="J472" s="320"/>
    </row>
    <row r="473" spans="2:10" x14ac:dyDescent="0.55000000000000004">
      <c r="B473" s="394">
        <v>469</v>
      </c>
      <c r="C473" s="395"/>
      <c r="D473" s="395"/>
      <c r="E473" s="395"/>
      <c r="F473" s="395"/>
      <c r="G473" s="395"/>
      <c r="H473" s="396" t="s">
        <v>410</v>
      </c>
      <c r="I473" s="397"/>
      <c r="J473" s="320"/>
    </row>
    <row r="474" spans="2:10" x14ac:dyDescent="0.55000000000000004">
      <c r="B474" s="394">
        <v>470</v>
      </c>
      <c r="C474" s="395"/>
      <c r="D474" s="395"/>
      <c r="E474" s="395"/>
      <c r="F474" s="395"/>
      <c r="G474" s="395"/>
      <c r="H474" s="396" t="s">
        <v>410</v>
      </c>
      <c r="I474" s="397"/>
      <c r="J474" s="320"/>
    </row>
    <row r="475" spans="2:10" x14ac:dyDescent="0.55000000000000004">
      <c r="B475" s="394">
        <v>471</v>
      </c>
      <c r="C475" s="395"/>
      <c r="D475" s="395"/>
      <c r="E475" s="395"/>
      <c r="F475" s="395"/>
      <c r="G475" s="395"/>
      <c r="H475" s="396" t="s">
        <v>410</v>
      </c>
      <c r="I475" s="397"/>
      <c r="J475" s="320"/>
    </row>
    <row r="476" spans="2:10" x14ac:dyDescent="0.55000000000000004">
      <c r="B476" s="394">
        <v>472</v>
      </c>
      <c r="C476" s="395"/>
      <c r="D476" s="395"/>
      <c r="E476" s="395"/>
      <c r="F476" s="395"/>
      <c r="G476" s="395"/>
      <c r="H476" s="396" t="s">
        <v>410</v>
      </c>
      <c r="I476" s="397"/>
      <c r="J476" s="320"/>
    </row>
    <row r="477" spans="2:10" x14ac:dyDescent="0.55000000000000004">
      <c r="B477" s="394">
        <v>473</v>
      </c>
      <c r="C477" s="395"/>
      <c r="D477" s="395"/>
      <c r="E477" s="395"/>
      <c r="F477" s="395"/>
      <c r="G477" s="395"/>
      <c r="H477" s="396" t="s">
        <v>410</v>
      </c>
      <c r="I477" s="397"/>
      <c r="J477" s="320"/>
    </row>
    <row r="478" spans="2:10" x14ac:dyDescent="0.55000000000000004">
      <c r="B478" s="394">
        <v>474</v>
      </c>
      <c r="C478" s="395"/>
      <c r="D478" s="395"/>
      <c r="E478" s="395"/>
      <c r="F478" s="395"/>
      <c r="G478" s="395"/>
      <c r="H478" s="396" t="s">
        <v>410</v>
      </c>
      <c r="I478" s="397"/>
      <c r="J478" s="320"/>
    </row>
    <row r="479" spans="2:10" x14ac:dyDescent="0.55000000000000004">
      <c r="B479" s="394">
        <v>475</v>
      </c>
      <c r="C479" s="395"/>
      <c r="D479" s="395"/>
      <c r="E479" s="395"/>
      <c r="F479" s="395"/>
      <c r="G479" s="395"/>
      <c r="H479" s="396" t="s">
        <v>410</v>
      </c>
      <c r="I479" s="397"/>
      <c r="J479" s="320"/>
    </row>
    <row r="480" spans="2:10" x14ac:dyDescent="0.55000000000000004">
      <c r="B480" s="394">
        <v>476</v>
      </c>
      <c r="C480" s="395"/>
      <c r="D480" s="395"/>
      <c r="E480" s="395"/>
      <c r="F480" s="395"/>
      <c r="G480" s="395"/>
      <c r="H480" s="396" t="s">
        <v>410</v>
      </c>
      <c r="I480" s="397"/>
      <c r="J480" s="320"/>
    </row>
    <row r="481" spans="2:10" x14ac:dyDescent="0.55000000000000004">
      <c r="B481" s="394">
        <v>477</v>
      </c>
      <c r="C481" s="395"/>
      <c r="D481" s="395"/>
      <c r="E481" s="395"/>
      <c r="F481" s="395"/>
      <c r="G481" s="395"/>
      <c r="H481" s="396" t="s">
        <v>410</v>
      </c>
      <c r="I481" s="397"/>
      <c r="J481" s="320"/>
    </row>
    <row r="482" spans="2:10" x14ac:dyDescent="0.55000000000000004">
      <c r="B482" s="394">
        <v>478</v>
      </c>
      <c r="C482" s="395"/>
      <c r="D482" s="395"/>
      <c r="E482" s="395"/>
      <c r="F482" s="395"/>
      <c r="G482" s="395"/>
      <c r="H482" s="396" t="s">
        <v>410</v>
      </c>
      <c r="I482" s="397"/>
      <c r="J482" s="320"/>
    </row>
    <row r="483" spans="2:10" x14ac:dyDescent="0.55000000000000004">
      <c r="B483" s="394">
        <v>479</v>
      </c>
      <c r="C483" s="395"/>
      <c r="D483" s="395"/>
      <c r="E483" s="395"/>
      <c r="F483" s="395"/>
      <c r="G483" s="395"/>
      <c r="H483" s="396" t="s">
        <v>410</v>
      </c>
      <c r="I483" s="397"/>
      <c r="J483" s="320"/>
    </row>
    <row r="484" spans="2:10" x14ac:dyDescent="0.55000000000000004">
      <c r="B484" s="394">
        <v>480</v>
      </c>
      <c r="C484" s="395"/>
      <c r="D484" s="395"/>
      <c r="E484" s="395"/>
      <c r="F484" s="395"/>
      <c r="G484" s="395"/>
      <c r="H484" s="396" t="s">
        <v>410</v>
      </c>
      <c r="I484" s="397"/>
      <c r="J484" s="320"/>
    </row>
    <row r="485" spans="2:10" x14ac:dyDescent="0.55000000000000004">
      <c r="B485" s="394">
        <v>481</v>
      </c>
      <c r="C485" s="395"/>
      <c r="D485" s="395"/>
      <c r="E485" s="395"/>
      <c r="F485" s="395"/>
      <c r="G485" s="395"/>
      <c r="H485" s="396" t="s">
        <v>410</v>
      </c>
      <c r="I485" s="397"/>
      <c r="J485" s="320"/>
    </row>
    <row r="486" spans="2:10" x14ac:dyDescent="0.55000000000000004">
      <c r="B486" s="394">
        <v>482</v>
      </c>
      <c r="C486" s="395"/>
      <c r="D486" s="395"/>
      <c r="E486" s="395"/>
      <c r="F486" s="395"/>
      <c r="G486" s="395"/>
      <c r="H486" s="396" t="s">
        <v>410</v>
      </c>
      <c r="I486" s="397"/>
      <c r="J486" s="320"/>
    </row>
    <row r="487" spans="2:10" x14ac:dyDescent="0.55000000000000004">
      <c r="B487" s="394">
        <v>483</v>
      </c>
      <c r="C487" s="395"/>
      <c r="D487" s="395"/>
      <c r="E487" s="395"/>
      <c r="F487" s="395"/>
      <c r="G487" s="395"/>
      <c r="H487" s="396" t="s">
        <v>410</v>
      </c>
      <c r="I487" s="397"/>
      <c r="J487" s="320"/>
    </row>
    <row r="488" spans="2:10" x14ac:dyDescent="0.55000000000000004">
      <c r="B488" s="394">
        <v>484</v>
      </c>
      <c r="C488" s="395"/>
      <c r="D488" s="395"/>
      <c r="E488" s="395"/>
      <c r="F488" s="395"/>
      <c r="G488" s="395"/>
      <c r="H488" s="396" t="s">
        <v>410</v>
      </c>
      <c r="I488" s="397"/>
      <c r="J488" s="320"/>
    </row>
    <row r="489" spans="2:10" x14ac:dyDescent="0.55000000000000004">
      <c r="B489" s="394">
        <v>485</v>
      </c>
      <c r="C489" s="395"/>
      <c r="D489" s="395"/>
      <c r="E489" s="395"/>
      <c r="F489" s="395"/>
      <c r="G489" s="395"/>
      <c r="H489" s="396" t="s">
        <v>410</v>
      </c>
      <c r="I489" s="397"/>
      <c r="J489" s="320"/>
    </row>
    <row r="490" spans="2:10" x14ac:dyDescent="0.55000000000000004">
      <c r="B490" s="394">
        <v>486</v>
      </c>
      <c r="C490" s="395"/>
      <c r="D490" s="395"/>
      <c r="E490" s="395"/>
      <c r="F490" s="395"/>
      <c r="G490" s="395"/>
      <c r="H490" s="396" t="s">
        <v>410</v>
      </c>
      <c r="I490" s="397"/>
      <c r="J490" s="320"/>
    </row>
    <row r="491" spans="2:10" x14ac:dyDescent="0.55000000000000004">
      <c r="B491" s="394">
        <v>487</v>
      </c>
      <c r="C491" s="395"/>
      <c r="D491" s="395"/>
      <c r="E491" s="395"/>
      <c r="F491" s="395"/>
      <c r="G491" s="395"/>
      <c r="H491" s="396" t="s">
        <v>410</v>
      </c>
      <c r="I491" s="397"/>
      <c r="J491" s="320"/>
    </row>
    <row r="492" spans="2:10" x14ac:dyDescent="0.55000000000000004">
      <c r="B492" s="394">
        <v>488</v>
      </c>
      <c r="C492" s="395"/>
      <c r="D492" s="395"/>
      <c r="E492" s="395"/>
      <c r="F492" s="395"/>
      <c r="G492" s="395"/>
      <c r="H492" s="396" t="s">
        <v>410</v>
      </c>
      <c r="I492" s="397"/>
      <c r="J492" s="320"/>
    </row>
    <row r="493" spans="2:10" x14ac:dyDescent="0.55000000000000004">
      <c r="B493" s="394">
        <v>489</v>
      </c>
      <c r="C493" s="395"/>
      <c r="D493" s="395"/>
      <c r="E493" s="395"/>
      <c r="F493" s="395"/>
      <c r="G493" s="395"/>
      <c r="H493" s="396" t="s">
        <v>410</v>
      </c>
      <c r="I493" s="397"/>
      <c r="J493" s="320"/>
    </row>
    <row r="494" spans="2:10" x14ac:dyDescent="0.55000000000000004">
      <c r="B494" s="394">
        <v>490</v>
      </c>
      <c r="C494" s="395"/>
      <c r="D494" s="395"/>
      <c r="E494" s="395"/>
      <c r="F494" s="395"/>
      <c r="G494" s="395"/>
      <c r="H494" s="396" t="s">
        <v>410</v>
      </c>
      <c r="I494" s="397"/>
      <c r="J494" s="320"/>
    </row>
    <row r="495" spans="2:10" x14ac:dyDescent="0.55000000000000004">
      <c r="B495" s="394">
        <v>491</v>
      </c>
      <c r="C495" s="395"/>
      <c r="D495" s="395"/>
      <c r="E495" s="395"/>
      <c r="F495" s="395"/>
      <c r="G495" s="395"/>
      <c r="H495" s="396" t="s">
        <v>410</v>
      </c>
      <c r="I495" s="397"/>
      <c r="J495" s="320"/>
    </row>
    <row r="496" spans="2:10" x14ac:dyDescent="0.55000000000000004">
      <c r="B496" s="394">
        <v>492</v>
      </c>
      <c r="C496" s="395"/>
      <c r="D496" s="395"/>
      <c r="E496" s="395"/>
      <c r="F496" s="395"/>
      <c r="G496" s="395"/>
      <c r="H496" s="396" t="s">
        <v>410</v>
      </c>
      <c r="I496" s="397"/>
      <c r="J496" s="320"/>
    </row>
    <row r="497" spans="2:10" x14ac:dyDescent="0.55000000000000004">
      <c r="B497" s="394">
        <v>493</v>
      </c>
      <c r="C497" s="395"/>
      <c r="D497" s="395"/>
      <c r="E497" s="395"/>
      <c r="F497" s="395"/>
      <c r="G497" s="395"/>
      <c r="H497" s="396" t="s">
        <v>410</v>
      </c>
      <c r="I497" s="397"/>
      <c r="J497" s="320"/>
    </row>
    <row r="498" spans="2:10" x14ac:dyDescent="0.55000000000000004">
      <c r="B498" s="394">
        <v>494</v>
      </c>
      <c r="C498" s="395"/>
      <c r="D498" s="395"/>
      <c r="E498" s="395"/>
      <c r="F498" s="395"/>
      <c r="G498" s="395"/>
      <c r="H498" s="396" t="s">
        <v>410</v>
      </c>
      <c r="I498" s="397"/>
      <c r="J498" s="320"/>
    </row>
    <row r="499" spans="2:10" x14ac:dyDescent="0.55000000000000004">
      <c r="B499" s="394">
        <v>495</v>
      </c>
      <c r="C499" s="395"/>
      <c r="D499" s="395"/>
      <c r="E499" s="395"/>
      <c r="F499" s="395"/>
      <c r="G499" s="395"/>
      <c r="H499" s="396" t="s">
        <v>410</v>
      </c>
      <c r="I499" s="397"/>
      <c r="J499" s="320"/>
    </row>
    <row r="500" spans="2:10" x14ac:dyDescent="0.55000000000000004">
      <c r="B500" s="394">
        <v>496</v>
      </c>
      <c r="C500" s="395"/>
      <c r="D500" s="395"/>
      <c r="E500" s="395"/>
      <c r="F500" s="395"/>
      <c r="G500" s="395"/>
      <c r="H500" s="396" t="s">
        <v>410</v>
      </c>
      <c r="I500" s="397"/>
      <c r="J500" s="320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621030</xdr:colOff>
                    <xdr:row>2</xdr:row>
                    <xdr:rowOff>26670</xdr:rowOff>
                  </from>
                  <to>
                    <xdr:col>13</xdr:col>
                    <xdr:colOff>57150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4.4" x14ac:dyDescent="0.55000000000000004"/>
  <sheetData>
    <row r="1" spans="1:13" x14ac:dyDescent="0.55000000000000004">
      <c r="A1" s="709" t="s">
        <v>322</v>
      </c>
      <c r="B1" s="709"/>
      <c r="C1" s="709"/>
      <c r="D1" s="709"/>
      <c r="E1" s="233"/>
      <c r="F1" s="233"/>
      <c r="G1" s="709" t="s">
        <v>323</v>
      </c>
      <c r="H1" s="709"/>
      <c r="I1" s="709"/>
    </row>
    <row r="2" spans="1:13" x14ac:dyDescent="0.55000000000000004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55000000000000004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55000000000000004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55000000000000004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55000000000000004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55000000000000004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55000000000000004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55000000000000004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55000000000000004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55000000000000004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55000000000000004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55000000000000004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55000000000000004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55000000000000004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55000000000000004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55000000000000004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55000000000000004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55000000000000004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55000000000000004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55000000000000004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55000000000000004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55000000000000004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55000000000000004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55000000000000004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55000000000000004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55000000000000004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55000000000000004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55000000000000004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55000000000000004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55000000000000004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55000000000000004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55000000000000004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55000000000000004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55000000000000004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55000000000000004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55000000000000004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55000000000000004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55000000000000004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55000000000000004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55000000000000004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55000000000000004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55000000000000004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55000000000000004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55000000000000004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55000000000000004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55000000000000004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55000000000000004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55000000000000004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55000000000000004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55000000000000004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55000000000000004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55000000000000004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55000000000000004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55000000000000004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55000000000000004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2022-12-07T15:41:09Z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