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FBAE2B55-C7C3-4FD6-B898-EF0F1C380209}" xr6:coauthVersionLast="47" xr6:coauthVersionMax="47" xr10:uidLastSave="{00000000-0000-0000-0000-000000000000}"/>
  <bookViews>
    <workbookView xWindow="-7560" yWindow="405" windowWidth="28800" windowHeight="11235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<sst xmlns="http://schemas.openxmlformats.org/spreadsheetml/2006/main" count="1637" uniqueCount="517">
  <si>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</si>
  <si>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</si>
  <si>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</si>
  <si>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</si>
  <si>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</si>
  <si>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</si>
  <si>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</si>
  <si>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</si>
  <si>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</si>
  <si>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</si>
  <si>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</si>
  <si>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</si>
  <si>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</si>
  <si>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</si>
  <si>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</si>
  <si>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</si>
  <si>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</si>
  <si>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</si>
  <si>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</si>
  <si>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</si>
  <si>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</si>
  <si>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</si>
  <si>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</si>
  <si>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</si>
  <si>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</si>
  <si>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</si>
  <si>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</si>
  <si>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</si>
  <si>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</si>
  <si>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</si>
  <si>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</si>
  <si>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</si>
  <si>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</si>
  <si>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</si>
  <si>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</si>
  <si>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</si>
  <si>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</si>
  <si>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</si>
  <si>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</si>
  <si>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</si>
  <si>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</si>
  <si>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</si>
  <si>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</si>
  <si>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</si>
  <si>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</si>
  <si>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</si>
  <si>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</si>
  <si>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</si>
  <si>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</si>
  <si>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</si>
  <si>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</si>
  <si>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</si>
  <si>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</si>
  <si>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</si>
  <si>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</si>
  <si>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</si>
  <si>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</si>
  <si>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</si>
  <si>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</si>
  <si>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</si>
  <si>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</si>
  <si>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</si>
  <si>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</si>
  <si>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</si>
  <si>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</si>
  <si>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</si>
  <si>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</si>
  <si>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</si>
  <si>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</si>
  <si>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</si>
  <si>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</si>
  <si>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</si>
  <si>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</si>
  <si>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</si>
  <si>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</si>
  <si>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</si>
  <si>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</si>
  <si>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</si>
  <si>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</si>
  <si>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</si>
  <si>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</si>
  <si>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</si>
  <si>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</si>
  <si>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</si>
  <si>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</si>
  <si>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</si>
  <si>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</si>
  <si>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</si>
  <si>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</si>
  <si>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</si>
  <si>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</si>
  <si>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</si>
  <si>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</si>
  <si>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</si>
  <si>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</si>
  <si>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</si>
  <si>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</si>
  <si>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</si>
  <si>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</si>
  <si>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</si>
  <si>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</si>
  <si>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</si>
  <si>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</si>
  <si>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</si>
  <si>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</si>
  <si>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</si>
  <si>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</si>
  <si>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</si>
  <si>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</si>
  <si>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</si>
  <si>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</si>
  <si>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</si>
  <si>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</si>
  <si>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</si>
  <si>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</si>
  <si>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</si>
  <si>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</si>
  <si>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</si>
  <si>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</si>
  <si>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</si>
  <si>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</si>
  <si>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</si>
  <si>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</si>
  <si>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</si>
  <si>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</si>
  <si>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</si>
  <si>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</si>
  <si>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</si>
  <si>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</si>
  <si>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</si>
  <si>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</si>
  <si>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</si>
  <si>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</si>
  <si>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</si>
  <si>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</si>
  <si>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</si>
  <si>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</si>
  <si>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</si>
  <si>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</si>
  <si>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</si>
  <si>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</si>
  <si>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</si>
  <si>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</si>
  <si>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</si>
  <si>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</si>
  <si>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</si>
  <si>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</si>
  <si>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</si>
  <si>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</si>
  <si>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</si>
  <si>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</si>
  <si>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</si>
  <si>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</si>
  <si>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</si>
  <si>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</si>
  <si>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</si>
  <si>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</si>
  <si>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</si>
  <si>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</si>
  <si>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</si>
  <si>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</si>
  <si>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</si>
  <si>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</si>
  <si>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</si>
  <si>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</si>
  <si>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</si>
  <si>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</si>
  <si>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</si>
  <si>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</si>
  <si>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</si>
  <si>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</si>
  <si>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</si>
  <si>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</si>
  <si>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</si>
  <si>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</si>
  <si>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</si>
  <si>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</si>
  <si>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</si>
  <si>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</si>
  <si>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</si>
  <si>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</si>
  <si>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</si>
  <si>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</si>
  <si>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</si>
  <si>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</si>
  <si>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</si>
  <si>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</si>
  <si>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</si>
  <si>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</si>
  <si>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</si>
  <si>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</si>
  <si>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</si>
  <si>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</si>
  <si>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</si>
  <si>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</si>
  <si>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</si>
  <si>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</si>
  <si>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</si>
  <si>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</si>
  <si>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</si>
  <si>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</si>
  <si>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</si>
  <si>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</si>
  <si>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</si>
  <si>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</si>
  <si>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</si>
  <si>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</si>
  <si>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</si>
  <si>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</si>
  <si>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</si>
  <si>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</si>
  <si>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</si>
  <si>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</si>
  <si>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</si>
  <si>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</si>
  <si>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</si>
  <si>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</si>
  <si>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</si>
  <si>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</si>
  <si>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</si>
  <si>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</si>
  <si>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</si>
  <si>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</si>
  <si>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</si>
  <si>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</si>
  <si>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</si>
  <si>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</si>
  <si>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</si>
  <si>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</si>
  <si>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</si>
  <si>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</si>
  <si>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</si>
  <si>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</si>
  <si>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</si>
  <si>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</si>
  <si>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</si>
  <si>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</si>
  <si>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</si>
  <si>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</si>
  <si>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</si>
  <si>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</si>
  <si>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</si>
  <si>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</si>
  <si>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</si>
  <si>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</si>
  <si>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</si>
  <si>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</si>
  <si>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</si>
  <si>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</si>
  <si>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</si>
  <si>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</si>
  <si>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</si>
  <si>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</si>
  <si>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</si>
  <si>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</si>
  <si>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</si>
  <si>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</si>
  <si>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</si>
  <si>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</si>
  <si>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</si>
  <si>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</si>
  <si>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</si>
  <si>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</si>
  <si>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</si>
  <si>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</si>
  <si>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</si>
  <si>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</si>
  <si>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</si>
  <si>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</si>
  <si>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</si>
  <si>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</si>
  <si>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</si>
  <si>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</si>
  <si>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</si>
  <si>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</si>
  <si>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</si>
  <si>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</si>
  <si>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</si>
  <si>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</si>
  <si>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</si>
  <si>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</si>
  <si>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</si>
  <si>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</si>
  <si>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</si>
  <si>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</si>
  <si>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</si>
  <si>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</si>
  <si>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</si>
  <si>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</si>
  <si>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</si>
  <si>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</si>
  <si>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</si>
  <si>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</si>
  <si>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</si>
  <si>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</si>
  <si>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</si>
  <si>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</si>
  <si>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</si>
  <si>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</si>
  <si>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</si>
  <si>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</si>
  <si>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</si>
  <si>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</si>
  <si>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</si>
  <si>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</si>
  <si>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</si>
  <si>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</si>
  <si>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</si>
  <si>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</si>
  <si>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</si>
  <si>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</si>
  <si>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</si>
  <si>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</si>
  <si>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</si>
  <si>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</si>
  <si>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</si>
  <si>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</si>
  <si>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</si>
  <si>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</si>
  <si>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</si>
  <si>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</si>
  <si>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</si>
  <si>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</si>
  <si>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</si>
  <si>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</si>
  <si>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</si>
  <si>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</si>
  <si>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</si>
  <si>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</si>
  <si>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</si>
  <si>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</si>
  <si>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</si>
  <si>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</si>
  <si>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</si>
  <si>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</si>
  <si>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</si>
  <si>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</si>
  <si>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</si>
  <si>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</si>
  <si>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</si>
  <si>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</si>
  <si>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</si>
  <si>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</si>
  <si>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</si>
  <si>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</si>
  <si>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</si>
  <si>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</si>
  <si>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</si>
  <si>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</si>
  <si>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</si>
  <si>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</si>
  <si>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</si>
  <si>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</si>
  <si>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</si>
  <si>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</si>
  <si>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</si>
  <si>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</si>
  <si>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</si>
  <si>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</si>
  <si>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</si>
  <si>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</si>
  <si>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</si>
  <si>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</si>
  <si>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</si>
  <si>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</si>
  <si>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</si>
  <si>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</si>
  <si>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</si>
  <si>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</si>
  <si>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</si>
  <si>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</si>
  <si>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</si>
  <si>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</si>
  <si>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</si>
  <si>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</si>
  <si>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</si>
  <si>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</si>
  <si>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</si>
  <si>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</si>
  <si>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</si>
  <si>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</si>
  <si>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</si>
  <si>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</si>
  <si>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</si>
  <si>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</si>
  <si>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</si>
  <si>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</si>
  <si>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</si>
  <si>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</si>
  <si>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</si>
  <si>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</si>
  <si>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</si>
  <si>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</si>
  <si>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</si>
  <si>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</si>
  <si>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</si>
  <si>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</si>
  <si>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</si>
  <si>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</si>
  <si>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</si>
  <si>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</si>
  <si>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</si>
  <si>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</si>
  <si>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</si>
  <si>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</si>
  <si>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</si>
  <si>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</si>
  <si>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</si>
  <si>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</si>
  <si>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</si>
  <si>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</si>
  <si>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</si>
  <si>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</si>
  <si>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</si>
  <si>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</si>
  <si>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</si>
  <si>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</si>
  <si>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</si>
  <si>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</si>
  <si>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</si>
  <si>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</si>
  <si>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</si>
  <si>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</si>
  <si>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</si>
  <si>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Buffer Flow 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</si>
  <si>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</si>
  <si>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</si>
  <si>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</si>
  <si>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</si>
  <si>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</si>
  <si>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</si>
  <si>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</si>
  <si>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</si>
  <si>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</si>
  <si>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</si>
  <si>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</si>
  <si>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</si>
  <si>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</si>
  <si>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</si>
  <si>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</si>
  <si>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</si>
  <si>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</si>
  <si>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</si>
  <si>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</si>
  <si>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</si>
  <si>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</si>
  <si>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</si>
  <si>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</si>
  <si>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</si>
  <si>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</si>
  <si>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</si>
  <si>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</si>
  <si>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</si>
  <si>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</si>
  <si>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</si>
  <si>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</si>
  <si>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</si>
  <si>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</si>
  <si>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</si>
  <si>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</si>
  <si>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</si>
  <si>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</si>
  <si>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</si>
  <si>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</si>
  <si>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</si>
  <si>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</si>
  <si>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</si>
  <si>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</si>
  <si>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</si>
  <si>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</si>
  <si>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</si>
  <si>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</si>
  <si>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</si>
  <si>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</si>
  <si>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</si>
  <si>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</si>
  <si>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</si>
  <si>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</si>
  <si>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</si>
  <si>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</si>
  <si>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</si>
  <si>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</si>
  <si>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</si>
  <si>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</si>
  <si>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</si>
  <si>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</si>
  <si>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</si>
  <si>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</si>
  <si>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</si>
  <si>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</si>
  <si>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</si>
  <si>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</si>
  <si>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</si>
  <si>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</si>
  <si>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</si>
  <si>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</si>
  <si>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</si>
  <si>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</si>
  <si>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</si>
  <si>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</si>
  <si>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</si>
  <si>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</si>
  <si>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</si>
  <si>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</si>
  <si>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</si>
  <si>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</si>
  <si>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</si>
  <si>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</si>
  <si>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</si>
  <si>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Calculado</t>
  </si>
  <si>
    <t>Mdiv (kg/h)</t>
  </si>
  <si>
    <t>Mdiv_sp</t>
  </si>
  <si>
    <t>Guarantee</t>
  </si>
  <si>
    <t xml:space="preserve"> - </t>
  </si>
  <si>
    <t>Balance line and div. wall leakage</t>
  </si>
  <si>
    <t>Variable Speed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</si>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</sst>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50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2" fillId="25" borderId="28" xfId="0" applyFont="1" applyFill="1" applyBorder="1" applyAlignment="1">
      <alignment horizontal="center" vertical="center"/>
    </xf>
    <xf numFmtId="0" fontId="25" fillId="25" borderId="21" xfId="0" applyFont="1" applyFill="1" applyBorder="1" applyAlignment="1">
      <alignment horizontal="center" vertical="center"/>
    </xf>
    <xf numFmtId="0" fontId="23" fillId="25" borderId="21" xfId="0" applyFont="1" applyFill="1" applyBorder="1"/>
    <xf numFmtId="0" fontId="23" fillId="25" borderId="29" xfId="0" applyFont="1" applyFill="1" applyBorder="1"/>
    <xf numFmtId="0" fontId="0" fillId="0" borderId="0" xfId="0" applyAlignment="1" applyProtection="1">
      <alignment horizontal="center" wrapText="1"/>
      <protection locked="0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3" fillId="24" borderId="79" xfId="0" applyFont="1" applyFill="1" applyBorder="1" applyAlignment="1">
      <alignment horizontal="center" vertical="center"/>
    </xf>
    <xf numFmtId="0" fontId="23" fillId="24" borderId="84" xfId="0" applyFont="1" applyFill="1" applyBorder="1" applyAlignment="1">
      <alignment horizontal="center" vertical="center"/>
    </xf>
    <xf numFmtId="0" fontId="23" fillId="24" borderId="34" xfId="0" applyFont="1" applyFill="1" applyBorder="1" applyAlignment="1">
      <alignment horizontal="center" vertical="center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374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125.96275265792249</c:v>
                </c:pt>
                <c:pt idx="1">
                  <c:v>123.73020339615709</c:v>
                </c:pt>
                <c:pt idx="2">
                  <c:v>120.89215590152328</c:v>
                </c:pt>
                <c:pt idx="3">
                  <c:v>110.1628806159674</c:v>
                </c:pt>
                <c:pt idx="4">
                  <c:v>77.549378297715336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1765.0690179703577</c:v>
                </c:pt>
                <c:pt idx="1">
                  <c:v>2044.4032132100269</c:v>
                </c:pt>
                <c:pt idx="2" formatCode="0.0000">
                  <c:v>2247.5037995620478</c:v>
                </c:pt>
                <c:pt idx="3">
                  <c:v>2741.2159487321574</c:v>
                </c:pt>
                <c:pt idx="4">
                  <c:v>3269.4926013563972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8986326.8127629422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11427452.104761589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0.99720421301419593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0.65657688299185191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0.53394665429152144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1.9564820693340756E-3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64.267561390024781</c:v>
                </c:pt>
                <c:pt idx="1">
                  <c:v>61.59804203504148</c:v>
                </c:pt>
                <c:pt idx="2">
                  <c:v>55.997334307487435</c:v>
                </c:pt>
                <c:pt idx="3">
                  <c:v>43.632119686959278</c:v>
                </c:pt>
                <c:pt idx="4">
                  <c:v>30.836443930475674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527.88716850393553</c:v>
                </c:pt>
                <c:pt idx="1">
                  <c:v>658.41349588017147</c:v>
                </c:pt>
                <c:pt idx="2" formatCode="0.0000">
                  <c:v>848.45696447997739</c:v>
                </c:pt>
                <c:pt idx="3">
                  <c:v>1045.1073218776332</c:v>
                </c:pt>
                <c:pt idx="4">
                  <c:v>1151.5315424983739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31976</xdr:colOff>
      <xdr:row>50</xdr:row>
      <xdr:rowOff>64632</xdr:rowOff>
    </xdr:from>
    <xdr:to>
      <xdr:col>13</xdr:col>
      <xdr:colOff>131989</xdr:colOff>
      <xdr:row>68</xdr:row>
      <xdr:rowOff>183696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450396</xdr:colOff>
      <xdr:row>49</xdr:row>
      <xdr:rowOff>150357</xdr:rowOff>
    </xdr:from>
    <xdr:to>
      <xdr:col>21</xdr:col>
      <xdr:colOff>68715</xdr:colOff>
      <xdr:row>68</xdr:row>
      <xdr:rowOff>97970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</sheetNames>
    <definedNames>
      <definedName name="FluidString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429</v>
      </c>
      <c r="C2" s="416" t="s">
        <v>430</v>
      </c>
      <c r="D2" s="417" t="s">
        <v>431</v>
      </c>
      <c r="E2" s="418" t="s">
        <v>432</v>
      </c>
      <c r="F2" s="418" t="s">
        <v>433</v>
      </c>
      <c r="G2" s="419" t="s">
        <v>434</v>
      </c>
      <c r="H2" s="420" t="s">
        <v>435</v>
      </c>
      <c r="I2" s="421" t="s">
        <v>436</v>
      </c>
      <c r="J2" s="450" t="s">
        <v>437</v>
      </c>
      <c r="K2" s="421" t="s">
        <v>484</v>
      </c>
    </row>
    <row r="3" spans="2:13" x14ac:dyDescent="0.25">
      <c r="B3" s="422" t="s">
        <v>300</v>
      </c>
      <c r="C3" s="423" t="s">
        <v>438</v>
      </c>
      <c r="D3" s="422" t="s">
        <v>299</v>
      </c>
      <c r="E3" s="422" t="s">
        <v>395</v>
      </c>
      <c r="F3" s="422" t="s">
        <v>439</v>
      </c>
      <c r="G3" s="422" t="s">
        <v>440</v>
      </c>
      <c r="H3" s="422" t="s">
        <v>307</v>
      </c>
      <c r="I3" s="422" t="s">
        <v>301</v>
      </c>
      <c r="J3" s="443" t="s">
        <v>406</v>
      </c>
      <c r="K3" s="451" t="s">
        <v>500</v>
      </c>
      <c r="L3" s="439"/>
      <c r="M3" s="439"/>
    </row>
    <row r="4" spans="2:13" x14ac:dyDescent="0.25">
      <c r="B4" s="424" t="s">
        <v>441</v>
      </c>
      <c r="C4" s="423" t="s">
        <v>442</v>
      </c>
      <c r="D4" s="424" t="s">
        <v>443</v>
      </c>
      <c r="E4" s="424" t="s">
        <v>381</v>
      </c>
      <c r="F4" s="424" t="s">
        <v>444</v>
      </c>
      <c r="G4" s="424" t="s">
        <v>65</v>
      </c>
      <c r="H4" s="424" t="s">
        <v>94</v>
      </c>
      <c r="I4" s="424" t="s">
        <v>445</v>
      </c>
      <c r="J4" s="444" t="s">
        <v>133</v>
      </c>
      <c r="K4" s="451" t="s">
        <v>499</v>
      </c>
      <c r="L4" s="439"/>
      <c r="M4" s="439"/>
    </row>
    <row r="5" spans="2:13" x14ac:dyDescent="0.25">
      <c r="B5" s="424"/>
      <c r="C5" s="423" t="s">
        <v>309</v>
      </c>
      <c r="D5" s="424" t="s">
        <v>446</v>
      </c>
      <c r="E5" s="424" t="s">
        <v>447</v>
      </c>
      <c r="F5" s="424" t="s">
        <v>448</v>
      </c>
      <c r="G5" s="424"/>
      <c r="H5" s="424" t="s">
        <v>449</v>
      </c>
      <c r="I5" s="424" t="s">
        <v>450</v>
      </c>
      <c r="J5" s="444" t="s">
        <v>451</v>
      </c>
      <c r="K5" s="448" t="s">
        <v>502</v>
      </c>
      <c r="L5" s="439"/>
      <c r="M5" s="439"/>
    </row>
    <row r="6" spans="2:13" x14ac:dyDescent="0.25">
      <c r="B6" s="424"/>
      <c r="C6" s="425" t="s">
        <v>452</v>
      </c>
      <c r="D6" s="424" t="s">
        <v>453</v>
      </c>
      <c r="E6" s="424" t="s">
        <v>454</v>
      </c>
      <c r="F6" s="424" t="s">
        <v>341</v>
      </c>
      <c r="G6" s="424"/>
      <c r="H6" s="424" t="s">
        <v>455</v>
      </c>
      <c r="I6" s="424"/>
      <c r="J6" s="444" t="s">
        <v>456</v>
      </c>
      <c r="K6" s="447" t="s">
        <v>97</v>
      </c>
      <c r="L6" s="439"/>
      <c r="M6" s="439"/>
    </row>
    <row r="7" spans="2:13" x14ac:dyDescent="0.25">
      <c r="B7" s="424"/>
      <c r="C7" s="423" t="s">
        <v>457</v>
      </c>
      <c r="D7" s="424" t="s">
        <v>458</v>
      </c>
      <c r="E7" s="424" t="s">
        <v>459</v>
      </c>
      <c r="F7" s="424" t="s">
        <v>460</v>
      </c>
      <c r="G7" s="424"/>
      <c r="H7" s="424"/>
      <c r="I7" s="424"/>
      <c r="J7" s="444" t="s">
        <v>461</v>
      </c>
      <c r="K7" s="448" t="s">
        <v>485</v>
      </c>
      <c r="L7" s="439"/>
      <c r="M7" s="439"/>
    </row>
    <row r="8" spans="2:13" x14ac:dyDescent="0.25">
      <c r="B8" s="424"/>
      <c r="C8" s="423" t="s">
        <v>462</v>
      </c>
      <c r="D8" s="424" t="s">
        <v>463</v>
      </c>
      <c r="E8" s="424" t="s">
        <v>464</v>
      </c>
      <c r="F8" s="424" t="s">
        <v>465</v>
      </c>
      <c r="G8" s="424"/>
      <c r="H8" s="424"/>
      <c r="I8" s="424"/>
      <c r="J8" s="444"/>
      <c r="K8" s="448" t="s">
        <v>505</v>
      </c>
      <c r="L8" s="439"/>
      <c r="M8" s="439"/>
    </row>
    <row r="9" spans="2:13" x14ac:dyDescent="0.25">
      <c r="B9" s="424"/>
      <c r="C9" s="423" t="s">
        <v>466</v>
      </c>
      <c r="D9" s="424" t="s">
        <v>467</v>
      </c>
      <c r="E9" s="424" t="s">
        <v>468</v>
      </c>
      <c r="F9" s="424" t="s">
        <v>469</v>
      </c>
      <c r="G9" s="424"/>
      <c r="H9" s="424"/>
      <c r="I9" s="424"/>
      <c r="J9" s="444"/>
      <c r="K9" s="448" t="s">
        <v>503</v>
      </c>
      <c r="L9" s="439"/>
      <c r="M9" s="439"/>
    </row>
    <row r="10" spans="2:13" x14ac:dyDescent="0.25">
      <c r="B10" s="424"/>
      <c r="C10" s="423" t="s">
        <v>470</v>
      </c>
      <c r="D10" s="424" t="s">
        <v>471</v>
      </c>
      <c r="E10" s="424" t="s">
        <v>472</v>
      </c>
      <c r="F10" s="424"/>
      <c r="G10" s="424"/>
      <c r="H10" s="424"/>
      <c r="I10" s="424"/>
      <c r="J10" s="444"/>
      <c r="K10" s="448" t="s">
        <v>480</v>
      </c>
      <c r="L10" s="440"/>
      <c r="M10" s="440"/>
    </row>
    <row r="11" spans="2:13" x14ac:dyDescent="0.25">
      <c r="B11" s="424"/>
      <c r="C11" s="423" t="s">
        <v>473</v>
      </c>
      <c r="D11" s="424" t="s">
        <v>474</v>
      </c>
      <c r="E11" s="424"/>
      <c r="F11" s="424"/>
      <c r="G11" s="424"/>
      <c r="H11" s="424"/>
      <c r="I11" s="424"/>
      <c r="J11" s="444"/>
      <c r="K11" s="451" t="s">
        <v>496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501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488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492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490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498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493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487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495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494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491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489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504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506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497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486</v>
      </c>
    </row>
    <row r="35" spans="2:11" x14ac:dyDescent="0.25">
      <c r="K35" s="440"/>
    </row>
    <row r="36" spans="2:11" ht="14.45" customHeight="1" x14ac:dyDescent="0.25">
      <c r="C36" s="511"/>
      <c r="D36" s="428"/>
      <c r="E36" s="429"/>
      <c r="F36" s="429"/>
      <c r="H36" s="429"/>
      <c r="K36" s="440"/>
    </row>
    <row r="37" spans="2:11" x14ac:dyDescent="0.25">
      <c r="C37" s="511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zoomScaleNormal="100" workbookViewId="0">
      <selection activeCell="D3" sqref="D3:L3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614" t="s">
        <v>428</v>
      </c>
      <c r="B3" s="615"/>
      <c r="C3" s="615"/>
      <c r="D3" s="616"/>
      <c r="E3" s="616"/>
      <c r="F3" s="616"/>
      <c r="G3" s="616"/>
      <c r="H3" s="616"/>
      <c r="I3" s="616"/>
      <c r="J3" s="616"/>
      <c r="K3" s="616"/>
      <c r="L3" s="616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49" t="s">
        <v>5</v>
      </c>
      <c r="B4" s="550"/>
      <c r="C4" s="550"/>
      <c r="D4" s="550"/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76"/>
      <c r="AE4" s="576"/>
      <c r="AF4" s="576"/>
      <c r="AG4" s="576"/>
      <c r="AH4" s="576"/>
      <c r="AI4" s="576"/>
      <c r="AJ4" s="576"/>
      <c r="AK4" s="576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51" t="s">
        <v>8</v>
      </c>
      <c r="B5" s="55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86" t="s">
        <v>279</v>
      </c>
      <c r="B6" s="587"/>
      <c r="C6" s="587"/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77"/>
      <c r="F8" s="577"/>
      <c r="G8" s="577"/>
      <c r="H8" s="577"/>
      <c r="I8" s="577"/>
      <c r="J8" s="577"/>
      <c r="K8" s="577"/>
      <c r="L8" s="577"/>
      <c r="M8" s="577"/>
      <c r="N8" s="577"/>
      <c r="O8" s="577"/>
      <c r="P8" s="577"/>
      <c r="Q8" s="577"/>
      <c r="R8" s="577"/>
      <c r="S8" s="577"/>
      <c r="T8" s="577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76"/>
      <c r="F9" s="576"/>
      <c r="G9" s="576"/>
      <c r="H9" s="576"/>
      <c r="I9" s="576"/>
      <c r="J9" s="576"/>
      <c r="K9" s="576"/>
      <c r="L9" s="576"/>
      <c r="M9" s="576"/>
      <c r="N9" s="576"/>
      <c r="O9" s="576"/>
      <c r="P9" s="576"/>
      <c r="Q9" s="576"/>
      <c r="R9" s="576"/>
      <c r="S9" s="576"/>
      <c r="T9" s="576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76"/>
      <c r="F10" s="576"/>
      <c r="G10" s="576"/>
      <c r="H10" s="576"/>
      <c r="I10" s="576"/>
      <c r="J10" s="576"/>
      <c r="K10" s="576"/>
      <c r="L10" s="576"/>
      <c r="M10" s="576"/>
      <c r="N10" s="576"/>
      <c r="O10" s="576"/>
      <c r="P10" s="576"/>
      <c r="Q10" s="576"/>
      <c r="R10" s="576"/>
      <c r="S10" s="576"/>
      <c r="T10" s="576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61" t="s">
        <v>31</v>
      </c>
      <c r="C15" s="562"/>
      <c r="D15" s="562"/>
      <c r="E15" s="562"/>
      <c r="F15" s="562"/>
      <c r="G15" s="562"/>
      <c r="H15" s="562"/>
      <c r="I15" s="562"/>
      <c r="J15" s="562"/>
      <c r="K15" s="562"/>
      <c r="L15" s="562"/>
      <c r="M15" s="562"/>
      <c r="N15" s="562"/>
      <c r="O15" s="562"/>
      <c r="P15" s="562"/>
      <c r="Q15" s="562"/>
      <c r="R15" s="562"/>
      <c r="S15" s="562"/>
      <c r="T15" s="562"/>
      <c r="U15" s="562"/>
      <c r="V15" s="562"/>
      <c r="W15" s="562"/>
      <c r="X15" s="562"/>
      <c r="Y15" s="562"/>
      <c r="Z15" s="562"/>
      <c r="AA15" s="562"/>
      <c r="AB15" s="562"/>
      <c r="AC15" s="562"/>
      <c r="AD15" s="562"/>
      <c r="AE15" s="562"/>
      <c r="AF15" s="562"/>
      <c r="AG15" s="562"/>
      <c r="AH15" s="562"/>
      <c r="AI15" s="562"/>
      <c r="AJ15" s="562"/>
      <c r="AK15" s="562"/>
      <c r="AL15" s="562"/>
      <c r="AM15" s="563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78" t="s">
        <v>32</v>
      </c>
      <c r="C16" s="579"/>
      <c r="D16" s="579"/>
      <c r="E16" s="579"/>
      <c r="F16" s="579"/>
      <c r="G16" s="579"/>
      <c r="H16" s="579"/>
      <c r="I16" s="579"/>
      <c r="J16" s="579"/>
      <c r="K16" s="579"/>
      <c r="L16" s="579"/>
      <c r="M16" s="579"/>
      <c r="N16" s="579"/>
      <c r="O16" s="579"/>
      <c r="P16" s="579"/>
      <c r="Q16" s="579"/>
      <c r="R16" s="579"/>
      <c r="S16" s="13"/>
      <c r="T16" s="561" t="s">
        <v>33</v>
      </c>
      <c r="U16" s="562"/>
      <c r="V16" s="562"/>
      <c r="W16" s="562"/>
      <c r="X16" s="562"/>
      <c r="Y16" s="563"/>
      <c r="Z16" s="561" t="s">
        <v>34</v>
      </c>
      <c r="AA16" s="562"/>
      <c r="AB16" s="562"/>
      <c r="AC16" s="562"/>
      <c r="AD16" s="562"/>
      <c r="AE16" s="562"/>
      <c r="AF16" s="562"/>
      <c r="AG16" s="562"/>
      <c r="AH16" s="562"/>
      <c r="AI16" s="562"/>
      <c r="AJ16" s="562"/>
      <c r="AK16" s="562"/>
      <c r="AL16" s="562"/>
      <c r="AM16" s="563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61" t="s">
        <v>35</v>
      </c>
      <c r="U17" s="562"/>
      <c r="V17" s="563"/>
      <c r="W17" s="561"/>
      <c r="X17" s="562"/>
      <c r="Y17" s="563"/>
      <c r="Z17" s="561" t="s">
        <v>36</v>
      </c>
      <c r="AA17" s="562"/>
      <c r="AB17" s="563"/>
      <c r="AC17" s="561" t="s">
        <v>36</v>
      </c>
      <c r="AD17" s="562"/>
      <c r="AE17" s="563"/>
      <c r="AF17" s="561" t="s">
        <v>35</v>
      </c>
      <c r="AG17" s="562"/>
      <c r="AH17" s="563"/>
      <c r="AI17" s="561" t="s">
        <v>36</v>
      </c>
      <c r="AJ17" s="562"/>
      <c r="AK17" s="562"/>
      <c r="AL17" s="562"/>
      <c r="AM17" s="563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58"/>
      <c r="X20" s="559"/>
      <c r="Y20" s="560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32"/>
      <c r="AR20" s="532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80">
        <v>107400</v>
      </c>
      <c r="U21" s="581"/>
      <c r="V21" s="582"/>
      <c r="W21" s="558"/>
      <c r="X21" s="559"/>
      <c r="Y21" s="560"/>
      <c r="Z21" s="580">
        <v>117466</v>
      </c>
      <c r="AA21" s="581"/>
      <c r="AB21" s="582"/>
      <c r="AC21" s="583"/>
      <c r="AD21" s="584"/>
      <c r="AE21" s="585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414</v>
      </c>
      <c r="K23" s="13"/>
      <c r="L23" s="13"/>
      <c r="M23" s="13"/>
      <c r="N23" s="13"/>
      <c r="O23" s="13"/>
      <c r="P23" s="13"/>
      <c r="Q23" s="13"/>
      <c r="R23" s="13"/>
      <c r="S23" s="13"/>
      <c r="T23" s="536">
        <v>47.39</v>
      </c>
      <c r="U23" s="537"/>
      <c r="V23" s="538"/>
      <c r="W23" s="341"/>
      <c r="X23" s="342"/>
      <c r="Y23" s="343"/>
      <c r="Z23" s="536">
        <v>135.38</v>
      </c>
      <c r="AA23" s="537"/>
      <c r="AB23" s="538"/>
      <c r="AC23" s="541"/>
      <c r="AD23" s="542"/>
      <c r="AE23" s="543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53" t="s">
        <v>302</v>
      </c>
      <c r="AR23" s="554"/>
      <c r="AS23" s="554"/>
      <c r="AT23" s="555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36">
        <v>40</v>
      </c>
      <c r="U24" s="537"/>
      <c r="V24" s="538"/>
      <c r="W24" s="338"/>
      <c r="X24" s="339"/>
      <c r="Y24" s="340"/>
      <c r="Z24" s="536">
        <v>40</v>
      </c>
      <c r="AA24" s="537"/>
      <c r="AB24" s="538"/>
      <c r="AC24" s="541"/>
      <c r="AD24" s="542"/>
      <c r="AE24" s="543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56" t="s">
        <v>332</v>
      </c>
      <c r="AR24" s="557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24" t="s">
        <v>303</v>
      </c>
      <c r="AR25" s="525"/>
      <c r="AS25" s="366">
        <v>0.65657688299185191</v>
      </c>
      <c r="AT25" s="228">
        <v>0.53394665429152144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26" t="s">
        <v>304</v>
      </c>
      <c r="AR26" s="527"/>
      <c r="AS26" s="381">
        <v>8986326.8127629422</v>
      </c>
      <c r="AT26" s="240">
        <v>11427452.104761589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73"/>
      <c r="AD27" s="574"/>
      <c r="AE27" s="575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28" t="s">
        <v>305</v>
      </c>
      <c r="AR27" s="529"/>
      <c r="AS27" s="370">
        <v>0.455251986743269</v>
      </c>
      <c r="AT27" s="371">
        <v>1.2874895860936066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33"/>
      <c r="X28" s="534"/>
      <c r="Y28" s="535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70" t="s">
        <v>393</v>
      </c>
      <c r="AQ28" s="547" t="s">
        <v>389</v>
      </c>
      <c r="AR28" s="548"/>
      <c r="AS28" s="375">
        <v>121424.15243800028</v>
      </c>
      <c r="AT28" s="372">
        <v>59124.776849032809</v>
      </c>
      <c r="AU28" s="47" t="s">
        <v>395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80">
        <v>2283</v>
      </c>
      <c r="U29" s="581"/>
      <c r="V29" s="582"/>
      <c r="W29" s="558"/>
      <c r="X29" s="559"/>
      <c r="Y29" s="560"/>
      <c r="Z29" s="580">
        <v>726</v>
      </c>
      <c r="AA29" s="581"/>
      <c r="AB29" s="582"/>
      <c r="AC29" s="541"/>
      <c r="AD29" s="542"/>
      <c r="AE29" s="543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71"/>
      <c r="AQ29" s="564" t="s">
        <v>390</v>
      </c>
      <c r="AR29" s="565"/>
      <c r="AS29" s="376">
        <v>125.25502018342956</v>
      </c>
      <c r="AT29" s="373">
        <v>86.477834552979459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33"/>
      <c r="X30" s="534"/>
      <c r="Y30" s="535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72"/>
      <c r="AQ30" s="566" t="s">
        <v>391</v>
      </c>
      <c r="AR30" s="567"/>
      <c r="AS30" s="377">
        <v>4266.7693926976935</v>
      </c>
      <c r="AT30" s="374">
        <v>2804.0822986710627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36">
        <v>136.27000000000001</v>
      </c>
      <c r="U31" s="537"/>
      <c r="V31" s="538"/>
      <c r="W31" s="533"/>
      <c r="X31" s="534"/>
      <c r="Y31" s="535"/>
      <c r="Z31" s="536">
        <v>250.44</v>
      </c>
      <c r="AA31" s="537"/>
      <c r="AB31" s="538"/>
      <c r="AC31" s="541"/>
      <c r="AD31" s="542"/>
      <c r="AE31" s="543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70" t="s">
        <v>394</v>
      </c>
      <c r="AQ31" s="568" t="s">
        <v>389</v>
      </c>
      <c r="AR31" s="569"/>
      <c r="AS31" s="379">
        <v>121019.09107568485</v>
      </c>
      <c r="AT31" s="380">
        <v>59157.300145814341</v>
      </c>
      <c r="AU31" s="47" t="s">
        <v>395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36">
        <v>123.7</v>
      </c>
      <c r="U32" s="537"/>
      <c r="V32" s="538"/>
      <c r="W32" s="533"/>
      <c r="X32" s="534"/>
      <c r="Y32" s="535"/>
      <c r="Z32" s="536">
        <v>86.7</v>
      </c>
      <c r="AA32" s="537"/>
      <c r="AB32" s="538"/>
      <c r="AC32" s="541"/>
      <c r="AD32" s="542"/>
      <c r="AE32" s="543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71"/>
      <c r="AQ32" s="526" t="s">
        <v>306</v>
      </c>
      <c r="AR32" s="527"/>
      <c r="AS32" s="367">
        <v>0.87288655145086047</v>
      </c>
      <c r="AT32" s="226">
        <v>0.68285131976608626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72"/>
      <c r="AQ33" s="539" t="s">
        <v>392</v>
      </c>
      <c r="AR33" s="540"/>
      <c r="AS33" s="378">
        <v>4136.1650924245914</v>
      </c>
      <c r="AT33" s="227">
        <v>2826.7790992223559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30" t="s">
        <v>339</v>
      </c>
      <c r="AR34" s="531"/>
      <c r="AS34" s="368">
        <v>2279.484256270584</v>
      </c>
      <c r="AT34" s="227">
        <v>697.10193319617588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36">
        <v>4785.7</v>
      </c>
      <c r="U35" s="537"/>
      <c r="V35" s="538"/>
      <c r="W35" s="342"/>
      <c r="X35" s="342"/>
      <c r="Y35" s="342"/>
      <c r="Z35" s="536">
        <v>2856.5</v>
      </c>
      <c r="AA35" s="537"/>
      <c r="AB35" s="538"/>
      <c r="AC35" s="541"/>
      <c r="AD35" s="542"/>
      <c r="AE35" s="543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30" t="s">
        <v>340</v>
      </c>
      <c r="AR35" s="531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36">
        <v>4785.7</v>
      </c>
      <c r="U36" s="537"/>
      <c r="V36" s="538"/>
      <c r="W36" s="342"/>
      <c r="X36" s="342"/>
      <c r="Y36" s="342"/>
      <c r="Z36" s="536">
        <v>2856.5</v>
      </c>
      <c r="AA36" s="537"/>
      <c r="AB36" s="538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32"/>
      <c r="AR36" s="532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36">
        <v>12152.451870000001</v>
      </c>
      <c r="U38" s="537"/>
      <c r="V38" s="537"/>
      <c r="W38" s="537"/>
      <c r="X38" s="537"/>
      <c r="Y38" s="537"/>
      <c r="Z38" s="537"/>
      <c r="AA38" s="537"/>
      <c r="AB38" s="538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17" t="s">
        <v>382</v>
      </c>
      <c r="AQ39" s="518"/>
      <c r="AR39" s="518"/>
      <c r="AS39" s="519"/>
      <c r="AT39" s="514" t="s">
        <v>378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36">
        <v>121514</v>
      </c>
      <c r="U40" s="537"/>
      <c r="V40" s="538"/>
      <c r="W40" s="342"/>
      <c r="X40" s="342"/>
      <c r="Y40" s="342"/>
      <c r="Z40" s="536">
        <v>61645</v>
      </c>
      <c r="AA40" s="537"/>
      <c r="AB40" s="538"/>
      <c r="AC40" s="541"/>
      <c r="AD40" s="542"/>
      <c r="AE40" s="543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376</v>
      </c>
      <c r="AQ40" s="520" t="s">
        <v>379</v>
      </c>
      <c r="AR40" s="520"/>
      <c r="AS40" s="325" t="s">
        <v>380</v>
      </c>
      <c r="AT40" s="514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44">
        <v>0.84899999999999998</v>
      </c>
      <c r="U41" s="545"/>
      <c r="V41" s="546"/>
      <c r="W41" s="342"/>
      <c r="X41" s="342"/>
      <c r="Y41" s="342"/>
      <c r="Z41" s="544">
        <v>0.68799999999999994</v>
      </c>
      <c r="AA41" s="545"/>
      <c r="AB41" s="546"/>
      <c r="AC41" s="541"/>
      <c r="AD41" s="542"/>
      <c r="AE41" s="543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521" t="s">
        <v>381</v>
      </c>
      <c r="AR41" s="521"/>
      <c r="AS41" s="327" t="s">
        <v>65</v>
      </c>
      <c r="AT41" s="514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12">
        <v>128</v>
      </c>
      <c r="AR42" s="512"/>
      <c r="AS42" s="329">
        <v>0.85</v>
      </c>
      <c r="AT42" s="514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12">
        <v>124</v>
      </c>
      <c r="AR43" s="512"/>
      <c r="AS43" s="329">
        <v>0.85</v>
      </c>
      <c r="AT43" s="514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2279.484256270584</v>
      </c>
      <c r="AQ44" s="522">
        <v>121.01909107568486</v>
      </c>
      <c r="AR44" s="523"/>
      <c r="AS44" s="329">
        <v>0.87288655145086047</v>
      </c>
      <c r="AT44" s="514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2600</v>
      </c>
      <c r="AQ45" s="522">
        <v>116</v>
      </c>
      <c r="AR45" s="523"/>
      <c r="AS45" s="329">
        <v>0.84</v>
      </c>
      <c r="AT45" s="514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3000</v>
      </c>
      <c r="AQ46" s="512">
        <v>108</v>
      </c>
      <c r="AR46" s="512"/>
      <c r="AS46" s="329">
        <v>0.82</v>
      </c>
      <c r="AT46" s="514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3300</v>
      </c>
      <c r="AQ47" s="512">
        <v>84</v>
      </c>
      <c r="AR47" s="512"/>
      <c r="AS47" s="329">
        <v>0.7</v>
      </c>
      <c r="AT47" s="514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12"/>
      <c r="AR48" s="512"/>
      <c r="AS48" s="329"/>
      <c r="AT48" s="514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13"/>
      <c r="AR49" s="513"/>
      <c r="AS49" s="331"/>
      <c r="AT49" s="514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17" t="s">
        <v>383</v>
      </c>
      <c r="AQ50" s="518"/>
      <c r="AR50" s="518"/>
      <c r="AS50" s="519"/>
      <c r="AT50" s="514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376</v>
      </c>
      <c r="AQ51" s="520" t="s">
        <v>379</v>
      </c>
      <c r="AR51" s="520"/>
      <c r="AS51" s="325" t="s">
        <v>380</v>
      </c>
      <c r="AT51" s="514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521" t="s">
        <v>381</v>
      </c>
      <c r="AR52" s="521"/>
      <c r="AS52" s="327" t="s">
        <v>65</v>
      </c>
      <c r="AT52" s="514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522">
        <v>65</v>
      </c>
      <c r="AR53" s="523"/>
      <c r="AS53" s="329">
        <v>0.66</v>
      </c>
      <c r="AT53" s="514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697.10193319617588</v>
      </c>
      <c r="AQ54" s="522">
        <v>59.157300145814339</v>
      </c>
      <c r="AR54" s="523"/>
      <c r="AS54" s="329">
        <v>0.68285131976608626</v>
      </c>
      <c r="AT54" s="514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727.16</v>
      </c>
      <c r="AQ55" s="522">
        <v>61.63</v>
      </c>
      <c r="AR55" s="523"/>
      <c r="AS55" s="329">
        <v>0.68799999999999994</v>
      </c>
      <c r="AT55" s="514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800</v>
      </c>
      <c r="AQ56" s="522">
        <v>60</v>
      </c>
      <c r="AR56" s="523"/>
      <c r="AS56" s="329">
        <v>0.69</v>
      </c>
      <c r="AT56" s="514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1040</v>
      </c>
      <c r="AQ57" s="522">
        <v>50</v>
      </c>
      <c r="AR57" s="523"/>
      <c r="AS57" s="329">
        <v>0.68</v>
      </c>
      <c r="AT57" s="514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>
        <v>1120</v>
      </c>
      <c r="AQ58" s="512">
        <v>35</v>
      </c>
      <c r="AR58" s="512"/>
      <c r="AS58" s="329">
        <v>0.5</v>
      </c>
      <c r="AT58" s="514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12"/>
      <c r="AR59" s="512"/>
      <c r="AS59" s="329"/>
      <c r="AT59" s="514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13"/>
      <c r="AR60" s="513"/>
      <c r="AS60" s="331"/>
      <c r="AT60" s="514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91">
        <v>0</v>
      </c>
      <c r="X61" s="591"/>
      <c r="Y61" s="591"/>
      <c r="Z61" s="591"/>
      <c r="AA61" s="591"/>
      <c r="AB61" s="73" t="s">
        <v>2</v>
      </c>
      <c r="AC61" s="73"/>
      <c r="AD61" s="73"/>
      <c r="AE61" s="591" t="s">
        <v>82</v>
      </c>
      <c r="AF61" s="591"/>
      <c r="AG61" s="591"/>
      <c r="AH61" s="591"/>
      <c r="AI61" s="591"/>
      <c r="AJ61" s="591"/>
      <c r="AK61" s="591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92" t="s">
        <v>82</v>
      </c>
      <c r="Y62" s="592"/>
      <c r="Z62" s="592"/>
      <c r="AA62" s="592"/>
      <c r="AB62" s="78" t="s">
        <v>7</v>
      </c>
      <c r="AC62" s="78"/>
      <c r="AD62" s="591" t="s">
        <v>82</v>
      </c>
      <c r="AE62" s="591"/>
      <c r="AF62" s="591"/>
      <c r="AG62" s="591"/>
      <c r="AH62" s="591"/>
      <c r="AI62" s="591"/>
      <c r="AJ62" s="591"/>
      <c r="AK62" s="591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93" t="s">
        <v>87</v>
      </c>
      <c r="L66" s="594"/>
      <c r="M66" s="594"/>
      <c r="N66" s="594"/>
      <c r="O66" s="594"/>
      <c r="P66" s="594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98" t="s">
        <v>35</v>
      </c>
      <c r="L67" s="599"/>
      <c r="M67" s="606"/>
      <c r="N67" s="598"/>
      <c r="O67" s="599"/>
      <c r="P67" s="606"/>
      <c r="Q67" s="598" t="s">
        <v>36</v>
      </c>
      <c r="R67" s="599"/>
      <c r="S67" s="489"/>
      <c r="T67" s="49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618" t="s">
        <v>93</v>
      </c>
      <c r="AE67" s="619"/>
      <c r="AF67" s="619"/>
      <c r="AG67" s="619"/>
      <c r="AH67" s="619"/>
      <c r="AI67" s="619"/>
      <c r="AJ67" s="619"/>
      <c r="AK67" s="619"/>
      <c r="AL67" s="619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588" t="s">
        <v>487</v>
      </c>
      <c r="C69" s="589" t="s">
        <v>487</v>
      </c>
      <c r="D69" s="589" t="s">
        <v>487</v>
      </c>
      <c r="E69" s="589" t="s">
        <v>487</v>
      </c>
      <c r="F69" s="589" t="s">
        <v>487</v>
      </c>
      <c r="G69" s="590" t="s">
        <v>487</v>
      </c>
      <c r="H69" s="202"/>
      <c r="I69" s="203"/>
      <c r="J69" s="198"/>
      <c r="K69" s="595">
        <v>0.73660000000000003</v>
      </c>
      <c r="L69" s="596"/>
      <c r="M69" s="597"/>
      <c r="N69" s="98"/>
      <c r="O69" s="99"/>
      <c r="P69" s="99"/>
      <c r="Q69" s="595">
        <v>0.73660000000000003</v>
      </c>
      <c r="R69" s="596"/>
      <c r="S69" s="597"/>
      <c r="T69" s="48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588" t="s">
        <v>95</v>
      </c>
      <c r="C70" s="589" t="s">
        <v>487</v>
      </c>
      <c r="D70" s="589" t="s">
        <v>487</v>
      </c>
      <c r="E70" s="589" t="s">
        <v>487</v>
      </c>
      <c r="F70" s="589" t="s">
        <v>487</v>
      </c>
      <c r="G70" s="590" t="s">
        <v>487</v>
      </c>
      <c r="H70" s="202"/>
      <c r="I70" s="203"/>
      <c r="J70" s="198"/>
      <c r="K70" s="595">
        <v>0.11527</v>
      </c>
      <c r="L70" s="596"/>
      <c r="M70" s="597"/>
      <c r="N70" s="98"/>
      <c r="O70" s="99"/>
      <c r="P70" s="99"/>
      <c r="Q70" s="595">
        <v>0.11527</v>
      </c>
      <c r="R70" s="596"/>
      <c r="S70" s="597"/>
      <c r="T70" s="48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588" t="s">
        <v>96</v>
      </c>
      <c r="C71" s="589" t="s">
        <v>487</v>
      </c>
      <c r="D71" s="589" t="s">
        <v>487</v>
      </c>
      <c r="E71" s="589" t="s">
        <v>487</v>
      </c>
      <c r="F71" s="589" t="s">
        <v>487</v>
      </c>
      <c r="G71" s="590" t="s">
        <v>487</v>
      </c>
      <c r="H71" s="202"/>
      <c r="I71" s="203"/>
      <c r="J71" s="198"/>
      <c r="K71" s="595">
        <v>7.3779999999999998E-2</v>
      </c>
      <c r="L71" s="596"/>
      <c r="M71" s="597"/>
      <c r="N71" s="100"/>
      <c r="O71" s="99"/>
      <c r="P71" s="101"/>
      <c r="Q71" s="595">
        <v>7.3779999999999998E-2</v>
      </c>
      <c r="R71" s="596"/>
      <c r="S71" s="597"/>
      <c r="T71" s="48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588" t="s">
        <v>97</v>
      </c>
      <c r="C72" s="589" t="s">
        <v>487</v>
      </c>
      <c r="D72" s="589" t="s">
        <v>487</v>
      </c>
      <c r="E72" s="589" t="s">
        <v>487</v>
      </c>
      <c r="F72" s="589" t="s">
        <v>487</v>
      </c>
      <c r="G72" s="590" t="s">
        <v>487</v>
      </c>
      <c r="H72" s="202"/>
      <c r="I72" s="203"/>
      <c r="J72" s="198"/>
      <c r="K72" s="595">
        <v>1.8689999999999998E-2</v>
      </c>
      <c r="L72" s="596"/>
      <c r="M72" s="597"/>
      <c r="N72" s="100"/>
      <c r="O72" s="99"/>
      <c r="P72" s="101"/>
      <c r="Q72" s="595">
        <v>1.8689999999999998E-2</v>
      </c>
      <c r="R72" s="596"/>
      <c r="S72" s="597"/>
      <c r="T72" s="48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588" t="s">
        <v>98</v>
      </c>
      <c r="C73" s="589" t="s">
        <v>487</v>
      </c>
      <c r="D73" s="589" t="s">
        <v>487</v>
      </c>
      <c r="E73" s="589" t="s">
        <v>487</v>
      </c>
      <c r="F73" s="589" t="s">
        <v>487</v>
      </c>
      <c r="G73" s="590" t="s">
        <v>487</v>
      </c>
      <c r="H73" s="202"/>
      <c r="I73" s="203"/>
      <c r="J73" s="198"/>
      <c r="K73" s="595">
        <v>1.0999999999999999E-2</v>
      </c>
      <c r="L73" s="596"/>
      <c r="M73" s="597"/>
      <c r="N73" s="100"/>
      <c r="O73" s="99"/>
      <c r="P73" s="101"/>
      <c r="Q73" s="595">
        <v>1.0999999999999999E-2</v>
      </c>
      <c r="R73" s="596"/>
      <c r="S73" s="597"/>
      <c r="T73" s="48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588" t="s">
        <v>99</v>
      </c>
      <c r="C74" s="589" t="s">
        <v>487</v>
      </c>
      <c r="D74" s="589" t="s">
        <v>487</v>
      </c>
      <c r="E74" s="589" t="s">
        <v>487</v>
      </c>
      <c r="F74" s="589" t="s">
        <v>487</v>
      </c>
      <c r="G74" s="590" t="s">
        <v>487</v>
      </c>
      <c r="H74" s="202"/>
      <c r="I74" s="203"/>
      <c r="J74" s="198"/>
      <c r="K74" s="595">
        <v>3.3E-3</v>
      </c>
      <c r="L74" s="596"/>
      <c r="M74" s="597"/>
      <c r="N74" s="100"/>
      <c r="O74" s="99"/>
      <c r="P74" s="101"/>
      <c r="Q74" s="595">
        <v>3.3E-3</v>
      </c>
      <c r="R74" s="596"/>
      <c r="S74" s="597"/>
      <c r="T74" s="48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588" t="s">
        <v>100</v>
      </c>
      <c r="C75" s="589" t="s">
        <v>487</v>
      </c>
      <c r="D75" s="589" t="s">
        <v>487</v>
      </c>
      <c r="E75" s="589" t="s">
        <v>487</v>
      </c>
      <c r="F75" s="589" t="s">
        <v>487</v>
      </c>
      <c r="G75" s="590" t="s">
        <v>487</v>
      </c>
      <c r="H75" s="202"/>
      <c r="I75" s="203"/>
      <c r="J75" s="198"/>
      <c r="K75" s="595">
        <v>3.0000000000000001E-3</v>
      </c>
      <c r="L75" s="596"/>
      <c r="M75" s="597"/>
      <c r="N75" s="100"/>
      <c r="O75" s="99"/>
      <c r="P75" s="101"/>
      <c r="Q75" s="595">
        <v>3.0000000000000001E-3</v>
      </c>
      <c r="R75" s="596"/>
      <c r="S75" s="597"/>
      <c r="T75" s="48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588" t="s">
        <v>102</v>
      </c>
      <c r="C76" s="589" t="s">
        <v>487</v>
      </c>
      <c r="D76" s="589" t="s">
        <v>487</v>
      </c>
      <c r="E76" s="589" t="s">
        <v>487</v>
      </c>
      <c r="F76" s="589" t="s">
        <v>487</v>
      </c>
      <c r="G76" s="590" t="s">
        <v>487</v>
      </c>
      <c r="H76" s="202"/>
      <c r="I76" s="203"/>
      <c r="J76" s="198"/>
      <c r="K76" s="595">
        <v>5.9999999999999995E-4</v>
      </c>
      <c r="L76" s="596"/>
      <c r="M76" s="597"/>
      <c r="N76" s="100"/>
      <c r="O76" s="99"/>
      <c r="P76" s="101"/>
      <c r="Q76" s="595">
        <v>5.9999999999999995E-4</v>
      </c>
      <c r="R76" s="596"/>
      <c r="S76" s="597"/>
      <c r="T76" s="48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588" t="s">
        <v>104</v>
      </c>
      <c r="C77" s="589" t="s">
        <v>487</v>
      </c>
      <c r="D77" s="589" t="s">
        <v>487</v>
      </c>
      <c r="E77" s="589" t="s">
        <v>487</v>
      </c>
      <c r="F77" s="589" t="s">
        <v>487</v>
      </c>
      <c r="G77" s="590" t="s">
        <v>487</v>
      </c>
      <c r="H77" s="202"/>
      <c r="I77" s="203"/>
      <c r="J77" s="198"/>
      <c r="K77" s="595">
        <v>7.6E-3</v>
      </c>
      <c r="L77" s="596"/>
      <c r="M77" s="597"/>
      <c r="N77" s="98"/>
      <c r="O77" s="93"/>
      <c r="P77" s="97"/>
      <c r="Q77" s="595">
        <v>7.6E-3</v>
      </c>
      <c r="R77" s="596"/>
      <c r="S77" s="597"/>
      <c r="T77" s="48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588" t="s">
        <v>105</v>
      </c>
      <c r="C78" s="589" t="s">
        <v>487</v>
      </c>
      <c r="D78" s="589" t="s">
        <v>487</v>
      </c>
      <c r="E78" s="589" t="s">
        <v>487</v>
      </c>
      <c r="F78" s="589" t="s">
        <v>487</v>
      </c>
      <c r="G78" s="590" t="s">
        <v>487</v>
      </c>
      <c r="H78" s="202"/>
      <c r="I78" s="203"/>
      <c r="J78" s="198"/>
      <c r="K78" s="595">
        <v>2.0000000000000001E-4</v>
      </c>
      <c r="L78" s="596"/>
      <c r="M78" s="597"/>
      <c r="N78" s="98"/>
      <c r="O78" s="93"/>
      <c r="P78" s="97"/>
      <c r="Q78" s="595">
        <v>2.0000000000000001E-4</v>
      </c>
      <c r="R78" s="596"/>
      <c r="S78" s="597"/>
      <c r="T78" s="48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588" t="s">
        <v>485</v>
      </c>
      <c r="C79" s="589" t="s">
        <v>487</v>
      </c>
      <c r="D79" s="589" t="s">
        <v>487</v>
      </c>
      <c r="E79" s="589" t="s">
        <v>487</v>
      </c>
      <c r="F79" s="589" t="s">
        <v>487</v>
      </c>
      <c r="G79" s="590" t="s">
        <v>487</v>
      </c>
      <c r="H79" s="202"/>
      <c r="I79" s="203"/>
      <c r="J79" s="198"/>
      <c r="K79" s="595">
        <v>0.03</v>
      </c>
      <c r="L79" s="596"/>
      <c r="M79" s="597"/>
      <c r="N79" s="98"/>
      <c r="O79" s="93"/>
      <c r="P79" s="97"/>
      <c r="Q79" s="595">
        <v>0.03</v>
      </c>
      <c r="R79" s="596"/>
      <c r="S79" s="597"/>
      <c r="T79" s="48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588" t="s">
        <v>486</v>
      </c>
      <c r="C80" s="589" t="s">
        <v>487</v>
      </c>
      <c r="D80" s="589" t="s">
        <v>487</v>
      </c>
      <c r="E80" s="589" t="s">
        <v>487</v>
      </c>
      <c r="F80" s="589" t="s">
        <v>487</v>
      </c>
      <c r="G80" s="590" t="s">
        <v>487</v>
      </c>
      <c r="H80" s="202"/>
      <c r="I80" s="203"/>
      <c r="J80" s="198"/>
      <c r="K80" s="595">
        <v>0</v>
      </c>
      <c r="L80" s="596"/>
      <c r="M80" s="597"/>
      <c r="N80" s="98"/>
      <c r="O80" s="93"/>
      <c r="P80" s="97"/>
      <c r="Q80" s="595">
        <v>0</v>
      </c>
      <c r="R80" s="596"/>
      <c r="S80" s="597"/>
      <c r="T80" s="48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588" t="s">
        <v>492</v>
      </c>
      <c r="C81" s="589" t="s">
        <v>487</v>
      </c>
      <c r="D81" s="589" t="s">
        <v>487</v>
      </c>
      <c r="E81" s="589" t="s">
        <v>487</v>
      </c>
      <c r="F81" s="589" t="s">
        <v>487</v>
      </c>
      <c r="G81" s="590" t="s">
        <v>487</v>
      </c>
      <c r="H81" s="202"/>
      <c r="I81" s="203"/>
      <c r="J81" s="198"/>
      <c r="K81" s="595">
        <v>0</v>
      </c>
      <c r="L81" s="596"/>
      <c r="M81" s="597"/>
      <c r="N81" s="98"/>
      <c r="O81" s="93"/>
      <c r="P81" s="97"/>
      <c r="Q81" s="595">
        <v>0</v>
      </c>
      <c r="R81" s="596"/>
      <c r="S81" s="597"/>
      <c r="T81" s="48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588" t="s">
        <v>492</v>
      </c>
      <c r="C82" s="589" t="s">
        <v>487</v>
      </c>
      <c r="D82" s="589" t="s">
        <v>487</v>
      </c>
      <c r="E82" s="589" t="s">
        <v>487</v>
      </c>
      <c r="F82" s="589" t="s">
        <v>487</v>
      </c>
      <c r="G82" s="590" t="s">
        <v>487</v>
      </c>
      <c r="H82" s="202"/>
      <c r="I82" s="203"/>
      <c r="J82" s="198"/>
      <c r="K82" s="595">
        <v>0</v>
      </c>
      <c r="L82" s="596"/>
      <c r="M82" s="597"/>
      <c r="N82" s="98"/>
      <c r="O82" s="93"/>
      <c r="P82" s="97"/>
      <c r="Q82" s="595">
        <v>0</v>
      </c>
      <c r="R82" s="596"/>
      <c r="S82" s="597"/>
      <c r="T82" s="48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588" t="s">
        <v>492</v>
      </c>
      <c r="C83" s="589" t="s">
        <v>487</v>
      </c>
      <c r="D83" s="589" t="s">
        <v>487</v>
      </c>
      <c r="E83" s="589" t="s">
        <v>487</v>
      </c>
      <c r="F83" s="589" t="s">
        <v>487</v>
      </c>
      <c r="G83" s="590" t="s">
        <v>487</v>
      </c>
      <c r="H83" s="202"/>
      <c r="I83" s="203"/>
      <c r="J83" s="198"/>
      <c r="K83" s="595">
        <v>0</v>
      </c>
      <c r="L83" s="596"/>
      <c r="M83" s="597"/>
      <c r="N83" s="98"/>
      <c r="O83" s="93"/>
      <c r="P83" s="97"/>
      <c r="Q83" s="595">
        <v>0</v>
      </c>
      <c r="R83" s="596"/>
      <c r="S83" s="597"/>
      <c r="T83" s="48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588" t="s">
        <v>492</v>
      </c>
      <c r="C84" s="589" t="s">
        <v>487</v>
      </c>
      <c r="D84" s="589" t="s">
        <v>487</v>
      </c>
      <c r="E84" s="589" t="s">
        <v>487</v>
      </c>
      <c r="F84" s="589" t="s">
        <v>487</v>
      </c>
      <c r="G84" s="590" t="s">
        <v>487</v>
      </c>
      <c r="H84" s="202"/>
      <c r="I84" s="203"/>
      <c r="J84" s="198"/>
      <c r="K84" s="595">
        <v>0</v>
      </c>
      <c r="L84" s="596"/>
      <c r="M84" s="597"/>
      <c r="N84" s="98"/>
      <c r="O84" s="93"/>
      <c r="P84" s="97"/>
      <c r="Q84" s="595">
        <v>0</v>
      </c>
      <c r="R84" s="596"/>
      <c r="S84" s="597"/>
      <c r="T84" s="48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588" t="s">
        <v>492</v>
      </c>
      <c r="C85" s="589" t="s">
        <v>487</v>
      </c>
      <c r="D85" s="589" t="s">
        <v>487</v>
      </c>
      <c r="E85" s="589" t="s">
        <v>487</v>
      </c>
      <c r="F85" s="589" t="s">
        <v>487</v>
      </c>
      <c r="G85" s="590" t="s">
        <v>487</v>
      </c>
      <c r="H85" s="202"/>
      <c r="I85" s="203"/>
      <c r="J85" s="198"/>
      <c r="K85" s="595">
        <v>0</v>
      </c>
      <c r="L85" s="596"/>
      <c r="M85" s="597"/>
      <c r="N85" s="98"/>
      <c r="O85" s="93"/>
      <c r="P85" s="97"/>
      <c r="Q85" s="595">
        <v>0</v>
      </c>
      <c r="R85" s="596"/>
      <c r="S85" s="597"/>
      <c r="T85" s="48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588"/>
      <c r="C86" s="589"/>
      <c r="D86" s="589"/>
      <c r="E86" s="589"/>
      <c r="F86" s="589"/>
      <c r="G86" s="590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48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588"/>
      <c r="C87" s="589"/>
      <c r="D87" s="589"/>
      <c r="E87" s="589"/>
      <c r="F87" s="589"/>
      <c r="G87" s="590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48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588"/>
      <c r="C88" s="589"/>
      <c r="D88" s="589"/>
      <c r="E88" s="589"/>
      <c r="F88" s="589"/>
      <c r="G88" s="590"/>
      <c r="H88" s="199"/>
      <c r="I88" s="200"/>
      <c r="J88" s="201"/>
      <c r="K88" s="200"/>
      <c r="L88" s="200"/>
      <c r="M88" s="201"/>
      <c r="N88" s="611">
        <v>0</v>
      </c>
      <c r="O88" s="612"/>
      <c r="P88" s="613"/>
      <c r="Q88" s="467"/>
      <c r="R88" s="467"/>
      <c r="S88" s="468"/>
      <c r="T88" s="48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600">
        <f>IF(SUM(K69:M88)=0,"",SUM(K69:M85))</f>
        <v>1.00004</v>
      </c>
      <c r="L89" s="601"/>
      <c r="M89" s="602"/>
      <c r="N89" s="603" t="str">
        <f>IF(SUM(N69:P88)=0,"",SUM(N69:P88))</f>
        <v/>
      </c>
      <c r="O89" s="604"/>
      <c r="P89" s="605"/>
      <c r="Q89" s="600">
        <f>IF(SUM(Q69:S88)=0,"",SUM(Q69:S85))</f>
        <v>1.00004</v>
      </c>
      <c r="R89" s="601"/>
      <c r="S89" s="602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607">
        <v>22.307570533578655</v>
      </c>
      <c r="L90" s="608"/>
      <c r="M90" s="609"/>
      <c r="N90" s="607"/>
      <c r="O90" s="608"/>
      <c r="P90" s="609"/>
      <c r="Q90" s="607">
        <v>22.307570533578655</v>
      </c>
      <c r="R90" s="608"/>
      <c r="S90" s="609"/>
      <c r="T90" s="48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610" t="s">
        <v>1</v>
      </c>
      <c r="X118" s="610"/>
      <c r="Y118" s="610"/>
      <c r="Z118" s="610"/>
      <c r="AA118" s="610"/>
      <c r="AB118" s="128" t="s">
        <v>2</v>
      </c>
      <c r="AC118" s="128"/>
      <c r="AD118" s="128"/>
      <c r="AE118" s="610" t="e">
        <v>#REF!</v>
      </c>
      <c r="AF118" s="610"/>
      <c r="AG118" s="610"/>
      <c r="AH118" s="610"/>
      <c r="AI118" s="610"/>
      <c r="AJ118" s="610"/>
      <c r="AK118" s="610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617" t="e">
        <v>#REF!</v>
      </c>
      <c r="Y119" s="617"/>
      <c r="Z119" s="617"/>
      <c r="AA119" s="617"/>
      <c r="AB119" s="140" t="s">
        <v>7</v>
      </c>
      <c r="AC119" s="140"/>
      <c r="AD119" s="610" t="e">
        <v>#REF!</v>
      </c>
      <c r="AE119" s="610"/>
      <c r="AF119" s="610"/>
      <c r="AG119" s="610"/>
      <c r="AH119" s="610"/>
      <c r="AI119" s="610"/>
      <c r="AJ119" s="610"/>
      <c r="AK119" s="610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15">
        <v>365</v>
      </c>
      <c r="AC132" s="516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15">
        <v>320</v>
      </c>
      <c r="AC133" s="516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A3:C3"/>
    <mergeCell ref="D3:L3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Q89:S89"/>
    <mergeCell ref="Q90:S90"/>
    <mergeCell ref="Q77:S77"/>
    <mergeCell ref="Q78:S78"/>
    <mergeCell ref="Q79:S79"/>
    <mergeCell ref="Q69:S69"/>
    <mergeCell ref="Q70:S70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Q80:S80"/>
    <mergeCell ref="Q81:S81"/>
    <mergeCell ref="Q82:S82"/>
    <mergeCell ref="Q83:S83"/>
    <mergeCell ref="Q84:S84"/>
    <mergeCell ref="Q85:S85"/>
    <mergeCell ref="Q67:R67"/>
    <mergeCell ref="Q71:S71"/>
    <mergeCell ref="Q72:S72"/>
    <mergeCell ref="Q73:S73"/>
    <mergeCell ref="Q74:S74"/>
    <mergeCell ref="Q75:S75"/>
    <mergeCell ref="Q76:S7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A6:M6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700" t="s">
        <v>290</v>
      </c>
      <c r="C3" s="701"/>
      <c r="D3" s="216" t="s">
        <v>291</v>
      </c>
      <c r="F3" s="656" t="s">
        <v>330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7"/>
      <c r="R3" s="657"/>
      <c r="S3" s="658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85" t="s">
        <v>487</v>
      </c>
      <c r="C4" s="685"/>
      <c r="D4" s="215">
        <v>0</v>
      </c>
      <c r="F4" s="659" t="s">
        <v>292</v>
      </c>
      <c r="G4" s="660"/>
      <c r="H4" s="686" t="s">
        <v>310</v>
      </c>
      <c r="I4" s="687"/>
      <c r="J4" s="659" t="s">
        <v>298</v>
      </c>
      <c r="K4" s="660"/>
      <c r="L4" s="661" t="s">
        <v>293</v>
      </c>
      <c r="M4" s="662"/>
      <c r="N4" s="662"/>
      <c r="O4" s="663"/>
      <c r="P4" s="661" t="s">
        <v>294</v>
      </c>
      <c r="Q4" s="662"/>
      <c r="R4" s="662"/>
      <c r="S4" s="663"/>
      <c r="T4" s="217"/>
      <c r="U4" s="217"/>
    </row>
    <row r="5" spans="2:27" x14ac:dyDescent="0.25">
      <c r="B5" s="685" t="s">
        <v>95</v>
      </c>
      <c r="C5" s="685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85" t="s">
        <v>488</v>
      </c>
      <c r="C6" s="685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85" t="s">
        <v>96</v>
      </c>
      <c r="C7" s="685"/>
      <c r="D7" s="215">
        <v>0</v>
      </c>
      <c r="F7" s="688" t="s">
        <v>329</v>
      </c>
      <c r="G7" s="689"/>
      <c r="H7" s="689"/>
      <c r="I7" s="690"/>
    </row>
    <row r="8" spans="2:27" ht="15" customHeight="1" x14ac:dyDescent="0.25">
      <c r="B8" s="685" t="s">
        <v>489</v>
      </c>
      <c r="C8" s="685"/>
      <c r="D8" s="215">
        <v>0</v>
      </c>
      <c r="K8" s="691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85" t="s">
        <v>98</v>
      </c>
      <c r="C9" s="685"/>
      <c r="D9" s="215">
        <v>0</v>
      </c>
      <c r="K9" s="691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85" t="s">
        <v>97</v>
      </c>
      <c r="C10" s="685"/>
      <c r="D10" s="215">
        <v>0</v>
      </c>
    </row>
    <row r="11" spans="2:27" ht="15.75" thickBot="1" x14ac:dyDescent="0.3">
      <c r="B11" s="685" t="s">
        <v>100</v>
      </c>
      <c r="C11" s="685"/>
      <c r="D11" s="215">
        <v>0</v>
      </c>
      <c r="F11" s="656" t="s">
        <v>331</v>
      </c>
      <c r="G11" s="657"/>
      <c r="H11" s="657"/>
      <c r="I11" s="657"/>
      <c r="J11" s="657"/>
      <c r="K11" s="657"/>
      <c r="L11" s="657"/>
      <c r="M11" s="657"/>
      <c r="N11" s="657"/>
      <c r="O11" s="657"/>
      <c r="P11" s="657"/>
      <c r="Q11" s="657"/>
      <c r="R11" s="657"/>
      <c r="S11" s="658"/>
    </row>
    <row r="12" spans="2:27" x14ac:dyDescent="0.25">
      <c r="B12" s="685" t="s">
        <v>99</v>
      </c>
      <c r="C12" s="685"/>
      <c r="D12" s="215">
        <v>0</v>
      </c>
      <c r="F12" s="659" t="s">
        <v>292</v>
      </c>
      <c r="G12" s="660"/>
      <c r="H12" s="686" t="s">
        <v>310</v>
      </c>
      <c r="I12" s="687"/>
      <c r="J12" s="659" t="s">
        <v>298</v>
      </c>
      <c r="K12" s="660"/>
      <c r="L12" s="661" t="s">
        <v>293</v>
      </c>
      <c r="M12" s="662"/>
      <c r="N12" s="662"/>
      <c r="O12" s="663"/>
      <c r="P12" s="661" t="s">
        <v>294</v>
      </c>
      <c r="Q12" s="662"/>
      <c r="R12" s="662"/>
      <c r="S12" s="663"/>
    </row>
    <row r="13" spans="2:27" x14ac:dyDescent="0.25">
      <c r="B13" s="685" t="s">
        <v>506</v>
      </c>
      <c r="C13" s="685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85" t="s">
        <v>480</v>
      </c>
      <c r="C14" s="685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85" t="s">
        <v>485</v>
      </c>
      <c r="C15" s="685"/>
      <c r="D15" s="215">
        <v>0</v>
      </c>
      <c r="F15" s="688" t="s">
        <v>329</v>
      </c>
      <c r="G15" s="689"/>
      <c r="H15" s="689"/>
      <c r="I15" s="690"/>
    </row>
    <row r="16" spans="2:27" ht="15.75" thickBot="1" x14ac:dyDescent="0.3">
      <c r="B16" s="685" t="s">
        <v>486</v>
      </c>
      <c r="C16" s="685"/>
      <c r="D16" s="215">
        <v>0</v>
      </c>
    </row>
    <row r="17" spans="2:20" ht="15.75" thickBot="1" x14ac:dyDescent="0.3">
      <c r="B17" s="685" t="s">
        <v>104</v>
      </c>
      <c r="C17" s="685"/>
      <c r="D17" s="215">
        <v>0</v>
      </c>
      <c r="F17" s="654" t="s">
        <v>318</v>
      </c>
      <c r="G17" s="684"/>
      <c r="H17" s="684"/>
      <c r="I17" s="655"/>
      <c r="J17" s="238"/>
      <c r="K17" s="654" t="s">
        <v>318</v>
      </c>
      <c r="L17" s="684"/>
      <c r="M17" s="684"/>
      <c r="N17" s="655"/>
      <c r="O17" s="654" t="s">
        <v>319</v>
      </c>
      <c r="P17" s="655"/>
      <c r="R17" s="364"/>
    </row>
    <row r="18" spans="2:20" ht="15" customHeight="1" x14ac:dyDescent="0.25">
      <c r="B18" s="685" t="s">
        <v>105</v>
      </c>
      <c r="C18" s="685"/>
      <c r="D18" s="215">
        <v>0</v>
      </c>
      <c r="F18" s="682" t="s">
        <v>311</v>
      </c>
      <c r="G18" s="239" t="s">
        <v>305</v>
      </c>
      <c r="H18" s="639" t="s">
        <v>308</v>
      </c>
      <c r="I18" s="640"/>
      <c r="J18" s="235"/>
      <c r="K18" s="682" t="s">
        <v>311</v>
      </c>
      <c r="L18" s="239" t="s">
        <v>305</v>
      </c>
      <c r="M18" s="639" t="s">
        <v>308</v>
      </c>
      <c r="N18" s="640"/>
      <c r="O18" s="674" t="s">
        <v>320</v>
      </c>
      <c r="P18" s="675"/>
      <c r="R18" s="364"/>
    </row>
    <row r="19" spans="2:20" ht="15.75" thickBot="1" x14ac:dyDescent="0.3">
      <c r="B19" s="685" t="s">
        <v>490</v>
      </c>
      <c r="C19" s="685"/>
      <c r="D19" s="215">
        <v>0</v>
      </c>
      <c r="F19" s="683"/>
      <c r="G19" s="232">
        <v>1.9037133667818709</v>
      </c>
      <c r="H19" s="652">
        <v>0.86667083982046889</v>
      </c>
      <c r="I19" s="653"/>
      <c r="J19" s="235"/>
      <c r="K19" s="683"/>
      <c r="L19" s="232">
        <v>1.8636151978543438</v>
      </c>
      <c r="M19" s="652">
        <v>1.4474713876688725</v>
      </c>
      <c r="N19" s="653"/>
      <c r="O19" s="676"/>
      <c r="P19" s="677"/>
    </row>
    <row r="20" spans="2:20" ht="15" customHeight="1" thickBot="1" x14ac:dyDescent="0.3">
      <c r="B20" s="685" t="s">
        <v>491</v>
      </c>
      <c r="C20" s="685"/>
      <c r="D20" s="215">
        <v>0</v>
      </c>
      <c r="F20" s="682" t="s">
        <v>303</v>
      </c>
      <c r="G20" s="643">
        <v>0.43586593362672738</v>
      </c>
      <c r="H20" s="639" t="s">
        <v>312</v>
      </c>
      <c r="I20" s="640"/>
      <c r="J20" s="235"/>
      <c r="K20" s="682" t="s">
        <v>303</v>
      </c>
      <c r="L20" s="643">
        <v>0.38212903770014456</v>
      </c>
      <c r="M20" s="639" t="s">
        <v>312</v>
      </c>
      <c r="N20" s="640"/>
      <c r="O20" s="668" t="s">
        <v>326</v>
      </c>
      <c r="P20" s="669"/>
    </row>
    <row r="21" spans="2:20" ht="15.75" thickBot="1" x14ac:dyDescent="0.3">
      <c r="F21" s="683"/>
      <c r="G21" s="644"/>
      <c r="H21" s="680">
        <v>-0.23191499499068274</v>
      </c>
      <c r="I21" s="681"/>
      <c r="J21" s="235"/>
      <c r="K21" s="683"/>
      <c r="L21" s="644"/>
      <c r="M21" s="680">
        <v>-0.16092885491662318</v>
      </c>
      <c r="N21" s="681"/>
      <c r="O21" s="670"/>
      <c r="P21" s="671"/>
      <c r="R21" s="620" t="s">
        <v>388</v>
      </c>
      <c r="S21" s="621"/>
    </row>
    <row r="22" spans="2:20" ht="15.75" thickBot="1" x14ac:dyDescent="0.3">
      <c r="B22" s="630" t="s">
        <v>351</v>
      </c>
      <c r="C22" s="631"/>
      <c r="D22" s="632"/>
      <c r="F22" s="682" t="s">
        <v>304</v>
      </c>
      <c r="G22" s="643">
        <v>259262.08012458001</v>
      </c>
      <c r="H22" s="645" t="s">
        <v>314</v>
      </c>
      <c r="I22" s="646"/>
      <c r="J22" s="235"/>
      <c r="K22" s="682" t="s">
        <v>304</v>
      </c>
      <c r="L22" s="643">
        <v>142873.19327413253</v>
      </c>
      <c r="M22" s="645" t="s">
        <v>314</v>
      </c>
      <c r="N22" s="646"/>
      <c r="O22" s="670"/>
      <c r="P22" s="671"/>
      <c r="R22" s="622"/>
      <c r="S22" s="623"/>
    </row>
    <row r="23" spans="2:20" ht="14.65" customHeight="1" thickBot="1" x14ac:dyDescent="0.3">
      <c r="B23" s="633" t="s">
        <v>352</v>
      </c>
      <c r="C23" s="635" t="s">
        <v>353</v>
      </c>
      <c r="D23" s="256" t="s">
        <v>354</v>
      </c>
      <c r="F23" s="683"/>
      <c r="G23" s="644"/>
      <c r="H23" s="678">
        <v>2.8366771957515153E-2</v>
      </c>
      <c r="I23" s="679"/>
      <c r="J23" s="235" t="s">
        <v>479</v>
      </c>
      <c r="K23" s="683"/>
      <c r="L23" s="644"/>
      <c r="M23" s="678">
        <v>1.2292942077867497E-2</v>
      </c>
      <c r="N23" s="679"/>
      <c r="O23" s="672"/>
      <c r="P23" s="673"/>
      <c r="R23" s="624" t="s">
        <v>479</v>
      </c>
      <c r="S23" s="625"/>
    </row>
    <row r="24" spans="2:20" ht="15" customHeight="1" thickBot="1" x14ac:dyDescent="0.3">
      <c r="B24" s="634"/>
      <c r="C24" s="636"/>
      <c r="D24" s="257">
        <v>0.01</v>
      </c>
      <c r="F24" s="682" t="s">
        <v>313</v>
      </c>
      <c r="G24" s="643">
        <v>0.39180892284116858</v>
      </c>
      <c r="H24" s="645" t="s">
        <v>327</v>
      </c>
      <c r="I24" s="646"/>
      <c r="J24" s="235"/>
      <c r="K24" s="682" t="s">
        <v>313</v>
      </c>
      <c r="L24" s="643">
        <v>0.58143742270241994</v>
      </c>
      <c r="M24" s="645" t="s">
        <v>327</v>
      </c>
      <c r="N24" s="646"/>
      <c r="O24" s="664" t="s">
        <v>321</v>
      </c>
      <c r="P24" s="665"/>
      <c r="R24" s="626"/>
      <c r="S24" s="627"/>
    </row>
    <row r="25" spans="2:20" ht="14.65" customHeight="1" thickBot="1" x14ac:dyDescent="0.3">
      <c r="B25" s="692" t="s">
        <v>355</v>
      </c>
      <c r="C25" s="695" t="s">
        <v>387</v>
      </c>
      <c r="D25" s="431" t="s">
        <v>475</v>
      </c>
      <c r="F25" s="683"/>
      <c r="G25" s="644"/>
      <c r="H25" s="652">
        <v>15.293713737147554</v>
      </c>
      <c r="I25" s="653"/>
      <c r="J25" s="235"/>
      <c r="K25" s="683"/>
      <c r="L25" s="644"/>
      <c r="M25" s="652">
        <v>54.695964044584343</v>
      </c>
      <c r="N25" s="653"/>
      <c r="O25" s="666"/>
      <c r="P25" s="667"/>
    </row>
    <row r="26" spans="2:20" ht="15" customHeight="1" x14ac:dyDescent="0.25">
      <c r="B26" s="693"/>
      <c r="C26" s="696"/>
      <c r="D26" s="398">
        <v>5</v>
      </c>
      <c r="F26" s="628" t="s">
        <v>316</v>
      </c>
      <c r="G26" s="643">
        <v>7.0875226570819692</v>
      </c>
      <c r="H26" s="645" t="s">
        <v>328</v>
      </c>
      <c r="I26" s="646"/>
      <c r="J26" s="235"/>
      <c r="K26" s="628" t="s">
        <v>316</v>
      </c>
      <c r="L26" s="643">
        <v>9.3210101597965718</v>
      </c>
      <c r="M26" s="645" t="s">
        <v>328</v>
      </c>
      <c r="N26" s="646"/>
    </row>
    <row r="27" spans="2:20" ht="14.65" customHeight="1" thickBot="1" x14ac:dyDescent="0.3">
      <c r="B27" s="693"/>
      <c r="C27" s="696"/>
      <c r="D27" s="433" t="s">
        <v>476</v>
      </c>
      <c r="F27" s="629"/>
      <c r="G27" s="644"/>
      <c r="H27" s="652">
        <v>1.633869094684526</v>
      </c>
      <c r="I27" s="653"/>
      <c r="J27" s="235"/>
      <c r="K27" s="629"/>
      <c r="L27" s="644"/>
      <c r="M27" s="652">
        <v>3.3786361349412588</v>
      </c>
      <c r="N27" s="653"/>
    </row>
    <row r="28" spans="2:20" ht="15" customHeight="1" x14ac:dyDescent="0.25">
      <c r="B28" s="693"/>
      <c r="C28" s="696"/>
      <c r="D28" s="398"/>
      <c r="F28" s="628" t="s">
        <v>333</v>
      </c>
      <c r="G28" s="643">
        <v>18.43534331634508</v>
      </c>
      <c r="H28" s="645" t="s">
        <v>334</v>
      </c>
      <c r="I28" s="646"/>
      <c r="J28" s="235"/>
      <c r="K28" s="628" t="s">
        <v>333</v>
      </c>
      <c r="L28" s="643">
        <v>18.635196587800714</v>
      </c>
      <c r="M28" s="645" t="s">
        <v>334</v>
      </c>
      <c r="N28" s="646"/>
      <c r="P28" s="649"/>
      <c r="Q28" s="649"/>
      <c r="R28" s="650"/>
      <c r="S28" s="651"/>
      <c r="T28" s="410"/>
    </row>
    <row r="29" spans="2:20" ht="26.25" thickBot="1" x14ac:dyDescent="0.3">
      <c r="B29" s="693"/>
      <c r="C29" s="696"/>
      <c r="D29" s="433" t="s">
        <v>477</v>
      </c>
      <c r="F29" s="629"/>
      <c r="G29" s="644"/>
      <c r="H29" s="652">
        <v>0.15171373929213983</v>
      </c>
      <c r="I29" s="653"/>
      <c r="J29" s="236"/>
      <c r="K29" s="629"/>
      <c r="L29" s="644"/>
      <c r="M29" s="652">
        <v>0.30229859011762045</v>
      </c>
      <c r="N29" s="653"/>
      <c r="P29" s="649"/>
      <c r="Q29" s="649"/>
      <c r="R29" s="650"/>
      <c r="S29" s="651"/>
      <c r="T29" s="410"/>
    </row>
    <row r="30" spans="2:20" ht="15" customHeight="1" x14ac:dyDescent="0.25">
      <c r="B30" s="693"/>
      <c r="C30" s="696"/>
      <c r="D30" s="398">
        <v>25</v>
      </c>
      <c r="F30" s="628" t="s">
        <v>335</v>
      </c>
      <c r="G30" s="643">
        <v>198.22172831789518</v>
      </c>
      <c r="H30" s="645" t="s">
        <v>336</v>
      </c>
      <c r="I30" s="646"/>
      <c r="J30" s="234"/>
      <c r="K30" s="628" t="s">
        <v>335</v>
      </c>
      <c r="L30" s="643">
        <v>262.35398566799438</v>
      </c>
      <c r="M30" s="645" t="s">
        <v>336</v>
      </c>
      <c r="N30" s="646"/>
      <c r="P30" s="410"/>
      <c r="Q30" s="410"/>
      <c r="R30" s="410"/>
      <c r="S30" s="410"/>
      <c r="T30" s="410"/>
    </row>
    <row r="31" spans="2:20" ht="15.75" thickBot="1" x14ac:dyDescent="0.3">
      <c r="B31" s="693"/>
      <c r="C31" s="696"/>
      <c r="D31" s="433" t="s">
        <v>478</v>
      </c>
      <c r="F31" s="629"/>
      <c r="G31" s="644"/>
      <c r="H31" s="647">
        <v>1.6312665891822768</v>
      </c>
      <c r="I31" s="648"/>
      <c r="J31" s="234"/>
      <c r="K31" s="629"/>
      <c r="L31" s="644"/>
      <c r="M31" s="647">
        <v>4.2558842674668567</v>
      </c>
      <c r="N31" s="648"/>
      <c r="P31" s="410"/>
      <c r="Q31" s="410"/>
      <c r="R31" s="410"/>
      <c r="S31" s="410"/>
      <c r="T31" s="410"/>
    </row>
    <row r="32" spans="2:20" ht="15" customHeight="1" x14ac:dyDescent="0.25">
      <c r="B32" s="694"/>
      <c r="C32" s="697"/>
      <c r="D32" s="398">
        <v>13.6</v>
      </c>
      <c r="F32" s="628" t="s">
        <v>315</v>
      </c>
      <c r="G32" s="643">
        <v>275.02537854265137</v>
      </c>
      <c r="H32" s="645" t="s">
        <v>317</v>
      </c>
      <c r="I32" s="646"/>
      <c r="J32" s="234"/>
      <c r="K32" s="628" t="s">
        <v>315</v>
      </c>
      <c r="L32" s="643">
        <v>354.60297095290974</v>
      </c>
      <c r="M32" s="645" t="s">
        <v>317</v>
      </c>
      <c r="N32" s="646"/>
    </row>
    <row r="33" spans="2:28" ht="15.75" thickBot="1" x14ac:dyDescent="0.3">
      <c r="B33" s="698" t="s">
        <v>356</v>
      </c>
      <c r="C33" s="699" t="s">
        <v>387</v>
      </c>
      <c r="D33" s="431" t="s">
        <v>475</v>
      </c>
      <c r="F33" s="629"/>
      <c r="G33" s="644"/>
      <c r="H33" s="652">
        <v>6.648990331488315E-2</v>
      </c>
      <c r="I33" s="653"/>
      <c r="J33" s="234"/>
      <c r="K33" s="629"/>
      <c r="L33" s="644"/>
      <c r="M33" s="652">
        <v>0.13830626666669821</v>
      </c>
      <c r="N33" s="653"/>
    </row>
    <row r="34" spans="2:28" ht="15" customHeight="1" x14ac:dyDescent="0.25">
      <c r="B34" s="698"/>
      <c r="C34" s="699"/>
      <c r="D34" s="398">
        <v>5</v>
      </c>
      <c r="F34" s="628" t="s">
        <v>337</v>
      </c>
      <c r="G34" s="643">
        <v>103631.15897907561</v>
      </c>
      <c r="H34" s="645" t="s">
        <v>338</v>
      </c>
      <c r="I34" s="646"/>
      <c r="J34" s="234"/>
      <c r="K34" s="628" t="s">
        <v>337</v>
      </c>
      <c r="L34" s="643">
        <v>621710.26528747194</v>
      </c>
      <c r="M34" s="645" t="s">
        <v>338</v>
      </c>
      <c r="N34" s="646"/>
    </row>
    <row r="35" spans="2:28" ht="26.25" thickBot="1" x14ac:dyDescent="0.3">
      <c r="B35" s="698"/>
      <c r="C35" s="699"/>
      <c r="D35" s="433" t="s">
        <v>476</v>
      </c>
      <c r="F35" s="629"/>
      <c r="G35" s="644"/>
      <c r="H35" s="647">
        <v>25.053781499875086</v>
      </c>
      <c r="I35" s="648"/>
      <c r="J35" s="234"/>
      <c r="K35" s="629"/>
      <c r="L35" s="644"/>
      <c r="M35" s="647">
        <v>242.48647863610691</v>
      </c>
      <c r="N35" s="648"/>
    </row>
    <row r="36" spans="2:28" x14ac:dyDescent="0.25">
      <c r="B36" s="698"/>
      <c r="C36" s="699"/>
      <c r="D36" s="398"/>
      <c r="F36" s="628" t="s">
        <v>349</v>
      </c>
      <c r="G36" s="637">
        <v>0.87058014514509485</v>
      </c>
      <c r="H36" s="639" t="s">
        <v>357</v>
      </c>
      <c r="I36" s="640"/>
      <c r="J36" s="234"/>
      <c r="K36" s="628" t="s">
        <v>349</v>
      </c>
      <c r="L36" s="637">
        <v>0.68253025632021558</v>
      </c>
      <c r="M36" s="639" t="s">
        <v>357</v>
      </c>
      <c r="N36" s="640"/>
    </row>
    <row r="37" spans="2:28" ht="26.25" thickBot="1" x14ac:dyDescent="0.3">
      <c r="B37" s="698"/>
      <c r="C37" s="699"/>
      <c r="D37" s="433" t="s">
        <v>477</v>
      </c>
      <c r="F37" s="629"/>
      <c r="G37" s="638"/>
      <c r="H37" s="641">
        <v>0.87272143092916143</v>
      </c>
      <c r="I37" s="642"/>
      <c r="J37" s="234"/>
      <c r="K37" s="629"/>
      <c r="L37" s="638"/>
      <c r="M37" s="641">
        <v>0.68858362416193497</v>
      </c>
      <c r="N37" s="642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98"/>
      <c r="C38" s="699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98"/>
      <c r="C39" s="699"/>
      <c r="D39" s="433" t="s">
        <v>478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98"/>
      <c r="C40" s="699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373" priority="46" operator="between">
      <formula>1.05</formula>
      <formula>1000</formula>
    </cfRule>
    <cfRule type="cellIs" dxfId="372" priority="47" operator="between">
      <formula>-100</formula>
      <formula>0.95</formula>
    </cfRule>
    <cfRule type="cellIs" dxfId="371" priority="48" operator="between">
      <formula>0.95</formula>
      <formula>1.05</formula>
    </cfRule>
    <cfRule type="cellIs" dxfId="370" priority="49" operator="between">
      <formula>0.95</formula>
      <formula>1.05</formula>
    </cfRule>
  </conditionalFormatting>
  <conditionalFormatting sqref="H25:I25">
    <cfRule type="cellIs" dxfId="369" priority="43" operator="between">
      <formula>1.04</formula>
      <formula>1000</formula>
    </cfRule>
    <cfRule type="cellIs" dxfId="368" priority="44" operator="between">
      <formula>-100</formula>
      <formula>0.96</formula>
    </cfRule>
    <cfRule type="cellIs" dxfId="367" priority="45" operator="between">
      <formula>0.96</formula>
      <formula>1.04</formula>
    </cfRule>
  </conditionalFormatting>
  <conditionalFormatting sqref="G22:G23">
    <cfRule type="cellIs" dxfId="366" priority="42" operator="lessThan">
      <formula>90000</formula>
    </cfRule>
  </conditionalFormatting>
  <conditionalFormatting sqref="M19:N19">
    <cfRule type="cellIs" dxfId="365" priority="38" operator="between">
      <formula>1.05</formula>
      <formula>1000</formula>
    </cfRule>
    <cfRule type="cellIs" dxfId="364" priority="39" operator="between">
      <formula>-100</formula>
      <formula>0.95</formula>
    </cfRule>
    <cfRule type="cellIs" dxfId="363" priority="40" operator="between">
      <formula>0.95</formula>
      <formula>1.05</formula>
    </cfRule>
    <cfRule type="cellIs" dxfId="362" priority="41" operator="between">
      <formula>0.95</formula>
      <formula>1.05</formula>
    </cfRule>
  </conditionalFormatting>
  <conditionalFormatting sqref="M25:N25">
    <cfRule type="cellIs" dxfId="361" priority="35" operator="between">
      <formula>1.04</formula>
      <formula>1000</formula>
    </cfRule>
    <cfRule type="cellIs" dxfId="360" priority="36" operator="between">
      <formula>-100</formula>
      <formula>0.96</formula>
    </cfRule>
    <cfRule type="cellIs" dxfId="359" priority="37" operator="between">
      <formula>0.96</formula>
      <formula>1.04</formula>
    </cfRule>
  </conditionalFormatting>
  <conditionalFormatting sqref="L22:L23">
    <cfRule type="cellIs" dxfId="358" priority="34" operator="lessThan">
      <formula>90000</formula>
    </cfRule>
  </conditionalFormatting>
  <conditionalFormatting sqref="D24">
    <cfRule type="expression" dxfId="357" priority="28">
      <formula>IF($C$23="No",TRUE,FALSE)</formula>
    </cfRule>
    <cfRule type="expression" dxfId="356" priority="29">
      <formula>"C23=No"</formula>
    </cfRule>
  </conditionalFormatting>
  <conditionalFormatting sqref="R23:S24">
    <cfRule type="expression" dxfId="355" priority="17">
      <formula>AND(R23="Calculando...",R23="Calculando...")</formula>
    </cfRule>
    <cfRule type="expression" dxfId="354" priority="18">
      <formula>AND(R23="Carregando script...",R23="Carregando script...")</formula>
    </cfRule>
    <cfRule type="cellIs" dxfId="353" priority="19" operator="equal">
      <formula>"Carregando bibliotecas..."</formula>
    </cfRule>
    <cfRule type="cellIs" dxfId="352" priority="20" operator="equal">
      <formula>"ERRO!"</formula>
    </cfRule>
    <cfRule type="expression" dxfId="35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topLeftCell="S1" zoomScale="70" zoomScaleNormal="70" workbookViewId="0">
      <selection activeCell="Z32" sqref="Z32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41" width="11.28515625" customWidth="1"/>
  </cols>
  <sheetData>
    <row r="1" spans="1:41" x14ac:dyDescent="0.25">
      <c r="A1" s="409"/>
      <c r="B1" s="410"/>
      <c r="C1" s="410"/>
      <c r="D1" s="410"/>
    </row>
    <row r="2" spans="1:41" ht="15.75" thickBot="1" x14ac:dyDescent="0.3">
      <c r="A2" s="410"/>
      <c r="B2" s="411"/>
      <c r="C2" s="411"/>
      <c r="D2" s="412"/>
    </row>
    <row r="3" spans="1:41" ht="13.5" customHeight="1" thickBot="1" x14ac:dyDescent="0.3">
      <c r="A3" s="410"/>
      <c r="B3" s="405" t="s">
        <v>351</v>
      </c>
      <c r="C3" s="406"/>
      <c r="D3" s="407"/>
      <c r="F3" s="729" t="s">
        <v>386</v>
      </c>
      <c r="G3" s="727"/>
      <c r="H3" s="727"/>
      <c r="I3" s="727"/>
      <c r="J3" s="727"/>
      <c r="K3" s="727"/>
      <c r="L3" s="727"/>
      <c r="M3" s="727"/>
      <c r="N3" s="727"/>
      <c r="O3" s="727"/>
      <c r="P3" s="727"/>
      <c r="Q3" s="727"/>
      <c r="R3" s="727"/>
      <c r="S3" s="727"/>
      <c r="T3" s="727"/>
      <c r="U3" s="727"/>
      <c r="V3" s="727"/>
      <c r="W3" s="728"/>
      <c r="X3" s="730" t="s">
        <v>507</v>
      </c>
      <c r="Y3" s="732" t="s">
        <v>508</v>
      </c>
      <c r="Z3" s="462"/>
      <c r="AA3" s="434"/>
      <c r="AD3" s="725" t="s">
        <v>483</v>
      </c>
      <c r="AE3" s="726"/>
      <c r="AF3" s="726"/>
      <c r="AG3" s="726"/>
      <c r="AH3" s="726"/>
      <c r="AI3" s="726"/>
      <c r="AJ3" s="726"/>
      <c r="AK3" s="726"/>
      <c r="AL3" s="726"/>
      <c r="AM3" s="726"/>
      <c r="AN3" s="727"/>
      <c r="AO3" s="728"/>
    </row>
    <row r="4" spans="1:41" ht="14.65" customHeight="1" thickBot="1" x14ac:dyDescent="0.3">
      <c r="A4" s="410"/>
      <c r="B4" s="692" t="s">
        <v>352</v>
      </c>
      <c r="C4" s="695" t="s">
        <v>353</v>
      </c>
      <c r="D4" s="431" t="s">
        <v>482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731"/>
      <c r="Y4" s="733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7"/>
      <c r="AN4" s="455"/>
      <c r="AO4" s="402"/>
    </row>
    <row r="5" spans="1:41" x14ac:dyDescent="0.25">
      <c r="A5" s="410"/>
      <c r="B5" s="693"/>
      <c r="C5" s="696"/>
      <c r="D5" s="432">
        <v>0.01</v>
      </c>
      <c r="F5" s="319"/>
      <c r="G5" s="465" t="s">
        <v>377</v>
      </c>
      <c r="H5" s="321" t="s">
        <v>376</v>
      </c>
      <c r="I5" s="321" t="s">
        <v>375</v>
      </c>
      <c r="J5" s="321" t="s">
        <v>374</v>
      </c>
      <c r="K5" s="321" t="s">
        <v>373</v>
      </c>
      <c r="L5" s="321" t="s">
        <v>372</v>
      </c>
      <c r="M5" s="321" t="s">
        <v>416</v>
      </c>
      <c r="N5" s="321" t="s">
        <v>418</v>
      </c>
      <c r="O5" s="321" t="s">
        <v>415</v>
      </c>
      <c r="P5" s="321" t="s">
        <v>423</v>
      </c>
      <c r="Q5" s="321" t="s">
        <v>422</v>
      </c>
      <c r="R5" s="321" t="s">
        <v>425</v>
      </c>
      <c r="S5" s="321" t="s">
        <v>427</v>
      </c>
      <c r="T5" s="321" t="s">
        <v>426</v>
      </c>
      <c r="U5" s="321" t="s">
        <v>417</v>
      </c>
      <c r="V5" s="713" t="s">
        <v>419</v>
      </c>
      <c r="W5" s="320" t="s">
        <v>298</v>
      </c>
      <c r="X5" s="410"/>
      <c r="Y5" s="410"/>
      <c r="Z5" s="410"/>
      <c r="AA5" s="434"/>
      <c r="AD5" s="319"/>
      <c r="AE5" s="469" t="s">
        <v>377</v>
      </c>
      <c r="AF5" s="321" t="s">
        <v>376</v>
      </c>
      <c r="AG5" s="321" t="s">
        <v>375</v>
      </c>
      <c r="AH5" s="321" t="s">
        <v>374</v>
      </c>
      <c r="AI5" s="321" t="s">
        <v>373</v>
      </c>
      <c r="AJ5" s="321" t="s">
        <v>372</v>
      </c>
      <c r="AK5" s="321" t="s">
        <v>415</v>
      </c>
      <c r="AL5" s="321" t="s">
        <v>416</v>
      </c>
      <c r="AM5" s="507" t="s">
        <v>418</v>
      </c>
      <c r="AN5" s="713" t="s">
        <v>419</v>
      </c>
      <c r="AO5" s="320" t="s">
        <v>298</v>
      </c>
    </row>
    <row r="6" spans="1:41" ht="26.1" customHeight="1" x14ac:dyDescent="0.25">
      <c r="A6" s="410"/>
      <c r="B6" s="693"/>
      <c r="C6" s="696"/>
      <c r="D6" s="431" t="s">
        <v>481</v>
      </c>
      <c r="F6" s="319"/>
      <c r="G6" s="229" t="s">
        <v>446</v>
      </c>
      <c r="H6" s="231" t="s">
        <v>309</v>
      </c>
      <c r="I6" s="231" t="s">
        <v>444</v>
      </c>
      <c r="J6" s="231" t="s">
        <v>450</v>
      </c>
      <c r="K6" s="231" t="s">
        <v>444</v>
      </c>
      <c r="L6" s="231" t="s">
        <v>450</v>
      </c>
      <c r="M6" s="231" t="s">
        <v>446</v>
      </c>
      <c r="N6" s="231" t="s">
        <v>450</v>
      </c>
      <c r="O6" s="231" t="s">
        <v>446</v>
      </c>
      <c r="P6" s="231" t="s">
        <v>444</v>
      </c>
      <c r="Q6" s="231" t="s">
        <v>450</v>
      </c>
      <c r="R6" s="231" t="s">
        <v>299</v>
      </c>
      <c r="S6" s="231" t="s">
        <v>444</v>
      </c>
      <c r="T6" s="231" t="s">
        <v>450</v>
      </c>
      <c r="U6" s="231" t="s">
        <v>446</v>
      </c>
      <c r="V6" s="714"/>
      <c r="W6" s="230" t="s">
        <v>300</v>
      </c>
      <c r="X6" s="410"/>
      <c r="Y6" s="410"/>
      <c r="Z6" s="410"/>
      <c r="AA6" s="434"/>
      <c r="AD6" s="319"/>
      <c r="AE6" s="229" t="s">
        <v>446</v>
      </c>
      <c r="AF6" s="231" t="s">
        <v>309</v>
      </c>
      <c r="AG6" s="231" t="s">
        <v>444</v>
      </c>
      <c r="AH6" s="231" t="s">
        <v>450</v>
      </c>
      <c r="AI6" s="231" t="s">
        <v>444</v>
      </c>
      <c r="AJ6" s="231" t="s">
        <v>450</v>
      </c>
      <c r="AK6" s="231" t="s">
        <v>446</v>
      </c>
      <c r="AL6" s="231" t="s">
        <v>446</v>
      </c>
      <c r="AM6" s="508" t="s">
        <v>450</v>
      </c>
      <c r="AN6" s="714"/>
      <c r="AO6" s="230" t="s">
        <v>300</v>
      </c>
    </row>
    <row r="7" spans="1:41" ht="14.45" customHeight="1" x14ac:dyDescent="0.25">
      <c r="A7" s="410"/>
      <c r="B7" s="694"/>
      <c r="C7" s="697"/>
      <c r="D7" s="432">
        <v>0.01</v>
      </c>
      <c r="F7" s="453">
        <v>1</v>
      </c>
      <c r="G7" s="318">
        <v>3.2770000000000001</v>
      </c>
      <c r="H7" s="318">
        <v>1298.3249050526144</v>
      </c>
      <c r="I7" s="491">
        <v>5.0380000000000003</v>
      </c>
      <c r="J7" s="491">
        <v>300.89999999999998</v>
      </c>
      <c r="K7" s="491">
        <v>15.04</v>
      </c>
      <c r="L7" s="491">
        <v>404.3</v>
      </c>
      <c r="M7" s="491">
        <v>6.1429999999999998E-2</v>
      </c>
      <c r="N7" s="491">
        <v>301</v>
      </c>
      <c r="O7" s="491"/>
      <c r="P7" s="491">
        <v>14.6</v>
      </c>
      <c r="Q7" s="491">
        <v>304.8</v>
      </c>
      <c r="R7" s="318"/>
      <c r="S7" s="491">
        <v>26.27</v>
      </c>
      <c r="T7" s="491">
        <v>363.7</v>
      </c>
      <c r="U7" s="318"/>
      <c r="V7" s="459">
        <v>1</v>
      </c>
      <c r="W7" s="400">
        <v>9123</v>
      </c>
      <c r="X7" s="410"/>
      <c r="Z7" s="723" t="s">
        <v>388</v>
      </c>
      <c r="AA7" s="723"/>
      <c r="AD7" s="453">
        <v>1</v>
      </c>
      <c r="AE7" s="493">
        <v>2.0750000000000002</v>
      </c>
      <c r="AF7" s="492">
        <v>322.50646315060561</v>
      </c>
      <c r="AG7" s="505">
        <v>12.52</v>
      </c>
      <c r="AH7" s="505">
        <v>304.5</v>
      </c>
      <c r="AI7" s="505">
        <v>18.88</v>
      </c>
      <c r="AJ7" s="505">
        <v>346.4</v>
      </c>
      <c r="AK7" s="495">
        <v>0.1211</v>
      </c>
      <c r="AL7" s="495">
        <v>6.0330000000000002E-2</v>
      </c>
      <c r="AM7" s="509"/>
      <c r="AN7" s="497">
        <v>1</v>
      </c>
      <c r="AO7" s="506">
        <v>7399</v>
      </c>
    </row>
    <row r="8" spans="1:41" ht="14.45" customHeight="1" x14ac:dyDescent="0.25">
      <c r="A8" s="410"/>
      <c r="B8" s="692" t="s">
        <v>355</v>
      </c>
      <c r="C8" s="695" t="s">
        <v>353</v>
      </c>
      <c r="D8" s="431" t="s">
        <v>475</v>
      </c>
      <c r="F8" s="453">
        <v>2</v>
      </c>
      <c r="G8" s="318">
        <v>3.8879999999999999</v>
      </c>
      <c r="H8" s="318">
        <v>1500.3234856434028</v>
      </c>
      <c r="I8" s="491">
        <v>5.16</v>
      </c>
      <c r="J8" s="491">
        <v>300.39999999999998</v>
      </c>
      <c r="K8" s="491">
        <v>15.07</v>
      </c>
      <c r="L8" s="491">
        <v>400.2</v>
      </c>
      <c r="M8" s="491">
        <v>6.0990000000000003E-2</v>
      </c>
      <c r="N8" s="491">
        <v>300.60000000000002</v>
      </c>
      <c r="O8" s="491"/>
      <c r="P8" s="491">
        <v>14.66</v>
      </c>
      <c r="Q8" s="491">
        <v>304.60000000000002</v>
      </c>
      <c r="R8" s="318"/>
      <c r="S8" s="491">
        <v>25.99</v>
      </c>
      <c r="T8" s="491">
        <v>361.8</v>
      </c>
      <c r="U8" s="318"/>
      <c r="V8" s="459">
        <v>1</v>
      </c>
      <c r="W8" s="400">
        <v>9071</v>
      </c>
      <c r="X8" s="434"/>
      <c r="Z8" s="723"/>
      <c r="AA8" s="723"/>
      <c r="AD8" s="453">
        <v>2</v>
      </c>
      <c r="AE8" s="493">
        <v>2.5870000000000002</v>
      </c>
      <c r="AF8" s="492">
        <v>404.15010232575912</v>
      </c>
      <c r="AG8" s="505">
        <v>12.46</v>
      </c>
      <c r="AH8" s="505">
        <v>304.5</v>
      </c>
      <c r="AI8" s="505">
        <v>18.600000000000001</v>
      </c>
      <c r="AJ8" s="505">
        <v>344.1</v>
      </c>
      <c r="AK8" s="495">
        <v>0.1171</v>
      </c>
      <c r="AL8" s="495">
        <v>5.892E-2</v>
      </c>
      <c r="AM8" s="509"/>
      <c r="AN8" s="497">
        <v>1</v>
      </c>
      <c r="AO8" s="506">
        <v>7449</v>
      </c>
    </row>
    <row r="9" spans="1:41" ht="14.45" customHeight="1" x14ac:dyDescent="0.25">
      <c r="A9" s="410"/>
      <c r="B9" s="693"/>
      <c r="C9" s="696"/>
      <c r="D9" s="398">
        <v>5.5</v>
      </c>
      <c r="F9" s="453">
        <v>3</v>
      </c>
      <c r="G9" s="318">
        <v>4.3250000000000002</v>
      </c>
      <c r="H9" s="318">
        <v>1656.2596135997619</v>
      </c>
      <c r="I9" s="491">
        <v>5.1820000000000004</v>
      </c>
      <c r="J9" s="491">
        <v>299.5</v>
      </c>
      <c r="K9" s="491">
        <v>14.95</v>
      </c>
      <c r="L9" s="491">
        <v>397.6</v>
      </c>
      <c r="M9" s="491">
        <v>6.1600000000000002E-2</v>
      </c>
      <c r="N9" s="491">
        <v>299.7</v>
      </c>
      <c r="O9" s="491">
        <v>0.16250000000000001</v>
      </c>
      <c r="P9" s="491">
        <v>14.59</v>
      </c>
      <c r="Q9" s="491">
        <v>304.3</v>
      </c>
      <c r="R9" s="318"/>
      <c r="S9" s="491">
        <v>26.15</v>
      </c>
      <c r="T9" s="491">
        <v>362.5</v>
      </c>
      <c r="U9" s="492">
        <v>4.8059000000000003</v>
      </c>
      <c r="V9" s="459">
        <v>1</v>
      </c>
      <c r="W9" s="400">
        <v>9096</v>
      </c>
      <c r="Z9" s="724" t="s">
        <v>509</v>
      </c>
      <c r="AA9" s="724"/>
      <c r="AD9" s="453">
        <v>3</v>
      </c>
      <c r="AE9" s="493">
        <v>3.3600000000000003</v>
      </c>
      <c r="AF9" s="492">
        <v>517.60232309050093</v>
      </c>
      <c r="AG9" s="505">
        <v>12.62</v>
      </c>
      <c r="AH9" s="505">
        <v>304.39999999999998</v>
      </c>
      <c r="AI9" s="505">
        <v>18.149999999999999</v>
      </c>
      <c r="AJ9" s="505">
        <v>339.9</v>
      </c>
      <c r="AK9" s="495">
        <v>0.1222</v>
      </c>
      <c r="AL9" s="495">
        <v>7.4120000000000005E-2</v>
      </c>
      <c r="AM9" s="509"/>
      <c r="AN9" s="497">
        <v>1</v>
      </c>
      <c r="AO9" s="506">
        <v>7412</v>
      </c>
    </row>
    <row r="10" spans="1:41" ht="14.45" customHeight="1" x14ac:dyDescent="0.25">
      <c r="A10" s="410"/>
      <c r="B10" s="693"/>
      <c r="C10" s="696"/>
      <c r="D10" s="433" t="s">
        <v>476</v>
      </c>
      <c r="F10" s="453">
        <v>4</v>
      </c>
      <c r="G10" s="318">
        <v>5.7240000000000002</v>
      </c>
      <c r="H10" s="318">
        <v>2021.0086305580305</v>
      </c>
      <c r="I10" s="491">
        <v>5.5919999999999996</v>
      </c>
      <c r="J10" s="491">
        <v>298.7</v>
      </c>
      <c r="K10" s="491">
        <v>14.78</v>
      </c>
      <c r="L10" s="491">
        <v>389.8</v>
      </c>
      <c r="M10" s="491">
        <v>5.9420000000000001E-2</v>
      </c>
      <c r="N10" s="491">
        <v>299.10000000000002</v>
      </c>
      <c r="O10" s="491"/>
      <c r="P10" s="491">
        <v>14.27</v>
      </c>
      <c r="Q10" s="491">
        <v>304.10000000000002</v>
      </c>
      <c r="R10" s="318"/>
      <c r="S10" s="491">
        <v>25.43</v>
      </c>
      <c r="T10" s="491">
        <v>363.7</v>
      </c>
      <c r="U10" s="318"/>
      <c r="V10" s="459">
        <v>1</v>
      </c>
      <c r="W10" s="400">
        <v>9057</v>
      </c>
      <c r="Z10" s="724"/>
      <c r="AA10" s="724"/>
      <c r="AD10" s="453">
        <v>4</v>
      </c>
      <c r="AE10" s="493">
        <v>4.1050000000000004</v>
      </c>
      <c r="AF10" s="492">
        <v>628.89756230742455</v>
      </c>
      <c r="AG10" s="505">
        <v>12.69</v>
      </c>
      <c r="AH10" s="505">
        <v>304.5</v>
      </c>
      <c r="AI10" s="505">
        <v>16.78</v>
      </c>
      <c r="AJ10" s="505">
        <v>333.3</v>
      </c>
      <c r="AK10" s="495">
        <v>0.1079</v>
      </c>
      <c r="AL10" s="495">
        <v>6.6919999999999993E-2</v>
      </c>
      <c r="AM10" s="509"/>
      <c r="AN10" s="497">
        <v>1</v>
      </c>
      <c r="AO10" s="506">
        <v>7330</v>
      </c>
    </row>
    <row r="11" spans="1:41" ht="15" customHeight="1" x14ac:dyDescent="0.25">
      <c r="A11" s="410"/>
      <c r="B11" s="693"/>
      <c r="C11" s="696"/>
      <c r="D11" s="398">
        <v>23.895</v>
      </c>
      <c r="F11" s="453">
        <v>5</v>
      </c>
      <c r="G11" s="318">
        <v>8.7159999999999993</v>
      </c>
      <c r="H11" s="318">
        <v>2412.1921181545522</v>
      </c>
      <c r="I11" s="491">
        <v>7.0830000000000002</v>
      </c>
      <c r="J11" s="491">
        <v>298.89999999999998</v>
      </c>
      <c r="K11" s="491">
        <v>14.16</v>
      </c>
      <c r="L11" s="491">
        <v>377.1</v>
      </c>
      <c r="M11" s="491">
        <v>6.5040000000000001E-2</v>
      </c>
      <c r="N11" s="491">
        <v>299.5</v>
      </c>
      <c r="O11" s="491"/>
      <c r="P11" s="491">
        <v>13.1</v>
      </c>
      <c r="Q11" s="491">
        <v>303.5</v>
      </c>
      <c r="R11" s="318"/>
      <c r="S11" s="491">
        <v>23.13</v>
      </c>
      <c r="T11" s="491">
        <v>361.8</v>
      </c>
      <c r="U11" s="318"/>
      <c r="V11" s="459">
        <v>1</v>
      </c>
      <c r="W11" s="400">
        <v>9024</v>
      </c>
      <c r="AD11" s="453">
        <v>5</v>
      </c>
      <c r="AE11" s="493">
        <v>4.9270000000000005</v>
      </c>
      <c r="AF11" s="492">
        <v>730.77650011542562</v>
      </c>
      <c r="AG11" s="505">
        <v>13.11</v>
      </c>
      <c r="AH11" s="505">
        <v>305.10000000000002</v>
      </c>
      <c r="AI11" s="505">
        <v>16.309999999999999</v>
      </c>
      <c r="AJ11" s="505">
        <v>335.1</v>
      </c>
      <c r="AK11" s="495">
        <v>0.1066</v>
      </c>
      <c r="AL11" s="495">
        <v>6.3670000000000004E-2</v>
      </c>
      <c r="AM11" s="509"/>
      <c r="AN11" s="497">
        <v>1</v>
      </c>
      <c r="AO11" s="506">
        <v>7739</v>
      </c>
    </row>
    <row r="12" spans="1:41" ht="14.65" customHeight="1" x14ac:dyDescent="0.25">
      <c r="A12" s="410"/>
      <c r="B12" s="693"/>
      <c r="C12" s="696"/>
      <c r="D12" s="433" t="s">
        <v>477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504"/>
      <c r="AF12" s="492"/>
      <c r="AG12" s="496"/>
      <c r="AH12" s="496"/>
      <c r="AI12" s="496"/>
      <c r="AJ12" s="496"/>
      <c r="AK12" s="495"/>
      <c r="AL12" s="495"/>
      <c r="AM12" s="509"/>
      <c r="AN12" s="497"/>
      <c r="AO12" s="498"/>
    </row>
    <row r="13" spans="1:41" x14ac:dyDescent="0.25">
      <c r="A13" s="410"/>
      <c r="B13" s="693"/>
      <c r="C13" s="696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493"/>
      <c r="AF13" s="492"/>
      <c r="AG13" s="496"/>
      <c r="AH13" s="496"/>
      <c r="AI13" s="496"/>
      <c r="AJ13" s="496"/>
      <c r="AK13" s="495"/>
      <c r="AL13" s="495"/>
      <c r="AM13" s="509"/>
      <c r="AN13" s="497"/>
      <c r="AO13" s="498"/>
    </row>
    <row r="14" spans="1:41" x14ac:dyDescent="0.25">
      <c r="A14" s="410"/>
      <c r="B14" s="693"/>
      <c r="C14" s="696"/>
      <c r="D14" s="433" t="s">
        <v>478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493"/>
      <c r="AF14" s="492"/>
      <c r="AG14" s="496"/>
      <c r="AH14" s="496"/>
      <c r="AI14" s="496"/>
      <c r="AJ14" s="496"/>
      <c r="AK14" s="495"/>
      <c r="AL14" s="495"/>
      <c r="AM14" s="509"/>
      <c r="AN14" s="497"/>
      <c r="AO14" s="498"/>
    </row>
    <row r="15" spans="1:41" x14ac:dyDescent="0.25">
      <c r="A15" s="410"/>
      <c r="B15" s="694"/>
      <c r="C15" s="697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493"/>
      <c r="AF15" s="492"/>
      <c r="AG15" s="496"/>
      <c r="AH15" s="496"/>
      <c r="AI15" s="496"/>
      <c r="AJ15" s="496"/>
      <c r="AK15" s="495"/>
      <c r="AL15" s="495"/>
      <c r="AM15" s="509"/>
      <c r="AN15" s="497"/>
      <c r="AO15" s="498"/>
    </row>
    <row r="16" spans="1:41" ht="15.75" thickBot="1" x14ac:dyDescent="0.3">
      <c r="A16" s="410"/>
      <c r="B16" s="698" t="s">
        <v>356</v>
      </c>
      <c r="C16" s="699" t="s">
        <v>353</v>
      </c>
      <c r="D16" s="431" t="s">
        <v>475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494"/>
      <c r="AF16" s="499"/>
      <c r="AG16" s="500"/>
      <c r="AH16" s="500"/>
      <c r="AI16" s="500"/>
      <c r="AJ16" s="500"/>
      <c r="AK16" s="501"/>
      <c r="AL16" s="501"/>
      <c r="AM16" s="510"/>
      <c r="AN16" s="502"/>
      <c r="AO16" s="503"/>
    </row>
    <row r="17" spans="1:29" x14ac:dyDescent="0.25">
      <c r="A17" s="410"/>
      <c r="B17" s="698"/>
      <c r="C17" s="699"/>
      <c r="D17" s="398">
        <v>5.5</v>
      </c>
    </row>
    <row r="18" spans="1:29" ht="16.5" customHeight="1" thickBot="1" x14ac:dyDescent="0.3">
      <c r="A18" s="410"/>
      <c r="B18" s="698"/>
      <c r="C18" s="699"/>
      <c r="D18" s="433" t="s">
        <v>476</v>
      </c>
    </row>
    <row r="19" spans="1:29" ht="15.75" thickBot="1" x14ac:dyDescent="0.3">
      <c r="A19" s="410"/>
      <c r="B19" s="698"/>
      <c r="C19" s="699"/>
      <c r="D19" s="398">
        <v>17.97</v>
      </c>
      <c r="F19" s="654" t="s">
        <v>385</v>
      </c>
      <c r="G19" s="684"/>
      <c r="H19" s="684"/>
      <c r="I19" s="684"/>
      <c r="J19" s="684"/>
      <c r="K19" s="684"/>
      <c r="L19" s="684"/>
      <c r="M19" s="684"/>
      <c r="N19" s="684"/>
      <c r="O19" s="684"/>
      <c r="P19" s="684"/>
      <c r="Q19" s="684"/>
      <c r="R19" s="684"/>
      <c r="S19" s="684"/>
      <c r="T19" s="684"/>
      <c r="U19" s="684"/>
      <c r="V19" s="684"/>
      <c r="W19" s="684"/>
      <c r="X19" s="684"/>
      <c r="Y19" s="684"/>
      <c r="Z19" s="684"/>
      <c r="AA19" s="684"/>
      <c r="AB19" s="684"/>
      <c r="AC19" s="632"/>
    </row>
    <row r="20" spans="1:29" ht="14.65" customHeight="1" thickBot="1" x14ac:dyDescent="0.3">
      <c r="A20" s="410"/>
      <c r="B20" s="698"/>
      <c r="C20" s="699"/>
      <c r="D20" s="433" t="s">
        <v>477</v>
      </c>
      <c r="F20" s="315"/>
      <c r="G20" s="720" t="s">
        <v>311</v>
      </c>
      <c r="H20" s="721"/>
      <c r="I20" s="722" t="s">
        <v>303</v>
      </c>
      <c r="J20" s="721"/>
      <c r="K20" s="708" t="s">
        <v>304</v>
      </c>
      <c r="L20" s="706"/>
      <c r="M20" s="708" t="s">
        <v>313</v>
      </c>
      <c r="N20" s="708"/>
      <c r="O20" s="705" t="s">
        <v>396</v>
      </c>
      <c r="P20" s="706"/>
      <c r="Q20" s="708" t="s">
        <v>333</v>
      </c>
      <c r="R20" s="708"/>
      <c r="S20" s="705" t="s">
        <v>335</v>
      </c>
      <c r="T20" s="706"/>
      <c r="U20" s="705" t="s">
        <v>371</v>
      </c>
      <c r="V20" s="706"/>
      <c r="W20" s="708" t="s">
        <v>315</v>
      </c>
      <c r="X20" s="708"/>
      <c r="Y20" s="705" t="s">
        <v>337</v>
      </c>
      <c r="Z20" s="706"/>
      <c r="AA20" s="708" t="s">
        <v>370</v>
      </c>
      <c r="AB20" s="706"/>
      <c r="AC20" s="474" t="s">
        <v>510</v>
      </c>
    </row>
    <row r="21" spans="1:29" ht="34.5" customHeight="1" thickBot="1" x14ac:dyDescent="0.3">
      <c r="B21" s="698"/>
      <c r="C21" s="699"/>
      <c r="D21" s="398">
        <v>0</v>
      </c>
      <c r="F21" s="314"/>
      <c r="G21" s="307" t="s">
        <v>305</v>
      </c>
      <c r="H21" s="312" t="s">
        <v>308</v>
      </c>
      <c r="I21" s="309" t="s">
        <v>369</v>
      </c>
      <c r="J21" s="312" t="s">
        <v>368</v>
      </c>
      <c r="K21" s="313" t="s">
        <v>367</v>
      </c>
      <c r="L21" s="305" t="s">
        <v>314</v>
      </c>
      <c r="M21" s="307" t="s">
        <v>366</v>
      </c>
      <c r="N21" s="311" t="s">
        <v>327</v>
      </c>
      <c r="O21" s="307" t="s">
        <v>397</v>
      </c>
      <c r="P21" s="310" t="s">
        <v>398</v>
      </c>
      <c r="Q21" s="309" t="s">
        <v>365</v>
      </c>
      <c r="R21" s="311" t="s">
        <v>334</v>
      </c>
      <c r="S21" s="307" t="s">
        <v>364</v>
      </c>
      <c r="T21" s="305" t="s">
        <v>336</v>
      </c>
      <c r="U21" s="307" t="s">
        <v>363</v>
      </c>
      <c r="V21" s="310" t="s">
        <v>362</v>
      </c>
      <c r="W21" s="309" t="s">
        <v>361</v>
      </c>
      <c r="X21" s="308" t="s">
        <v>317</v>
      </c>
      <c r="Y21" s="307" t="s">
        <v>360</v>
      </c>
      <c r="Z21" s="305" t="s">
        <v>338</v>
      </c>
      <c r="AA21" s="306" t="s">
        <v>359</v>
      </c>
      <c r="AB21" s="305" t="s">
        <v>357</v>
      </c>
      <c r="AC21" s="475" t="s">
        <v>511</v>
      </c>
    </row>
    <row r="22" spans="1:29" x14ac:dyDescent="0.25">
      <c r="B22" s="698"/>
      <c r="C22" s="699"/>
      <c r="D22" s="433" t="s">
        <v>478</v>
      </c>
      <c r="F22" s="334">
        <v>1</v>
      </c>
      <c r="G22" s="304">
        <v>2.2254125053126814</v>
      </c>
      <c r="H22" s="296">
        <v>1.013123464366914</v>
      </c>
      <c r="I22" s="303">
        <v>0.65370224585316417</v>
      </c>
      <c r="J22" s="302">
        <v>-2.8746371386877412E-3</v>
      </c>
      <c r="K22" s="299">
        <v>1065720.5685238568</v>
      </c>
      <c r="L22" s="302">
        <v>0.11859356895525477</v>
      </c>
      <c r="M22" s="299">
        <v>1.9768609167195028E-2</v>
      </c>
      <c r="N22" s="296">
        <v>0.75870513924796901</v>
      </c>
      <c r="O22" s="297">
        <v>140.68128318785909</v>
      </c>
      <c r="P22" s="294">
        <v>1.032371638569451</v>
      </c>
      <c r="Q22" s="299">
        <v>70.59695674947551</v>
      </c>
      <c r="R22" s="301">
        <v>0.58097796755497733</v>
      </c>
      <c r="S22" s="297">
        <v>125.96275265792249</v>
      </c>
      <c r="T22" s="296">
        <v>1.0366110296584961</v>
      </c>
      <c r="U22" s="297">
        <v>1765.0690179703577</v>
      </c>
      <c r="V22" s="300">
        <v>0.77432823372869009</v>
      </c>
      <c r="W22" s="299">
        <v>296.37686574536519</v>
      </c>
      <c r="X22" s="298">
        <v>6.1929679199566462E-2</v>
      </c>
      <c r="Y22" s="297">
        <v>4052.9975386877545</v>
      </c>
      <c r="Z22" s="296">
        <v>0.8468975361363551</v>
      </c>
      <c r="AA22" s="295">
        <v>0.78058125989764127</v>
      </c>
      <c r="AB22" s="294"/>
      <c r="AC22" s="250">
        <v>8215.5888170277594</v>
      </c>
    </row>
    <row r="23" spans="1:29" ht="15" customHeight="1" x14ac:dyDescent="0.25">
      <c r="B23" s="698"/>
      <c r="C23" s="699"/>
      <c r="D23" s="398">
        <v>13.6</v>
      </c>
      <c r="F23" s="292">
        <v>2</v>
      </c>
      <c r="G23" s="284">
        <v>2.1965320149999168</v>
      </c>
      <c r="H23" s="291">
        <v>0.99997556377390806</v>
      </c>
      <c r="I23" s="286">
        <v>0.65074282709790576</v>
      </c>
      <c r="J23" s="290">
        <v>-5.834055893946144E-3</v>
      </c>
      <c r="K23" s="286">
        <v>1089590.9262789434</v>
      </c>
      <c r="L23" s="290">
        <v>0.12124986648954703</v>
      </c>
      <c r="M23" s="286">
        <v>2.2975244557738462E-2</v>
      </c>
      <c r="N23" s="289">
        <v>0.88177352154655653</v>
      </c>
      <c r="O23" s="284">
        <v>138.58577186440237</v>
      </c>
      <c r="P23" s="288">
        <v>1.0169939962163526</v>
      </c>
      <c r="Q23" s="286">
        <v>68.689001578567058</v>
      </c>
      <c r="R23" s="471">
        <v>0.56527644204426697</v>
      </c>
      <c r="S23" s="284">
        <v>123.73020339615709</v>
      </c>
      <c r="T23" s="283">
        <v>1.0182382556426182</v>
      </c>
      <c r="U23" s="284">
        <v>2044.4032132100269</v>
      </c>
      <c r="V23" s="287">
        <v>0.89687095121895344</v>
      </c>
      <c r="W23" s="286">
        <v>337.7716614513198</v>
      </c>
      <c r="X23" s="285">
        <v>7.057936382374988E-2</v>
      </c>
      <c r="Y23" s="284">
        <v>4497.6046398785629</v>
      </c>
      <c r="Z23" s="283">
        <v>0.93980078982772908</v>
      </c>
      <c r="AA23" s="282">
        <v>0.79066087720315825</v>
      </c>
      <c r="AB23" s="281"/>
      <c r="AC23" s="252">
        <v>8018.0740410063518</v>
      </c>
    </row>
    <row r="24" spans="1:29" x14ac:dyDescent="0.25">
      <c r="B24" s="698" t="s">
        <v>421</v>
      </c>
      <c r="C24" s="699" t="s">
        <v>387</v>
      </c>
      <c r="D24" s="702"/>
      <c r="F24" s="292">
        <v>3</v>
      </c>
      <c r="G24" s="284">
        <v>2.1776208272869622</v>
      </c>
      <c r="H24" s="291">
        <v>0.99136620799591058</v>
      </c>
      <c r="I24" s="286">
        <v>0.6535559724840474</v>
      </c>
      <c r="J24" s="290">
        <v>-3.0209105078045084E-3</v>
      </c>
      <c r="K24" s="286">
        <v>1104133.8404089219</v>
      </c>
      <c r="L24" s="290">
        <v>0.12286820448603784</v>
      </c>
      <c r="M24" s="286">
        <v>2.5293467001523705E-2</v>
      </c>
      <c r="N24" s="289">
        <v>0.97074524773853188</v>
      </c>
      <c r="O24" s="284">
        <v>135.6992669763552</v>
      </c>
      <c r="P24" s="288">
        <v>0.99581174856061638</v>
      </c>
      <c r="Q24" s="286">
        <v>67.545489859181956</v>
      </c>
      <c r="R24" s="471">
        <v>0.55586590729613017</v>
      </c>
      <c r="S24" s="284">
        <v>120.89215590152328</v>
      </c>
      <c r="T24" s="283">
        <v>0.99488253124350512</v>
      </c>
      <c r="U24" s="293">
        <v>2247.5037995620478</v>
      </c>
      <c r="V24" s="287">
        <v>0.98597031033640115</v>
      </c>
      <c r="W24" s="286">
        <v>368.31968032875199</v>
      </c>
      <c r="X24" s="285">
        <v>7.6962551001682519E-2</v>
      </c>
      <c r="Y24" s="284">
        <v>4776.4327492452494</v>
      </c>
      <c r="Z24" s="283">
        <v>0.99806355376334699</v>
      </c>
      <c r="AA24" s="282">
        <v>0.79315404319478933</v>
      </c>
      <c r="AB24" s="281"/>
      <c r="AC24" s="252">
        <v>7806.0343686647275</v>
      </c>
    </row>
    <row r="25" spans="1:29" ht="15" customHeight="1" x14ac:dyDescent="0.25">
      <c r="B25" s="698"/>
      <c r="C25" s="699"/>
      <c r="D25" s="703"/>
      <c r="F25" s="292">
        <v>4</v>
      </c>
      <c r="G25" s="284">
        <v>2.028362859987217</v>
      </c>
      <c r="H25" s="291">
        <v>0.9234162218454397</v>
      </c>
      <c r="I25" s="286">
        <v>0.65241305555495843</v>
      </c>
      <c r="J25" s="290">
        <v>-4.1638274368934747E-3</v>
      </c>
      <c r="K25" s="286">
        <v>1195120.8418341428</v>
      </c>
      <c r="L25" s="290">
        <v>0.13299325372150472</v>
      </c>
      <c r="M25" s="286">
        <v>3.0996610253312327E-2</v>
      </c>
      <c r="N25" s="289">
        <v>1.1896278235638378</v>
      </c>
      <c r="O25" s="284">
        <v>124.68007500421281</v>
      </c>
      <c r="P25" s="288">
        <v>0.91494881488378077</v>
      </c>
      <c r="Q25" s="286">
        <v>61.103221332331145</v>
      </c>
      <c r="R25" s="471">
        <v>0.50284922998445569</v>
      </c>
      <c r="S25" s="284">
        <v>110.1628806159674</v>
      </c>
      <c r="T25" s="283">
        <v>0.90658591286573897</v>
      </c>
      <c r="U25" s="284">
        <v>2741.2159487321574</v>
      </c>
      <c r="V25" s="287">
        <v>1.2025597198977822</v>
      </c>
      <c r="W25" s="286">
        <v>450.11711645252683</v>
      </c>
      <c r="X25" s="285">
        <v>9.4054603600837255E-2</v>
      </c>
      <c r="Y25" s="284">
        <v>5313.4273855761185</v>
      </c>
      <c r="Z25" s="283">
        <v>1.110271723170303</v>
      </c>
      <c r="AA25" s="282">
        <v>0.7770307462705689</v>
      </c>
      <c r="AB25" s="281"/>
      <c r="AC25" s="252">
        <v>6958.7769988455811</v>
      </c>
    </row>
    <row r="26" spans="1:29" ht="15.75" customHeight="1" x14ac:dyDescent="0.25">
      <c r="B26" s="698" t="s">
        <v>514</v>
      </c>
      <c r="C26" s="699" t="s">
        <v>353</v>
      </c>
      <c r="D26" s="703"/>
      <c r="F26" s="292">
        <v>5</v>
      </c>
      <c r="G26" s="284">
        <v>1.5784509676166769</v>
      </c>
      <c r="H26" s="291">
        <v>0.71859293898432752</v>
      </c>
      <c r="I26" s="286">
        <v>0.65270165692429361</v>
      </c>
      <c r="J26" s="290">
        <v>-3.8752260675583017E-3</v>
      </c>
      <c r="K26" s="286">
        <v>1516369.3458798889</v>
      </c>
      <c r="L26" s="290">
        <v>0.1687418427433828</v>
      </c>
      <c r="M26" s="286">
        <v>3.7131561204681994E-2</v>
      </c>
      <c r="N26" s="289">
        <v>1.4250828713353563</v>
      </c>
      <c r="O26" s="284">
        <v>94.580829163886676</v>
      </c>
      <c r="P26" s="288">
        <v>0.69406934148298727</v>
      </c>
      <c r="Q26" s="286">
        <v>42.576684726068891</v>
      </c>
      <c r="R26" s="471">
        <v>0.35038501510993708</v>
      </c>
      <c r="S26" s="284">
        <v>77.549378297715336</v>
      </c>
      <c r="T26" s="283">
        <v>0.63819295141066323</v>
      </c>
      <c r="U26" s="284">
        <v>3269.4926013563972</v>
      </c>
      <c r="V26" s="287">
        <v>1.4343124293850336</v>
      </c>
      <c r="W26" s="286">
        <v>591.20494466462651</v>
      </c>
      <c r="X26" s="285">
        <v>0.12353573033508713</v>
      </c>
      <c r="Y26" s="284">
        <v>5387.1149207381613</v>
      </c>
      <c r="Z26" s="283">
        <v>1.1256691645398085</v>
      </c>
      <c r="AA26" s="282">
        <v>0.62769837671592854</v>
      </c>
      <c r="AB26" s="281"/>
      <c r="AC26" s="252">
        <v>4788.9379783022277</v>
      </c>
    </row>
    <row r="27" spans="1:29" ht="14.45" customHeight="1" x14ac:dyDescent="0.25">
      <c r="B27" s="698"/>
      <c r="C27" s="699"/>
      <c r="D27" s="703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98" t="s">
        <v>424</v>
      </c>
      <c r="C28" s="699" t="s">
        <v>353</v>
      </c>
      <c r="D28" s="703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98"/>
      <c r="C29" s="699"/>
      <c r="D29" s="703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98" t="s">
        <v>515</v>
      </c>
      <c r="C30" s="699" t="s">
        <v>353</v>
      </c>
      <c r="D30" s="703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49"/>
      <c r="B31" s="698"/>
      <c r="C31" s="699"/>
      <c r="D31" s="704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49"/>
      <c r="B32" s="712"/>
      <c r="C32" s="711"/>
      <c r="D32" s="434"/>
      <c r="F32" s="268" t="s">
        <v>512</v>
      </c>
      <c r="G32" s="261">
        <v>2.1669792262932317</v>
      </c>
      <c r="H32" s="258">
        <v>0.98652159800138561</v>
      </c>
      <c r="I32" s="263">
        <v>0.65657688299185191</v>
      </c>
      <c r="J32" s="267">
        <v>0</v>
      </c>
      <c r="K32" s="263">
        <v>8986326.8127629422</v>
      </c>
      <c r="L32" s="267">
        <v>1</v>
      </c>
      <c r="M32" s="263">
        <v>2.6055720654258041E-2</v>
      </c>
      <c r="N32" s="266">
        <v>1</v>
      </c>
      <c r="O32" s="261">
        <v>134.98549318646468</v>
      </c>
      <c r="P32" s="265">
        <v>0.99057381071743333</v>
      </c>
      <c r="Q32" s="263" t="s">
        <v>513</v>
      </c>
      <c r="R32" s="473" t="s">
        <v>513</v>
      </c>
      <c r="S32" s="261">
        <v>120.21385888103846</v>
      </c>
      <c r="T32" s="260">
        <v>0.99334623828778545</v>
      </c>
      <c r="U32" s="261">
        <v>2279.4842562705835</v>
      </c>
      <c r="V32" s="264">
        <v>1</v>
      </c>
      <c r="W32" s="263" t="s">
        <v>513</v>
      </c>
      <c r="X32" s="262" t="s">
        <v>513</v>
      </c>
      <c r="Y32" s="261">
        <v>4853.1759777951456</v>
      </c>
      <c r="Z32" s="260">
        <v>1.014099500134807</v>
      </c>
      <c r="AA32" s="259"/>
      <c r="AB32" s="258">
        <v>0.84675233718224807</v>
      </c>
      <c r="AC32" s="484"/>
    </row>
    <row r="33" spans="1:29" ht="15" customHeight="1" thickBot="1" x14ac:dyDescent="0.3">
      <c r="A33" s="649"/>
      <c r="B33" s="712"/>
      <c r="C33" s="711"/>
      <c r="D33" s="434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49"/>
      <c r="F34" s="654" t="s">
        <v>384</v>
      </c>
      <c r="G34" s="684"/>
      <c r="H34" s="684"/>
      <c r="I34" s="684"/>
      <c r="J34" s="684"/>
      <c r="K34" s="684"/>
      <c r="L34" s="684"/>
      <c r="M34" s="684"/>
      <c r="N34" s="684"/>
      <c r="O34" s="684"/>
      <c r="P34" s="684"/>
      <c r="Q34" s="684"/>
      <c r="R34" s="684"/>
      <c r="S34" s="684"/>
      <c r="T34" s="684"/>
      <c r="U34" s="684"/>
      <c r="V34" s="684"/>
      <c r="W34" s="684"/>
      <c r="X34" s="684"/>
      <c r="Y34" s="684"/>
      <c r="Z34" s="684"/>
      <c r="AA34" s="684"/>
      <c r="AB34" s="684"/>
      <c r="AC34" s="655"/>
    </row>
    <row r="35" spans="1:29" ht="15.75" customHeight="1" thickBot="1" x14ac:dyDescent="0.3">
      <c r="A35" s="649"/>
      <c r="F35" s="315"/>
      <c r="G35" s="717" t="s">
        <v>311</v>
      </c>
      <c r="H35" s="718"/>
      <c r="I35" s="719" t="s">
        <v>303</v>
      </c>
      <c r="J35" s="718"/>
      <c r="K35" s="707" t="s">
        <v>304</v>
      </c>
      <c r="L35" s="710"/>
      <c r="M35" s="707" t="s">
        <v>313</v>
      </c>
      <c r="N35" s="707"/>
      <c r="O35" s="709" t="s">
        <v>396</v>
      </c>
      <c r="P35" s="710"/>
      <c r="Q35" s="707" t="s">
        <v>333</v>
      </c>
      <c r="R35" s="707"/>
      <c r="S35" s="709" t="s">
        <v>335</v>
      </c>
      <c r="T35" s="710"/>
      <c r="U35" s="709" t="s">
        <v>371</v>
      </c>
      <c r="V35" s="710"/>
      <c r="W35" s="707" t="s">
        <v>315</v>
      </c>
      <c r="X35" s="707"/>
      <c r="Y35" s="709" t="s">
        <v>337</v>
      </c>
      <c r="Z35" s="710"/>
      <c r="AA35" s="707" t="s">
        <v>370</v>
      </c>
      <c r="AB35" s="710"/>
      <c r="AC35" s="480" t="s">
        <v>425</v>
      </c>
    </row>
    <row r="36" spans="1:29" ht="26.25" thickBot="1" x14ac:dyDescent="0.3">
      <c r="A36" s="649"/>
      <c r="F36" s="314" t="s">
        <v>479</v>
      </c>
      <c r="G36" s="307" t="s">
        <v>305</v>
      </c>
      <c r="H36" s="312" t="s">
        <v>308</v>
      </c>
      <c r="I36" s="309" t="s">
        <v>369</v>
      </c>
      <c r="J36" s="312" t="s">
        <v>368</v>
      </c>
      <c r="K36" s="313" t="s">
        <v>367</v>
      </c>
      <c r="L36" s="305" t="s">
        <v>314</v>
      </c>
      <c r="M36" s="307" t="s">
        <v>366</v>
      </c>
      <c r="N36" s="311" t="s">
        <v>327</v>
      </c>
      <c r="O36" s="307" t="s">
        <v>397</v>
      </c>
      <c r="P36" s="310" t="s">
        <v>398</v>
      </c>
      <c r="Q36" s="309" t="s">
        <v>365</v>
      </c>
      <c r="R36" s="311" t="s">
        <v>334</v>
      </c>
      <c r="S36" s="307" t="s">
        <v>364</v>
      </c>
      <c r="T36" s="305" t="s">
        <v>336</v>
      </c>
      <c r="U36" s="307" t="s">
        <v>363</v>
      </c>
      <c r="V36" s="310" t="s">
        <v>362</v>
      </c>
      <c r="W36" s="309" t="s">
        <v>361</v>
      </c>
      <c r="X36" s="308" t="s">
        <v>317</v>
      </c>
      <c r="Y36" s="307" t="s">
        <v>360</v>
      </c>
      <c r="Z36" s="305" t="s">
        <v>338</v>
      </c>
      <c r="AA36" s="306" t="s">
        <v>359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1.3227207253089355</v>
      </c>
      <c r="H37" s="296">
        <v>1.027364212958199</v>
      </c>
      <c r="I37" s="303">
        <v>0.47196051607468759</v>
      </c>
      <c r="J37" s="302">
        <v>-6.1986138216833853E-2</v>
      </c>
      <c r="K37" s="299">
        <v>1192374.3898159557</v>
      </c>
      <c r="L37" s="302">
        <v>0.1043429785471704</v>
      </c>
      <c r="M37" s="299">
        <v>8.9851318773819452E-3</v>
      </c>
      <c r="N37" s="296">
        <v>0.75985901051625149</v>
      </c>
      <c r="O37" s="297">
        <v>259.26825231172256</v>
      </c>
      <c r="P37" s="294">
        <v>1.0352509675440127</v>
      </c>
      <c r="Q37" s="299">
        <v>23.729875113017336</v>
      </c>
      <c r="R37" s="301">
        <v>0.38494403622381917</v>
      </c>
      <c r="S37" s="297">
        <v>64.267561390024781</v>
      </c>
      <c r="T37" s="296">
        <v>1.0425429700709672</v>
      </c>
      <c r="U37" s="297">
        <v>527.88716850393553</v>
      </c>
      <c r="V37" s="300">
        <v>0.75725965366872594</v>
      </c>
      <c r="W37" s="299">
        <v>73.758273710861303</v>
      </c>
      <c r="X37" s="298">
        <v>2.5821205570054719E-2</v>
      </c>
      <c r="Y37" s="297">
        <v>2348.7784837784966</v>
      </c>
      <c r="Z37" s="296">
        <v>0.8222574772548561</v>
      </c>
      <c r="AA37" s="295">
        <v>0.66757922036697825</v>
      </c>
      <c r="AB37" s="294"/>
      <c r="AC37" s="314"/>
    </row>
    <row r="38" spans="1:29" x14ac:dyDescent="0.25">
      <c r="A38" s="408"/>
      <c r="F38" s="292">
        <v>2</v>
      </c>
      <c r="G38" s="284">
        <v>1.3192737459068735</v>
      </c>
      <c r="H38" s="291">
        <v>1.0246869257480393</v>
      </c>
      <c r="I38" s="286">
        <v>0.47506645243163736</v>
      </c>
      <c r="J38" s="290">
        <v>-5.8880201859884074E-2</v>
      </c>
      <c r="K38" s="286">
        <v>1194368.5372530876</v>
      </c>
      <c r="L38" s="290">
        <v>0.10451748353908377</v>
      </c>
      <c r="M38" s="286">
        <v>1.1184170506366536E-2</v>
      </c>
      <c r="N38" s="289">
        <v>0.94582838075037245</v>
      </c>
      <c r="O38" s="284">
        <v>253.8033340052049</v>
      </c>
      <c r="P38" s="288">
        <v>1.0134296997492609</v>
      </c>
      <c r="Q38" s="286">
        <v>23.062639009987318</v>
      </c>
      <c r="R38" s="471">
        <v>0.37412018833623678</v>
      </c>
      <c r="S38" s="284">
        <v>61.59804203504148</v>
      </c>
      <c r="T38" s="283">
        <v>0.99923825184591575</v>
      </c>
      <c r="U38" s="284">
        <v>658.41349588017147</v>
      </c>
      <c r="V38" s="287">
        <v>0.9445010328136374</v>
      </c>
      <c r="W38" s="286">
        <v>86.186650627428108</v>
      </c>
      <c r="X38" s="285">
        <v>3.0172116445800142E-2</v>
      </c>
      <c r="Y38" s="284">
        <v>2708.1542883384054</v>
      </c>
      <c r="Z38" s="283">
        <v>0.94806731606455641</v>
      </c>
      <c r="AA38" s="282">
        <v>0.69225392429683275</v>
      </c>
      <c r="AB38" s="281"/>
      <c r="AC38" s="251"/>
    </row>
    <row r="39" spans="1:29" x14ac:dyDescent="0.25">
      <c r="F39" s="292">
        <v>3</v>
      </c>
      <c r="G39" s="284">
        <v>1.2866731198277017</v>
      </c>
      <c r="H39" s="291">
        <v>0.99936584631462366</v>
      </c>
      <c r="I39" s="286">
        <v>0.47301840334762879</v>
      </c>
      <c r="J39" s="290">
        <v>-6.0928250943892648E-2</v>
      </c>
      <c r="K39" s="286">
        <v>1205399.4462691715</v>
      </c>
      <c r="L39" s="290">
        <v>0.10548278262018757</v>
      </c>
      <c r="M39" s="286">
        <v>1.4395271717545245E-2</v>
      </c>
      <c r="N39" s="289">
        <v>1.2173863525522004</v>
      </c>
      <c r="O39" s="284">
        <v>241.7474450697423</v>
      </c>
      <c r="P39" s="288">
        <v>0.96529086835067202</v>
      </c>
      <c r="Q39" s="286">
        <v>20.761393895089576</v>
      </c>
      <c r="R39" s="471">
        <v>0.33678958382820301</v>
      </c>
      <c r="S39" s="284">
        <v>55.997334307487435</v>
      </c>
      <c r="T39" s="283">
        <v>0.90838404262287986</v>
      </c>
      <c r="U39" s="293">
        <v>848.45696447997739</v>
      </c>
      <c r="V39" s="287">
        <v>1.2171203723246706</v>
      </c>
      <c r="W39" s="286">
        <v>99.738924772524101</v>
      </c>
      <c r="X39" s="285">
        <v>3.4916479878356069E-2</v>
      </c>
      <c r="Y39" s="284">
        <v>3139.9694381630652</v>
      </c>
      <c r="Z39" s="283">
        <v>1.0992366315991826</v>
      </c>
      <c r="AA39" s="282">
        <v>0.69940881803768828</v>
      </c>
      <c r="AB39" s="281"/>
      <c r="AC39" s="251"/>
    </row>
    <row r="40" spans="1:29" x14ac:dyDescent="0.25">
      <c r="F40" s="292">
        <v>4</v>
      </c>
      <c r="G40" s="284">
        <v>1.2056421414082092</v>
      </c>
      <c r="H40" s="291">
        <v>0.9364286549814107</v>
      </c>
      <c r="I40" s="286">
        <v>0.46779210993261205</v>
      </c>
      <c r="J40" s="290">
        <v>-6.6154544358909384E-2</v>
      </c>
      <c r="K40" s="286">
        <v>1198177.4782408962</v>
      </c>
      <c r="L40" s="290">
        <v>0.10485079852066409</v>
      </c>
      <c r="M40" s="286">
        <v>1.7686218956384073E-2</v>
      </c>
      <c r="N40" s="289">
        <v>1.4956967821253158</v>
      </c>
      <c r="O40" s="284">
        <v>215.36656657409637</v>
      </c>
      <c r="P40" s="288">
        <v>0.85995274945734057</v>
      </c>
      <c r="Q40" s="286">
        <v>15.807602800854134</v>
      </c>
      <c r="R40" s="471">
        <v>0.25642960176582258</v>
      </c>
      <c r="S40" s="284">
        <v>43.632119686959278</v>
      </c>
      <c r="T40" s="283">
        <v>0.70779657209764424</v>
      </c>
      <c r="U40" s="284">
        <v>1045.1073218776332</v>
      </c>
      <c r="V40" s="287">
        <v>1.4992173627834751</v>
      </c>
      <c r="W40" s="286">
        <v>99.519846858507364</v>
      </c>
      <c r="X40" s="285">
        <v>3.4839785352181817E-2</v>
      </c>
      <c r="Y40" s="284">
        <v>3229.5778880859548</v>
      </c>
      <c r="Z40" s="283">
        <v>1.1306066473257326</v>
      </c>
      <c r="AA40" s="282">
        <v>0.65203285119363252</v>
      </c>
      <c r="AB40" s="281"/>
      <c r="AC40" s="251"/>
    </row>
    <row r="41" spans="1:29" x14ac:dyDescent="0.25">
      <c r="F41" s="292">
        <v>5</v>
      </c>
      <c r="G41" s="284">
        <v>1.1250598933659246</v>
      </c>
      <c r="H41" s="291">
        <v>0.8738399949155996</v>
      </c>
      <c r="I41" s="286">
        <v>0.49393364016425501</v>
      </c>
      <c r="J41" s="290">
        <v>-4.0013014127266433E-2</v>
      </c>
      <c r="K41" s="286">
        <v>1303631.450002704</v>
      </c>
      <c r="L41" s="290">
        <v>0.11407892486020633</v>
      </c>
      <c r="M41" s="286">
        <v>1.9465196266921888E-2</v>
      </c>
      <c r="N41" s="289">
        <v>1.646142202110626</v>
      </c>
      <c r="O41" s="284">
        <v>188.87645261951585</v>
      </c>
      <c r="P41" s="288">
        <v>0.75417845639480852</v>
      </c>
      <c r="Q41" s="286">
        <v>12.411074754890574</v>
      </c>
      <c r="R41" s="471">
        <v>0.20133140976381822</v>
      </c>
      <c r="S41" s="284">
        <v>30.836443930475674</v>
      </c>
      <c r="T41" s="283">
        <v>0.50022619726621254</v>
      </c>
      <c r="U41" s="284">
        <v>1151.5315424983739</v>
      </c>
      <c r="V41" s="287">
        <v>1.6518840181932388</v>
      </c>
      <c r="W41" s="286">
        <v>128.82560797648563</v>
      </c>
      <c r="X41" s="285">
        <v>4.5099110091540565E-2</v>
      </c>
      <c r="Y41" s="284">
        <v>3442.5685162823206</v>
      </c>
      <c r="Z41" s="283">
        <v>1.2051701439812079</v>
      </c>
      <c r="AA41" s="282">
        <v>0.47466777978262975</v>
      </c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512</v>
      </c>
      <c r="G47" s="261">
        <v>1.2991934681189521</v>
      </c>
      <c r="H47" s="258">
        <v>1.0090904673340748</v>
      </c>
      <c r="I47" s="263">
        <v>0.53590313636085551</v>
      </c>
      <c r="J47" s="267">
        <v>1.9564820693340756E-3</v>
      </c>
      <c r="K47" s="263">
        <v>11395503.382886197</v>
      </c>
      <c r="L47" s="267">
        <v>0.99720421301419593</v>
      </c>
      <c r="M47" s="263">
        <v>1.193842859636084E-2</v>
      </c>
      <c r="N47" s="266">
        <v>1.0096148464092323</v>
      </c>
      <c r="O47" s="261">
        <v>250.92384311405652</v>
      </c>
      <c r="P47" s="265">
        <v>1.00193197218518</v>
      </c>
      <c r="Q47" s="263" t="s">
        <v>513</v>
      </c>
      <c r="R47" s="473" t="s">
        <v>513</v>
      </c>
      <c r="S47" s="261">
        <v>60.267254761646413</v>
      </c>
      <c r="T47" s="260">
        <v>1.0187627666086212</v>
      </c>
      <c r="U47" s="261">
        <v>703.80446121543605</v>
      </c>
      <c r="V47" s="264">
        <v>1.0096148464092323</v>
      </c>
      <c r="W47" s="263" t="s">
        <v>513</v>
      </c>
      <c r="X47" s="262" t="s">
        <v>513</v>
      </c>
      <c r="Y47" s="261">
        <v>2738.0263243762206</v>
      </c>
      <c r="Z47" s="260">
        <v>0.95852488163004401</v>
      </c>
      <c r="AA47" s="259"/>
      <c r="AB47" s="258">
        <v>0.6962100690828491</v>
      </c>
      <c r="AC47" s="483"/>
    </row>
    <row r="48" spans="1:29" ht="15.75" thickBot="1" x14ac:dyDescent="0.3">
      <c r="F48" s="268" t="s">
        <v>516</v>
      </c>
      <c r="G48" s="261"/>
      <c r="H48" s="267"/>
      <c r="I48" s="263"/>
      <c r="J48" s="267"/>
      <c r="K48" s="263"/>
      <c r="L48" s="267"/>
      <c r="M48" s="263"/>
      <c r="N48" s="266"/>
      <c r="O48" s="261">
        <v>250.92384311405652</v>
      </c>
      <c r="P48" s="265">
        <v>1.00193197218518</v>
      </c>
      <c r="Q48" s="263"/>
      <c r="R48" s="473"/>
      <c r="S48" s="261"/>
      <c r="T48" s="260"/>
      <c r="U48" s="261"/>
      <c r="V48" s="264"/>
      <c r="W48" s="263"/>
      <c r="X48" s="262"/>
      <c r="Y48" s="261">
        <v>7591.2023021713667</v>
      </c>
      <c r="Z48" s="260">
        <v>0.99</v>
      </c>
      <c r="AA48" s="259"/>
      <c r="AB48" s="258"/>
    </row>
    <row r="49" spans="1:28" x14ac:dyDescent="0.25">
      <c r="Y49" s="715" t="s">
        <v>358</v>
      </c>
      <c r="Z49" s="715"/>
      <c r="AA49" s="715"/>
      <c r="AB49" s="715"/>
    </row>
    <row r="50" spans="1:28" x14ac:dyDescent="0.25">
      <c r="Y50" s="716"/>
      <c r="Z50" s="716"/>
      <c r="AA50" s="716"/>
      <c r="AB50" s="716"/>
    </row>
    <row r="51" spans="1:28" x14ac:dyDescent="0.25">
      <c r="R51" s="365"/>
      <c r="Y51" s="716"/>
      <c r="Z51" s="716"/>
      <c r="AA51" s="716"/>
      <c r="AB51" s="716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712"/>
      <c r="C53" s="711"/>
      <c r="D53" s="434"/>
    </row>
    <row r="54" spans="1:28" x14ac:dyDescent="0.25">
      <c r="A54" s="434"/>
      <c r="B54" s="712"/>
      <c r="C54" s="711"/>
      <c r="D54" s="434"/>
    </row>
    <row r="55" spans="1:28" x14ac:dyDescent="0.25">
      <c r="A55" s="434"/>
      <c r="B55" s="712"/>
      <c r="C55" s="711"/>
      <c r="D55" s="434"/>
    </row>
    <row r="56" spans="1:28" x14ac:dyDescent="0.25">
      <c r="A56" s="434"/>
      <c r="B56" s="712"/>
      <c r="C56" s="711"/>
      <c r="D56" s="434"/>
    </row>
    <row r="57" spans="1:28" x14ac:dyDescent="0.25">
      <c r="A57" s="434"/>
      <c r="B57" s="712"/>
      <c r="C57" s="711"/>
      <c r="D57" s="434"/>
    </row>
    <row r="58" spans="1:28" x14ac:dyDescent="0.25">
      <c r="A58" s="434"/>
      <c r="B58" s="712"/>
      <c r="C58" s="711"/>
      <c r="D58" s="434"/>
    </row>
    <row r="59" spans="1:28" x14ac:dyDescent="0.25">
      <c r="A59" s="434"/>
      <c r="B59" s="712"/>
      <c r="C59" s="711"/>
      <c r="D59" s="434"/>
    </row>
    <row r="60" spans="1:28" x14ac:dyDescent="0.25">
      <c r="A60" s="434"/>
      <c r="B60" s="712"/>
      <c r="C60" s="711"/>
      <c r="D60" s="434"/>
    </row>
  </sheetData>
  <mergeCells count="59">
    <mergeCell ref="AD3:AO3"/>
    <mergeCell ref="V5:V6"/>
    <mergeCell ref="B8:B15"/>
    <mergeCell ref="C8:C15"/>
    <mergeCell ref="C28:C29"/>
    <mergeCell ref="M20:N20"/>
    <mergeCell ref="C4:C7"/>
    <mergeCell ref="F3:W3"/>
    <mergeCell ref="X3:X4"/>
    <mergeCell ref="Y3:Y4"/>
    <mergeCell ref="B4:B7"/>
    <mergeCell ref="AA35:AB35"/>
    <mergeCell ref="O20:P20"/>
    <mergeCell ref="Q20:R20"/>
    <mergeCell ref="Z7:AA8"/>
    <mergeCell ref="Z9:AA10"/>
    <mergeCell ref="F19:AC19"/>
    <mergeCell ref="F34:AC34"/>
    <mergeCell ref="B32:B33"/>
    <mergeCell ref="C32:C33"/>
    <mergeCell ref="B30:B31"/>
    <mergeCell ref="C30:C31"/>
    <mergeCell ref="AN5:AN6"/>
    <mergeCell ref="S20:T20"/>
    <mergeCell ref="U20:V20"/>
    <mergeCell ref="G35:H35"/>
    <mergeCell ref="I35:J35"/>
    <mergeCell ref="K35:L35"/>
    <mergeCell ref="M35:N35"/>
    <mergeCell ref="AA20:AB20"/>
    <mergeCell ref="G20:H20"/>
    <mergeCell ref="I20:J20"/>
    <mergeCell ref="W20:X20"/>
    <mergeCell ref="Y35:Z35"/>
    <mergeCell ref="C59:C60"/>
    <mergeCell ref="B55:B56"/>
    <mergeCell ref="C55:C56"/>
    <mergeCell ref="B57:B58"/>
    <mergeCell ref="C57:C58"/>
    <mergeCell ref="B59:B60"/>
    <mergeCell ref="B53:B54"/>
    <mergeCell ref="C53:C54"/>
    <mergeCell ref="Y49:AB51"/>
    <mergeCell ref="D24:D31"/>
    <mergeCell ref="A31:A36"/>
    <mergeCell ref="Y20:Z20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</mergeCells>
  <conditionalFormatting sqref="H31">
    <cfRule type="expression" dxfId="139" priority="98">
      <formula>AND(AND(N31&gt;0.96,N31&lt;1.04),OR(H31&gt;1.05,H31&lt;0.95))</formula>
    </cfRule>
    <cfRule type="expression" dxfId="138" priority="99">
      <formula>AND(AND(N31&gt;0.96,N31&lt;1.04),AND(H31&lt;1.05,H31&gt;0.95))</formula>
    </cfRule>
  </conditionalFormatting>
  <conditionalFormatting sqref="N31">
    <cfRule type="expression" dxfId="137" priority="91">
      <formula>AND(N31=N10009,N31=N10010)</formula>
    </cfRule>
    <cfRule type="expression" dxfId="136" priority="96">
      <formula>OR(N31&lt;0.96,N31&gt;1.04)</formula>
    </cfRule>
    <cfRule type="expression" dxfId="135" priority="97">
      <formula>AND(N31&gt;0.96,N31&lt;1.04)</formula>
    </cfRule>
  </conditionalFormatting>
  <conditionalFormatting sqref="T31">
    <cfRule type="expression" dxfId="134" priority="94">
      <formula>AND(AND(N31&gt;0.96,N31&lt;1.04),OR(T31&gt;1.05,T31&lt;1))</formula>
    </cfRule>
    <cfRule type="expression" dxfId="133" priority="95">
      <formula>AND(AND(N31&gt;0.96,N31&lt;1.04),AND(T31&lt;1.05,T31&gt;1))</formula>
    </cfRule>
  </conditionalFormatting>
  <conditionalFormatting sqref="F22:F31">
    <cfRule type="expression" dxfId="132" priority="90">
      <formula>AND(N22&gt;0.96,N22&lt;1.04)</formula>
    </cfRule>
  </conditionalFormatting>
  <conditionalFormatting sqref="Z31">
    <cfRule type="expression" dxfId="131" priority="88">
      <formula>AND(AND(N31&gt;0.96,N31&lt;1.04),Z31&gt;1.07)</formula>
    </cfRule>
    <cfRule type="expression" dxfId="130" priority="89">
      <formula>AND(AND(N31&gt;0.96,N31&lt;1.04),Z31&lt;1.07)</formula>
    </cfRule>
  </conditionalFormatting>
  <conditionalFormatting sqref="N32">
    <cfRule type="expression" dxfId="129" priority="86">
      <formula>AND(V32&gt;0.96,V32&lt;1.04)</formula>
    </cfRule>
  </conditionalFormatting>
  <conditionalFormatting sqref="H32">
    <cfRule type="expression" dxfId="128" priority="84">
      <formula>AND(AND(N32&gt;0.96,N32&lt;1.04),OR(H32&gt;1.05,H32&lt;0.95))</formula>
    </cfRule>
    <cfRule type="expression" dxfId="127" priority="85">
      <formula>AND(AND(N32&gt;0.96,N32&lt;1.04),AND(H32&lt;1.05,H32&gt;0.95))</formula>
    </cfRule>
  </conditionalFormatting>
  <conditionalFormatting sqref="N32">
    <cfRule type="expression" dxfId="126" priority="79">
      <formula>AND(N32=N10010,N32=N10011)</formula>
    </cfRule>
    <cfRule type="expression" dxfId="125" priority="82">
      <formula>OR(N32&lt;0.96,N32&gt;1.04)</formula>
    </cfRule>
    <cfRule type="expression" dxfId="124" priority="83">
      <formula>AND(N32&gt;0.96,N32&lt;1.04)</formula>
    </cfRule>
  </conditionalFormatting>
  <conditionalFormatting sqref="T32">
    <cfRule type="expression" dxfId="123" priority="80">
      <formula>AND(AND(N32&gt;0.96,N32&lt;1.04),OR(T32&gt;1.05,T32&lt;1))</formula>
    </cfRule>
    <cfRule type="expression" dxfId="122" priority="81">
      <formula>AND(AND(N32&gt;0.96,N32&lt;1.04),AND(T32&lt;1.05,T32&gt;1))</formula>
    </cfRule>
  </conditionalFormatting>
  <conditionalFormatting sqref="F32">
    <cfRule type="expression" dxfId="121" priority="78">
      <formula>AND(N32&gt;0.96,N32&lt;1.04)</formula>
    </cfRule>
  </conditionalFormatting>
  <conditionalFormatting sqref="Z32">
    <cfRule type="expression" dxfId="70" priority="76">
      <formula>IF($C$30="Yes",AND($Z$32&gt;1.04),AND($Z$32&gt;1.07))</formula>
    </cfRule>
    <cfRule type="expression" dxfId="71" priority="77">
      <formula>IF($C$30="Yes",AND($Z$32&lt;=1.04),AND($Z$32&lt;1.07))</formula>
    </cfRule>
  </conditionalFormatting>
  <conditionalFormatting sqref="H43:H46">
    <cfRule type="expression" dxfId="120" priority="72">
      <formula>AND(AND(N43&gt;0.96,N43&lt;1.04),OR(H43&gt;1.05,H43&lt;0.95))</formula>
    </cfRule>
    <cfRule type="expression" dxfId="119" priority="73">
      <formula>AND(AND(N43&gt;0.96,N43&lt;1.04),AND(H43&lt;1.05,H43&gt;0.95))</formula>
    </cfRule>
  </conditionalFormatting>
  <conditionalFormatting sqref="N43:N46">
    <cfRule type="expression" dxfId="118" priority="65">
      <formula>AND(N43=N10021,N43=N10022)</formula>
    </cfRule>
    <cfRule type="expression" dxfId="117" priority="70">
      <formula>OR(N43&lt;0.96,N43&gt;1.04)</formula>
    </cfRule>
    <cfRule type="expression" dxfId="116" priority="71">
      <formula>AND(N43&gt;0.96,N43&lt;1.04)</formula>
    </cfRule>
  </conditionalFormatting>
  <conditionalFormatting sqref="T43:T46">
    <cfRule type="expression" dxfId="115" priority="68">
      <formula>AND(AND(N43&gt;0.96,N43&lt;1.04),OR(T43&gt;1.05,T43&lt;1))</formula>
    </cfRule>
    <cfRule type="expression" dxfId="114" priority="69">
      <formula>AND(AND(N43&gt;0.96,N43&lt;1.04),AND(T43&lt;1.05,T43&gt;1))</formula>
    </cfRule>
  </conditionalFormatting>
  <conditionalFormatting sqref="F37:F46">
    <cfRule type="expression" dxfId="113" priority="64">
      <formula>AND(N37&gt;0.96,N37&lt;1.04)</formula>
    </cfRule>
  </conditionalFormatting>
  <conditionalFormatting sqref="Z43:Z46">
    <cfRule type="expression" dxfId="112" priority="62">
      <formula>AND(AND(N43&gt;0.96,N43&lt;1.04),Z43&gt;1.07)</formula>
    </cfRule>
    <cfRule type="expression" dxfId="111" priority="63">
      <formula>AND(AND(N43&gt;0.96,N43&lt;1.04),Z43&lt;1.07)</formula>
    </cfRule>
  </conditionalFormatting>
  <conditionalFormatting sqref="N47:N48">
    <cfRule type="expression" dxfId="110" priority="60">
      <formula>AND(V47&gt;0.96,V47&lt;1.04)</formula>
    </cfRule>
  </conditionalFormatting>
  <conditionalFormatting sqref="H47">
    <cfRule type="expression" dxfId="109" priority="58">
      <formula>AND(AND(N47&gt;0.96,N47&lt;1.04),OR(H47&gt;1.05,H47&lt;0.95))</formula>
    </cfRule>
    <cfRule type="expression" dxfId="108" priority="59">
      <formula>AND(AND(N47&gt;0.96,N47&lt;1.04),AND(H47&lt;1.05,H47&gt;0.95))</formula>
    </cfRule>
  </conditionalFormatting>
  <conditionalFormatting sqref="N47:N48">
    <cfRule type="expression" dxfId="107" priority="53">
      <formula>AND(N47=N10025,N47=N10026)</formula>
    </cfRule>
    <cfRule type="expression" dxfId="106" priority="56">
      <formula>OR(N47&lt;0.96,N47&gt;1.04)</formula>
    </cfRule>
    <cfRule type="expression" dxfId="105" priority="57">
      <formula>AND(N47&gt;0.96,N47&lt;1.04)</formula>
    </cfRule>
  </conditionalFormatting>
  <conditionalFormatting sqref="T47:T48">
    <cfRule type="expression" dxfId="104" priority="54">
      <formula>AND(AND(N47&gt;0.96,N47&lt;1.04),OR(T47&gt;1.05,T47&lt;1))</formula>
    </cfRule>
    <cfRule type="expression" dxfId="103" priority="55">
      <formula>AND(AND(N47&gt;0.96,N47&lt;1.04),AND(T47&lt;1.05,T47&gt;1))</formula>
    </cfRule>
  </conditionalFormatting>
  <conditionalFormatting sqref="F47:F48">
    <cfRule type="expression" dxfId="102" priority="52">
      <formula>AND(N47&gt;0.96,N47&lt;1.04)</formula>
    </cfRule>
  </conditionalFormatting>
  <conditionalFormatting sqref="D5">
    <cfRule type="expression" dxfId="101" priority="48">
      <formula>IF($C$4="No",TRUE,FALSE)</formula>
    </cfRule>
    <cfRule type="expression" dxfId="100" priority="49">
      <formula>"C23=No"</formula>
    </cfRule>
  </conditionalFormatting>
  <conditionalFormatting sqref="M11:M12">
    <cfRule type="expression" dxfId="99" priority="32">
      <formula>AND(M11="Calculando...",M11="Calculando...")</formula>
    </cfRule>
    <cfRule type="expression" dxfId="98" priority="33">
      <formula>AND(M11="Carregando script...",M11="Carregando script...")</formula>
    </cfRule>
    <cfRule type="cellIs" dxfId="97" priority="34" operator="equal">
      <formula>"Carregando bibliotecas..."</formula>
    </cfRule>
    <cfRule type="cellIs" dxfId="96" priority="35" operator="equal">
      <formula>"ERRO!"</formula>
    </cfRule>
    <cfRule type="expression" dxfId="95" priority="36">
      <formula>AND(M11="Calculado",M11="Calculado")</formula>
    </cfRule>
  </conditionalFormatting>
  <conditionalFormatting sqref="D7">
    <cfRule type="expression" dxfId="94" priority="20">
      <formula>IF($C$4="No",TRUE,FALSE)</formula>
    </cfRule>
    <cfRule type="expression" dxfId="93" priority="21">
      <formula>"C23=No"</formula>
    </cfRule>
  </conditionalFormatting>
  <conditionalFormatting sqref="Z9">
    <cfRule type="expression" dxfId="92" priority="15">
      <formula>AND(Z9="Calculando...",Z9="Calculando...")</formula>
    </cfRule>
    <cfRule type="expression" dxfId="91" priority="16">
      <formula>AND(Z9="Carregando script...",Z9="Carregando script...")</formula>
    </cfRule>
    <cfRule type="cellIs" dxfId="90" priority="17" operator="equal">
      <formula>"Carregando bibliotecas..."</formula>
    </cfRule>
    <cfRule type="cellIs" dxfId="89" priority="18" operator="equal">
      <formula>"ERRO!"</formula>
    </cfRule>
    <cfRule type="expression" dxfId="88" priority="19">
      <formula>OR(Z9="Calculado",Z9="Calculado!")</formula>
    </cfRule>
  </conditionalFormatting>
  <conditionalFormatting sqref="AK11:AL12">
    <cfRule type="expression" dxfId="87" priority="10">
      <formula>AND(AK11="Calculando...",AK11="Calculando...")</formula>
    </cfRule>
    <cfRule type="expression" dxfId="86" priority="11">
      <formula>AND(AK11="Carregando script...",AK11="Carregando script...")</formula>
    </cfRule>
    <cfRule type="cellIs" dxfId="85" priority="12" operator="equal">
      <formula>"Carregando bibliotecas..."</formula>
    </cfRule>
    <cfRule type="cellIs" dxfId="84" priority="13" operator="equal">
      <formula>"ERRO!"</formula>
    </cfRule>
    <cfRule type="expression" dxfId="83" priority="14">
      <formula>AND(AK11="Calculado",AK11="Calculado")</formula>
    </cfRule>
  </conditionalFormatting>
  <conditionalFormatting sqref="O12">
    <cfRule type="expression" dxfId="82" priority="5">
      <formula>AND(O12="Calculando...",O12="Calculando...")</formula>
    </cfRule>
    <cfRule type="expression" dxfId="81" priority="6">
      <formula>AND(O12="Carregando script...",O12="Carregando script...")</formula>
    </cfRule>
    <cfRule type="cellIs" dxfId="80" priority="7" operator="equal">
      <formula>"Carregando bibliotecas..."</formula>
    </cfRule>
    <cfRule type="cellIs" dxfId="79" priority="8" operator="equal">
      <formula>"ERRO!"</formula>
    </cfRule>
    <cfRule type="expression" dxfId="78" priority="9">
      <formula>AND(O12="Calculado",O12="Calculado")</formula>
    </cfRule>
  </conditionalFormatting>
  <conditionalFormatting sqref="P47:P48">
    <cfRule type="expression" dxfId="77" priority="3">
      <formula>$P$48&lt;1</formula>
    </cfRule>
    <cfRule type="expression" dxfId="76" priority="4">
      <formula>$P$48&gt;1</formula>
    </cfRule>
  </conditionalFormatting>
  <conditionalFormatting sqref="Z47">
    <cfRule type="expression" dxfId="75" priority="1">
      <formula>AND(AND(N47&gt;0.96,N47&lt;1.04),IF($C$30="Yes",AND($Z$47&lt;=1.04),AND($Z$47&lt;1.07)))</formula>
    </cfRule>
    <cfRule type="expression" dxfId="74" priority="2">
      <formula>AND(AND(N47&gt;0.96,N47&lt;1.04),IF($C$30="Yes",AND($Z$47&gt;1.04),AND($Z$47&gt;1.07)))</formula>
    </cfRule>
  </conditionalFormatting>
  <conditionalFormatting sqref="Z48">
    <cfRule type="expression" dxfId="73" priority="50">
      <formula>IF($C$30="Yes",AND($Z$48&gt;1.04),AND($Z$48&gt;1.07))</formula>
    </cfRule>
    <cfRule type="expression" dxfId="72" priority="51">
      <formula>IF($C$30="Yes",AND($Z$48&lt;=1.04),AND($Z$48&lt;1.07))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36" t="s">
        <v>420</v>
      </c>
      <c r="C3" s="737"/>
      <c r="D3" s="394">
        <v>1</v>
      </c>
      <c r="F3" s="738" t="s">
        <v>420</v>
      </c>
      <c r="G3" s="739"/>
      <c r="H3" s="394">
        <v>2</v>
      </c>
      <c r="J3" s="736" t="s">
        <v>420</v>
      </c>
      <c r="K3" s="737"/>
      <c r="L3" s="394">
        <v>3</v>
      </c>
      <c r="N3" s="738" t="s">
        <v>420</v>
      </c>
      <c r="O3" s="739"/>
      <c r="P3" s="394">
        <v>4</v>
      </c>
      <c r="R3" s="736" t="s">
        <v>420</v>
      </c>
      <c r="S3" s="737"/>
      <c r="T3" s="394">
        <v>5</v>
      </c>
      <c r="V3" s="738" t="s">
        <v>420</v>
      </c>
      <c r="W3" s="739"/>
      <c r="X3" s="394">
        <v>6</v>
      </c>
      <c r="Z3" s="736" t="s">
        <v>420</v>
      </c>
      <c r="AA3" s="737"/>
      <c r="AB3" s="394">
        <v>7</v>
      </c>
      <c r="AD3" s="738" t="s">
        <v>420</v>
      </c>
      <c r="AE3" s="739"/>
      <c r="AF3" s="394">
        <v>8</v>
      </c>
    </row>
    <row r="4" spans="2:32" x14ac:dyDescent="0.25">
      <c r="B4" s="734"/>
      <c r="C4" s="735"/>
      <c r="D4" s="395" t="s">
        <v>291</v>
      </c>
      <c r="F4" s="734"/>
      <c r="G4" s="735"/>
      <c r="H4" s="395" t="s">
        <v>291</v>
      </c>
      <c r="J4" s="734"/>
      <c r="K4" s="735"/>
      <c r="L4" s="395" t="s">
        <v>291</v>
      </c>
      <c r="N4" s="734"/>
      <c r="O4" s="735"/>
      <c r="P4" s="395" t="s">
        <v>291</v>
      </c>
      <c r="R4" s="734"/>
      <c r="S4" s="735"/>
      <c r="T4" s="395" t="s">
        <v>291</v>
      </c>
      <c r="V4" s="734"/>
      <c r="W4" s="735"/>
      <c r="X4" s="395" t="s">
        <v>291</v>
      </c>
      <c r="Z4" s="734"/>
      <c r="AA4" s="735"/>
      <c r="AB4" s="395" t="s">
        <v>291</v>
      </c>
      <c r="AD4" s="734"/>
      <c r="AE4" s="735"/>
      <c r="AF4" s="395" t="s">
        <v>291</v>
      </c>
    </row>
    <row r="5" spans="2:32" x14ac:dyDescent="0.25">
      <c r="B5" s="685" t="s">
        <v>485</v>
      </c>
      <c r="C5" s="685"/>
      <c r="D5" s="215">
        <v>1</v>
      </c>
      <c r="F5" s="685" t="s">
        <v>487</v>
      </c>
      <c r="G5" s="685"/>
      <c r="H5" s="215">
        <v>0</v>
      </c>
      <c r="J5" s="685" t="s">
        <v>487</v>
      </c>
      <c r="K5" s="685"/>
      <c r="L5" s="215">
        <v>0</v>
      </c>
      <c r="N5" s="685" t="s">
        <v>487</v>
      </c>
      <c r="O5" s="685"/>
      <c r="P5" s="215">
        <v>0</v>
      </c>
      <c r="R5" s="685" t="s">
        <v>487</v>
      </c>
      <c r="S5" s="685"/>
      <c r="T5" s="215">
        <v>0</v>
      </c>
      <c r="V5" s="685" t="s">
        <v>487</v>
      </c>
      <c r="W5" s="685"/>
      <c r="X5" s="215">
        <v>0</v>
      </c>
      <c r="Z5" s="685" t="s">
        <v>487</v>
      </c>
      <c r="AA5" s="685"/>
      <c r="AB5" s="215">
        <v>0</v>
      </c>
      <c r="AD5" s="685" t="s">
        <v>487</v>
      </c>
      <c r="AE5" s="685"/>
      <c r="AF5" s="215">
        <v>0</v>
      </c>
    </row>
    <row r="6" spans="2:32" x14ac:dyDescent="0.25">
      <c r="B6" s="685" t="s">
        <v>95</v>
      </c>
      <c r="C6" s="685"/>
      <c r="D6" s="215">
        <v>0</v>
      </c>
      <c r="F6" s="685" t="s">
        <v>95</v>
      </c>
      <c r="G6" s="685"/>
      <c r="H6" s="215">
        <v>0</v>
      </c>
      <c r="J6" s="685" t="s">
        <v>95</v>
      </c>
      <c r="K6" s="685"/>
      <c r="L6" s="215">
        <v>0</v>
      </c>
      <c r="N6" s="685" t="s">
        <v>95</v>
      </c>
      <c r="O6" s="685"/>
      <c r="P6" s="215">
        <v>0</v>
      </c>
      <c r="R6" s="685" t="s">
        <v>95</v>
      </c>
      <c r="S6" s="685"/>
      <c r="T6" s="215">
        <v>0</v>
      </c>
      <c r="V6" s="685" t="s">
        <v>95</v>
      </c>
      <c r="W6" s="685"/>
      <c r="X6" s="215">
        <v>0</v>
      </c>
      <c r="Z6" s="685" t="s">
        <v>95</v>
      </c>
      <c r="AA6" s="685"/>
      <c r="AB6" s="215">
        <v>0</v>
      </c>
      <c r="AD6" s="685" t="s">
        <v>95</v>
      </c>
      <c r="AE6" s="685"/>
      <c r="AF6" s="215">
        <v>0</v>
      </c>
    </row>
    <row r="7" spans="2:32" x14ac:dyDescent="0.25">
      <c r="B7" s="685" t="s">
        <v>488</v>
      </c>
      <c r="C7" s="685"/>
      <c r="D7" s="215">
        <v>0</v>
      </c>
      <c r="F7" s="685" t="s">
        <v>488</v>
      </c>
      <c r="G7" s="685"/>
      <c r="H7" s="215">
        <v>0</v>
      </c>
      <c r="J7" s="685" t="s">
        <v>488</v>
      </c>
      <c r="K7" s="685"/>
      <c r="L7" s="215">
        <v>0</v>
      </c>
      <c r="N7" s="685" t="s">
        <v>488</v>
      </c>
      <c r="O7" s="685"/>
      <c r="P7" s="215">
        <v>0</v>
      </c>
      <c r="R7" s="685" t="s">
        <v>488</v>
      </c>
      <c r="S7" s="685"/>
      <c r="T7" s="215">
        <v>0</v>
      </c>
      <c r="V7" s="685" t="s">
        <v>488</v>
      </c>
      <c r="W7" s="685"/>
      <c r="X7" s="215">
        <v>0</v>
      </c>
      <c r="Z7" s="685" t="s">
        <v>488</v>
      </c>
      <c r="AA7" s="685"/>
      <c r="AB7" s="215">
        <v>0</v>
      </c>
      <c r="AD7" s="685" t="s">
        <v>488</v>
      </c>
      <c r="AE7" s="685"/>
      <c r="AF7" s="215">
        <v>0</v>
      </c>
    </row>
    <row r="8" spans="2:32" x14ac:dyDescent="0.25">
      <c r="B8" s="685" t="s">
        <v>96</v>
      </c>
      <c r="C8" s="685"/>
      <c r="D8" s="215">
        <v>0</v>
      </c>
      <c r="F8" s="685" t="s">
        <v>96</v>
      </c>
      <c r="G8" s="685"/>
      <c r="H8" s="215">
        <v>0</v>
      </c>
      <c r="J8" s="685" t="s">
        <v>96</v>
      </c>
      <c r="K8" s="685"/>
      <c r="L8" s="215">
        <v>0</v>
      </c>
      <c r="N8" s="685" t="s">
        <v>96</v>
      </c>
      <c r="O8" s="685"/>
      <c r="P8" s="215">
        <v>0</v>
      </c>
      <c r="R8" s="685" t="s">
        <v>96</v>
      </c>
      <c r="S8" s="685"/>
      <c r="T8" s="215">
        <v>0</v>
      </c>
      <c r="V8" s="685" t="s">
        <v>96</v>
      </c>
      <c r="W8" s="685"/>
      <c r="X8" s="215">
        <v>0</v>
      </c>
      <c r="Z8" s="685" t="s">
        <v>96</v>
      </c>
      <c r="AA8" s="685"/>
      <c r="AB8" s="215">
        <v>0</v>
      </c>
      <c r="AD8" s="685" t="s">
        <v>96</v>
      </c>
      <c r="AE8" s="685"/>
      <c r="AF8" s="215">
        <v>0</v>
      </c>
    </row>
    <row r="9" spans="2:32" x14ac:dyDescent="0.25">
      <c r="B9" s="685" t="s">
        <v>489</v>
      </c>
      <c r="C9" s="685"/>
      <c r="D9" s="215">
        <v>0</v>
      </c>
      <c r="F9" s="685" t="s">
        <v>489</v>
      </c>
      <c r="G9" s="685"/>
      <c r="H9" s="215">
        <v>0</v>
      </c>
      <c r="J9" s="685" t="s">
        <v>489</v>
      </c>
      <c r="K9" s="685"/>
      <c r="L9" s="215">
        <v>0</v>
      </c>
      <c r="N9" s="685" t="s">
        <v>489</v>
      </c>
      <c r="O9" s="685"/>
      <c r="P9" s="215">
        <v>0</v>
      </c>
      <c r="R9" s="685" t="s">
        <v>489</v>
      </c>
      <c r="S9" s="685"/>
      <c r="T9" s="215">
        <v>0</v>
      </c>
      <c r="V9" s="685" t="s">
        <v>489</v>
      </c>
      <c r="W9" s="685"/>
      <c r="X9" s="215">
        <v>0</v>
      </c>
      <c r="Z9" s="685" t="s">
        <v>489</v>
      </c>
      <c r="AA9" s="685"/>
      <c r="AB9" s="215">
        <v>0</v>
      </c>
      <c r="AD9" s="685" t="s">
        <v>489</v>
      </c>
      <c r="AE9" s="685"/>
      <c r="AF9" s="215">
        <v>0</v>
      </c>
    </row>
    <row r="10" spans="2:32" x14ac:dyDescent="0.25">
      <c r="B10" s="685" t="s">
        <v>98</v>
      </c>
      <c r="C10" s="685"/>
      <c r="D10" s="215">
        <v>0</v>
      </c>
      <c r="F10" s="685" t="s">
        <v>98</v>
      </c>
      <c r="G10" s="685"/>
      <c r="H10" s="215">
        <v>0</v>
      </c>
      <c r="J10" s="685" t="s">
        <v>98</v>
      </c>
      <c r="K10" s="685"/>
      <c r="L10" s="215">
        <v>0</v>
      </c>
      <c r="N10" s="685" t="s">
        <v>98</v>
      </c>
      <c r="O10" s="685"/>
      <c r="P10" s="215">
        <v>0</v>
      </c>
      <c r="R10" s="685" t="s">
        <v>98</v>
      </c>
      <c r="S10" s="685"/>
      <c r="T10" s="215">
        <v>0</v>
      </c>
      <c r="V10" s="685" t="s">
        <v>98</v>
      </c>
      <c r="W10" s="685"/>
      <c r="X10" s="215">
        <v>0</v>
      </c>
      <c r="Z10" s="685" t="s">
        <v>98</v>
      </c>
      <c r="AA10" s="685"/>
      <c r="AB10" s="215">
        <v>0</v>
      </c>
      <c r="AD10" s="685" t="s">
        <v>98</v>
      </c>
      <c r="AE10" s="685"/>
      <c r="AF10" s="215">
        <v>0</v>
      </c>
    </row>
    <row r="11" spans="2:32" x14ac:dyDescent="0.25">
      <c r="B11" s="685" t="s">
        <v>97</v>
      </c>
      <c r="C11" s="685"/>
      <c r="D11" s="215">
        <v>0</v>
      </c>
      <c r="F11" s="685" t="s">
        <v>97</v>
      </c>
      <c r="G11" s="685"/>
      <c r="H11" s="215">
        <v>0</v>
      </c>
      <c r="J11" s="685" t="s">
        <v>97</v>
      </c>
      <c r="K11" s="685"/>
      <c r="L11" s="215">
        <v>0</v>
      </c>
      <c r="N11" s="685" t="s">
        <v>97</v>
      </c>
      <c r="O11" s="685"/>
      <c r="P11" s="215">
        <v>0</v>
      </c>
      <c r="R11" s="685" t="s">
        <v>97</v>
      </c>
      <c r="S11" s="685"/>
      <c r="T11" s="215">
        <v>0</v>
      </c>
      <c r="V11" s="685" t="s">
        <v>97</v>
      </c>
      <c r="W11" s="685"/>
      <c r="X11" s="215">
        <v>0</v>
      </c>
      <c r="Z11" s="685" t="s">
        <v>97</v>
      </c>
      <c r="AA11" s="685"/>
      <c r="AB11" s="215">
        <v>0</v>
      </c>
      <c r="AD11" s="685" t="s">
        <v>97</v>
      </c>
      <c r="AE11" s="685"/>
      <c r="AF11" s="215">
        <v>0</v>
      </c>
    </row>
    <row r="12" spans="2:32" x14ac:dyDescent="0.25">
      <c r="B12" s="685" t="s">
        <v>100</v>
      </c>
      <c r="C12" s="685"/>
      <c r="D12" s="215">
        <v>0</v>
      </c>
      <c r="F12" s="685" t="s">
        <v>100</v>
      </c>
      <c r="G12" s="685"/>
      <c r="H12" s="215">
        <v>0</v>
      </c>
      <c r="J12" s="685" t="s">
        <v>100</v>
      </c>
      <c r="K12" s="685"/>
      <c r="L12" s="215">
        <v>0</v>
      </c>
      <c r="N12" s="685" t="s">
        <v>100</v>
      </c>
      <c r="O12" s="685"/>
      <c r="P12" s="215">
        <v>0</v>
      </c>
      <c r="R12" s="685" t="s">
        <v>100</v>
      </c>
      <c r="S12" s="685"/>
      <c r="T12" s="215">
        <v>0</v>
      </c>
      <c r="V12" s="685" t="s">
        <v>100</v>
      </c>
      <c r="W12" s="685"/>
      <c r="X12" s="215">
        <v>0</v>
      </c>
      <c r="Z12" s="685" t="s">
        <v>100</v>
      </c>
      <c r="AA12" s="685"/>
      <c r="AB12" s="215">
        <v>0</v>
      </c>
      <c r="AD12" s="685" t="s">
        <v>100</v>
      </c>
      <c r="AE12" s="685"/>
      <c r="AF12" s="215">
        <v>0</v>
      </c>
    </row>
    <row r="13" spans="2:32" x14ac:dyDescent="0.25">
      <c r="B13" s="685" t="s">
        <v>99</v>
      </c>
      <c r="C13" s="685"/>
      <c r="D13" s="215">
        <v>0</v>
      </c>
      <c r="F13" s="685" t="s">
        <v>99</v>
      </c>
      <c r="G13" s="685"/>
      <c r="H13" s="215">
        <v>0</v>
      </c>
      <c r="J13" s="685" t="s">
        <v>99</v>
      </c>
      <c r="K13" s="685"/>
      <c r="L13" s="215">
        <v>0</v>
      </c>
      <c r="N13" s="685" t="s">
        <v>99</v>
      </c>
      <c r="O13" s="685"/>
      <c r="P13" s="215">
        <v>0</v>
      </c>
      <c r="R13" s="685" t="s">
        <v>99</v>
      </c>
      <c r="S13" s="685"/>
      <c r="T13" s="215">
        <v>0</v>
      </c>
      <c r="V13" s="685" t="s">
        <v>99</v>
      </c>
      <c r="W13" s="685"/>
      <c r="X13" s="215">
        <v>0</v>
      </c>
      <c r="Z13" s="685" t="s">
        <v>99</v>
      </c>
      <c r="AA13" s="685"/>
      <c r="AB13" s="215">
        <v>0</v>
      </c>
      <c r="AD13" s="685" t="s">
        <v>99</v>
      </c>
      <c r="AE13" s="685"/>
      <c r="AF13" s="215">
        <v>0</v>
      </c>
    </row>
    <row r="14" spans="2:32" x14ac:dyDescent="0.25">
      <c r="B14" s="685" t="s">
        <v>102</v>
      </c>
      <c r="C14" s="685"/>
      <c r="D14" s="215">
        <v>0</v>
      </c>
      <c r="F14" s="685" t="s">
        <v>499</v>
      </c>
      <c r="G14" s="685"/>
      <c r="H14" s="215">
        <v>1</v>
      </c>
      <c r="J14" s="685" t="s">
        <v>102</v>
      </c>
      <c r="K14" s="685"/>
      <c r="L14" s="215">
        <v>0</v>
      </c>
      <c r="N14" s="685" t="s">
        <v>102</v>
      </c>
      <c r="O14" s="685"/>
      <c r="P14" s="215">
        <v>0</v>
      </c>
      <c r="R14" s="685" t="s">
        <v>102</v>
      </c>
      <c r="S14" s="685"/>
      <c r="T14" s="215">
        <v>0</v>
      </c>
      <c r="V14" s="685" t="s">
        <v>102</v>
      </c>
      <c r="W14" s="685"/>
      <c r="X14" s="215">
        <v>0</v>
      </c>
      <c r="Z14" s="685" t="s">
        <v>102</v>
      </c>
      <c r="AA14" s="685"/>
      <c r="AB14" s="215">
        <v>0</v>
      </c>
      <c r="AD14" s="685" t="s">
        <v>102</v>
      </c>
      <c r="AE14" s="685"/>
      <c r="AF14" s="215">
        <v>0</v>
      </c>
    </row>
    <row r="15" spans="2:32" x14ac:dyDescent="0.25">
      <c r="B15" s="685" t="s">
        <v>480</v>
      </c>
      <c r="C15" s="685"/>
      <c r="D15" s="215">
        <v>0</v>
      </c>
      <c r="F15" s="685" t="s">
        <v>480</v>
      </c>
      <c r="G15" s="685"/>
      <c r="H15" s="215">
        <v>0</v>
      </c>
      <c r="J15" s="685" t="s">
        <v>480</v>
      </c>
      <c r="K15" s="685"/>
      <c r="L15" s="215">
        <v>0</v>
      </c>
      <c r="N15" s="685" t="s">
        <v>480</v>
      </c>
      <c r="O15" s="685"/>
      <c r="P15" s="215">
        <v>0</v>
      </c>
      <c r="R15" s="685" t="s">
        <v>480</v>
      </c>
      <c r="S15" s="685"/>
      <c r="T15" s="215">
        <v>0</v>
      </c>
      <c r="V15" s="685" t="s">
        <v>480</v>
      </c>
      <c r="W15" s="685"/>
      <c r="X15" s="215">
        <v>0</v>
      </c>
      <c r="Z15" s="685" t="s">
        <v>480</v>
      </c>
      <c r="AA15" s="685"/>
      <c r="AB15" s="215">
        <v>0</v>
      </c>
      <c r="AD15" s="685" t="s">
        <v>480</v>
      </c>
      <c r="AE15" s="685"/>
      <c r="AF15" s="215">
        <v>0</v>
      </c>
    </row>
    <row r="16" spans="2:32" x14ac:dyDescent="0.25">
      <c r="B16" s="685" t="s">
        <v>501</v>
      </c>
      <c r="C16" s="685"/>
      <c r="D16" s="215">
        <v>0</v>
      </c>
      <c r="F16" s="685" t="s">
        <v>485</v>
      </c>
      <c r="G16" s="685"/>
      <c r="H16" s="215">
        <v>0</v>
      </c>
      <c r="J16" s="685" t="s">
        <v>485</v>
      </c>
      <c r="K16" s="685"/>
      <c r="L16" s="215">
        <v>1</v>
      </c>
      <c r="N16" s="685" t="s">
        <v>485</v>
      </c>
      <c r="O16" s="685"/>
      <c r="P16" s="215">
        <v>1</v>
      </c>
      <c r="R16" s="685" t="s">
        <v>485</v>
      </c>
      <c r="S16" s="685"/>
      <c r="T16" s="215">
        <v>1</v>
      </c>
      <c r="V16" s="685" t="s">
        <v>485</v>
      </c>
      <c r="W16" s="685"/>
      <c r="X16" s="215">
        <v>1</v>
      </c>
      <c r="Z16" s="685" t="s">
        <v>485</v>
      </c>
      <c r="AA16" s="685"/>
      <c r="AB16" s="215">
        <v>1</v>
      </c>
      <c r="AD16" s="685" t="s">
        <v>485</v>
      </c>
      <c r="AE16" s="685"/>
      <c r="AF16" s="215">
        <v>1</v>
      </c>
    </row>
    <row r="17" spans="2:32" x14ac:dyDescent="0.25">
      <c r="B17" s="685" t="s">
        <v>486</v>
      </c>
      <c r="C17" s="685"/>
      <c r="D17" s="215">
        <v>0</v>
      </c>
      <c r="F17" s="685" t="s">
        <v>486</v>
      </c>
      <c r="G17" s="685"/>
      <c r="H17" s="215">
        <v>0</v>
      </c>
      <c r="J17" s="685" t="s">
        <v>486</v>
      </c>
      <c r="K17" s="685"/>
      <c r="L17" s="215">
        <v>0</v>
      </c>
      <c r="N17" s="685" t="s">
        <v>486</v>
      </c>
      <c r="O17" s="685"/>
      <c r="P17" s="215">
        <v>0</v>
      </c>
      <c r="R17" s="685" t="s">
        <v>486</v>
      </c>
      <c r="S17" s="685"/>
      <c r="T17" s="215">
        <v>0</v>
      </c>
      <c r="V17" s="685" t="s">
        <v>486</v>
      </c>
      <c r="W17" s="685"/>
      <c r="X17" s="215">
        <v>0</v>
      </c>
      <c r="Z17" s="685" t="s">
        <v>486</v>
      </c>
      <c r="AA17" s="685"/>
      <c r="AB17" s="215">
        <v>0</v>
      </c>
      <c r="AD17" s="685" t="s">
        <v>486</v>
      </c>
      <c r="AE17" s="685"/>
      <c r="AF17" s="215">
        <v>0</v>
      </c>
    </row>
    <row r="18" spans="2:32" x14ac:dyDescent="0.25">
      <c r="B18" s="685" t="s">
        <v>104</v>
      </c>
      <c r="C18" s="685"/>
      <c r="D18" s="215">
        <v>0</v>
      </c>
      <c r="F18" s="685" t="s">
        <v>104</v>
      </c>
      <c r="G18" s="685"/>
      <c r="H18" s="215">
        <v>0</v>
      </c>
      <c r="J18" s="685" t="s">
        <v>104</v>
      </c>
      <c r="K18" s="685"/>
      <c r="L18" s="215">
        <v>0</v>
      </c>
      <c r="N18" s="685" t="s">
        <v>104</v>
      </c>
      <c r="O18" s="685"/>
      <c r="P18" s="215">
        <v>0</v>
      </c>
      <c r="R18" s="685" t="s">
        <v>104</v>
      </c>
      <c r="S18" s="685"/>
      <c r="T18" s="215">
        <v>0</v>
      </c>
      <c r="V18" s="685" t="s">
        <v>104</v>
      </c>
      <c r="W18" s="685"/>
      <c r="X18" s="215">
        <v>0</v>
      </c>
      <c r="Z18" s="685" t="s">
        <v>104</v>
      </c>
      <c r="AA18" s="685"/>
      <c r="AB18" s="215">
        <v>0</v>
      </c>
      <c r="AD18" s="685" t="s">
        <v>104</v>
      </c>
      <c r="AE18" s="685"/>
      <c r="AF18" s="215">
        <v>0</v>
      </c>
    </row>
    <row r="19" spans="2:32" x14ac:dyDescent="0.25">
      <c r="B19" s="685" t="s">
        <v>105</v>
      </c>
      <c r="C19" s="685"/>
      <c r="D19" s="215">
        <v>0</v>
      </c>
      <c r="F19" s="685" t="s">
        <v>105</v>
      </c>
      <c r="G19" s="685"/>
      <c r="H19" s="215">
        <v>0</v>
      </c>
      <c r="J19" s="685" t="s">
        <v>105</v>
      </c>
      <c r="K19" s="685"/>
      <c r="L19" s="215">
        <v>0</v>
      </c>
      <c r="N19" s="685" t="s">
        <v>105</v>
      </c>
      <c r="O19" s="685"/>
      <c r="P19" s="215">
        <v>0</v>
      </c>
      <c r="R19" s="685" t="s">
        <v>105</v>
      </c>
      <c r="S19" s="685"/>
      <c r="T19" s="215">
        <v>0</v>
      </c>
      <c r="V19" s="685" t="s">
        <v>105</v>
      </c>
      <c r="W19" s="685"/>
      <c r="X19" s="215">
        <v>0</v>
      </c>
      <c r="Z19" s="685" t="s">
        <v>105</v>
      </c>
      <c r="AA19" s="685"/>
      <c r="AB19" s="215">
        <v>0</v>
      </c>
      <c r="AD19" s="685" t="s">
        <v>105</v>
      </c>
      <c r="AE19" s="685"/>
      <c r="AF19" s="215">
        <v>0</v>
      </c>
    </row>
    <row r="20" spans="2:32" x14ac:dyDescent="0.25">
      <c r="B20" s="685" t="s">
        <v>490</v>
      </c>
      <c r="C20" s="685"/>
      <c r="D20" s="215">
        <v>0</v>
      </c>
      <c r="F20" s="685" t="s">
        <v>490</v>
      </c>
      <c r="G20" s="685"/>
      <c r="H20" s="215">
        <v>0</v>
      </c>
      <c r="J20" s="685" t="s">
        <v>490</v>
      </c>
      <c r="K20" s="685"/>
      <c r="L20" s="215">
        <v>0</v>
      </c>
      <c r="N20" s="685" t="s">
        <v>490</v>
      </c>
      <c r="O20" s="685"/>
      <c r="P20" s="215">
        <v>0</v>
      </c>
      <c r="R20" s="685" t="s">
        <v>490</v>
      </c>
      <c r="S20" s="685"/>
      <c r="T20" s="215">
        <v>0</v>
      </c>
      <c r="V20" s="685" t="s">
        <v>490</v>
      </c>
      <c r="W20" s="685"/>
      <c r="X20" s="215">
        <v>0</v>
      </c>
      <c r="Z20" s="685" t="s">
        <v>490</v>
      </c>
      <c r="AA20" s="685"/>
      <c r="AB20" s="215">
        <v>0</v>
      </c>
      <c r="AD20" s="685" t="s">
        <v>490</v>
      </c>
      <c r="AE20" s="685"/>
      <c r="AF20" s="215">
        <v>0</v>
      </c>
    </row>
    <row r="21" spans="2:32" x14ac:dyDescent="0.25">
      <c r="B21" s="685" t="s">
        <v>491</v>
      </c>
      <c r="C21" s="685"/>
      <c r="D21" s="215">
        <v>0</v>
      </c>
      <c r="F21" s="685" t="s">
        <v>491</v>
      </c>
      <c r="G21" s="685"/>
      <c r="H21" s="215">
        <v>0</v>
      </c>
      <c r="J21" s="685" t="s">
        <v>491</v>
      </c>
      <c r="K21" s="685"/>
      <c r="L21" s="215">
        <v>0</v>
      </c>
      <c r="N21" s="685" t="s">
        <v>491</v>
      </c>
      <c r="O21" s="685"/>
      <c r="P21" s="215">
        <v>0</v>
      </c>
      <c r="R21" s="685" t="s">
        <v>491</v>
      </c>
      <c r="S21" s="685"/>
      <c r="T21" s="215">
        <v>0</v>
      </c>
      <c r="V21" s="685" t="s">
        <v>491</v>
      </c>
      <c r="W21" s="685"/>
      <c r="X21" s="215">
        <v>0</v>
      </c>
      <c r="Z21" s="685" t="s">
        <v>491</v>
      </c>
      <c r="AA21" s="685"/>
      <c r="AB21" s="215">
        <v>0</v>
      </c>
      <c r="AD21" s="685" t="s">
        <v>491</v>
      </c>
      <c r="AE21" s="685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40" t="s">
        <v>350</v>
      </c>
      <c r="C3" s="741"/>
      <c r="D3" s="742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43" t="s">
        <v>399</v>
      </c>
      <c r="C3" s="383" t="s">
        <v>92</v>
      </c>
      <c r="D3" s="383" t="s">
        <v>400</v>
      </c>
      <c r="E3" s="383" t="s">
        <v>401</v>
      </c>
      <c r="F3" s="383" t="s">
        <v>402</v>
      </c>
      <c r="G3" s="383" t="s">
        <v>403</v>
      </c>
      <c r="H3" s="745" t="s">
        <v>404</v>
      </c>
      <c r="I3" s="384" t="s">
        <v>292</v>
      </c>
      <c r="J3" s="747" t="s">
        <v>405</v>
      </c>
    </row>
    <row r="4" spans="2:15" ht="15.75" thickBot="1" x14ac:dyDescent="0.3">
      <c r="B4" s="744"/>
      <c r="C4" s="385" t="s">
        <v>406</v>
      </c>
      <c r="D4" s="385" t="s">
        <v>406</v>
      </c>
      <c r="E4" s="385" t="s">
        <v>341</v>
      </c>
      <c r="F4" s="385" t="s">
        <v>301</v>
      </c>
      <c r="G4" s="385" t="s">
        <v>407</v>
      </c>
      <c r="H4" s="746"/>
      <c r="I4" s="386" t="s">
        <v>299</v>
      </c>
      <c r="J4" s="748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408</v>
      </c>
      <c r="I5" s="390"/>
      <c r="J5" s="317" t="s">
        <v>409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408</v>
      </c>
      <c r="I6" s="390"/>
      <c r="J6" s="317" t="s">
        <v>410</v>
      </c>
      <c r="L6" s="620" t="s">
        <v>388</v>
      </c>
      <c r="M6" s="621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408</v>
      </c>
      <c r="I7" s="390"/>
      <c r="J7" s="317" t="s">
        <v>411</v>
      </c>
      <c r="L7" s="622"/>
      <c r="M7" s="623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408</v>
      </c>
      <c r="I8" s="390"/>
      <c r="J8" s="317" t="s">
        <v>412</v>
      </c>
      <c r="L8" s="624" t="s">
        <v>479</v>
      </c>
      <c r="M8" s="625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408</v>
      </c>
      <c r="I9" s="390"/>
      <c r="J9" s="317" t="s">
        <v>413</v>
      </c>
      <c r="L9" s="626"/>
      <c r="M9" s="627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408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408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408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408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408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408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408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408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408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408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408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408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408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408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408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408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408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408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408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408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408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408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408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408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408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408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408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408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408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408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408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408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408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408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408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408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408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408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408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408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408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408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408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408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408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408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408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408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408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408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408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408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408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408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408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408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408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408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408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408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408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408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408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408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408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408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408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408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408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408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408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408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408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408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408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408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408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408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408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408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408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408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408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408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408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408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408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408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408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408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408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408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408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408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408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408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408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408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408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408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408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408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408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408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408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408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408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408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408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408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408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408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408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408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408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408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408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408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408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408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408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408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408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408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408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408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408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408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408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408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408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408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408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408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408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408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408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408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408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408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408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408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408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408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408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408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408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408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408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408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408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408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408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408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408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408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408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408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408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408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408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408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408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408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408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408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408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408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408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408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408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408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408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408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408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408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408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408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408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408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408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408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408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408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408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408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408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408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408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408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408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408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408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408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408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408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408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408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408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408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408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408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408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408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408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408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408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408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408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408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408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408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408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408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408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408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408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408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408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408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408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408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408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408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408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408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408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408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408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408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408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408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408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408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408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408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408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408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408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408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408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408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408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408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408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408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408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408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408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408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408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408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408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408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408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408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408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408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408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408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408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408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408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408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408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408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408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408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408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408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408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408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408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408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408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408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408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408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408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408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408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408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408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408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408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408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408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408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408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408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408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408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408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408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408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408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408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408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408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408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408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408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408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408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408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408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408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408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408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408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408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408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408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408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408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408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408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408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408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408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408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408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408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408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408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408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408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408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408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408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408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408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408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408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408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408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408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408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408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408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408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408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408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408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408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408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408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408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408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408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408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408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408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408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408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408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408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408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408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408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408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408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408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408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408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408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408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408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408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408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408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408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408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408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408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408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408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408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408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408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408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408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408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408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408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408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408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408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408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408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408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408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408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408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408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408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408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408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408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408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408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408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408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408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408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408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408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408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408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408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408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408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408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408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408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408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408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408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408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408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408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408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408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408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408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408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408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408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408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408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408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408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408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408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408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408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408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408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408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408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408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408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408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408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408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408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408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408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408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408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408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408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408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408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408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408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408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408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408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408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408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408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408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408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408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408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408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408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408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408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408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408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408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408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408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408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408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408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408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408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408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408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408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408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408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408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408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408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408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408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408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350" priority="1">
      <formula>AND(L8="Calculando...",L8="Calculando...")</formula>
    </cfRule>
    <cfRule type="expression" dxfId="349" priority="2">
      <formula>AND(L8="Carregando script...",L8="Carregando script...")</formula>
    </cfRule>
    <cfRule type="cellIs" dxfId="348" priority="3" operator="equal">
      <formula>"Carregando bibliotecas..."</formula>
    </cfRule>
    <cfRule type="cellIs" dxfId="347" priority="4" operator="equal">
      <formula>"ERRO!"</formula>
    </cfRule>
    <cfRule type="expression" dxfId="346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49" t="s">
        <v>322</v>
      </c>
      <c r="B1" s="749"/>
      <c r="C1" s="749"/>
      <c r="D1" s="749"/>
      <c r="E1" s="233"/>
      <c r="F1" s="233"/>
      <c r="G1" s="749" t="s">
        <v>323</v>
      </c>
      <c r="H1" s="749"/>
      <c r="I1" s="749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2023-02-05T15:13:01Z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